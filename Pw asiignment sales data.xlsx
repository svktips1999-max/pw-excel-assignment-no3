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updateLinks="always" hidePivotFieldList="1" defaultThemeVersion="166925"/>
  <xr:revisionPtr revIDLastSave="723" documentId="11_E60897F41BE170836B02CE998F75CCDC64E183C8" xr6:coauthVersionLast="47" xr6:coauthVersionMax="47" xr10:uidLastSave="{1C59A61C-FDAE-448E-A67B-C773735FE5EA}"/>
  <bookViews>
    <workbookView xWindow="240" yWindow="105" windowWidth="14805" windowHeight="8010" firstSheet="6" xr2:uid="{00000000-000D-0000-FFFF-FFFF00000000}"/>
  </bookViews>
  <sheets>
    <sheet name="Sales Dashboard" sheetId="10" r:id="rId1"/>
    <sheet name="Sheet1" sheetId="1" r:id="rId2"/>
    <sheet name="Sales SSummary Report" sheetId="4" r:id="rId3"/>
    <sheet name="Sales Statistics Report" sheetId="3" r:id="rId4"/>
    <sheet name="Financial Analysis Report" sheetId="6" r:id="rId5"/>
    <sheet name="Product Performance Report" sheetId="5" r:id="rId6"/>
    <sheet name="Cleaned_Data" sheetId="7" r:id="rId7"/>
    <sheet name="Sheet2" sheetId="2" r:id="rId8"/>
  </sheets>
  <definedNames>
    <definedName name="Slicer_Category">#N/A</definedName>
    <definedName name="Slicer_Region">#N/A</definedName>
  </definedNames>
  <calcPr calcId="191028"/>
  <pivotCaches>
    <pivotCache cacheId="223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G3" i="2" l="1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2" i="2"/>
  <c r="AK2" i="7"/>
  <c r="A11" i="10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19" i="7"/>
  <c r="AK120" i="7"/>
  <c r="AK121" i="7"/>
  <c r="AK122" i="7"/>
  <c r="AK123" i="7"/>
  <c r="AK124" i="7"/>
  <c r="AK125" i="7"/>
  <c r="AK126" i="7"/>
  <c r="AK127" i="7"/>
  <c r="AK128" i="7"/>
  <c r="AK129" i="7"/>
  <c r="AK130" i="7"/>
  <c r="AK131" i="7"/>
  <c r="AK132" i="7"/>
  <c r="AK133" i="7"/>
  <c r="AK134" i="7"/>
  <c r="AK135" i="7"/>
  <c r="AK136" i="7"/>
  <c r="AK137" i="7"/>
  <c r="AK138" i="7"/>
  <c r="AK139" i="7"/>
  <c r="AK140" i="7"/>
  <c r="AK141" i="7"/>
  <c r="AK142" i="7"/>
  <c r="AK143" i="7"/>
  <c r="AK144" i="7"/>
  <c r="AK145" i="7"/>
  <c r="AK146" i="7"/>
  <c r="AK147" i="7"/>
  <c r="AK148" i="7"/>
  <c r="AK149" i="7"/>
  <c r="AK150" i="7"/>
  <c r="AK151" i="7"/>
  <c r="AK152" i="7"/>
  <c r="AK153" i="7"/>
  <c r="AK154" i="7"/>
  <c r="AK155" i="7"/>
  <c r="AK156" i="7"/>
  <c r="AK157" i="7"/>
  <c r="AK158" i="7"/>
  <c r="AK159" i="7"/>
  <c r="AK160" i="7"/>
  <c r="AK161" i="7"/>
  <c r="AK162" i="7"/>
  <c r="AK163" i="7"/>
  <c r="AK164" i="7"/>
  <c r="AK165" i="7"/>
  <c r="AK166" i="7"/>
  <c r="AK167" i="7"/>
  <c r="AK168" i="7"/>
  <c r="AK169" i="7"/>
  <c r="AK170" i="7"/>
  <c r="AK171" i="7"/>
  <c r="AK172" i="7"/>
  <c r="AK173" i="7"/>
  <c r="AK174" i="7"/>
  <c r="AK175" i="7"/>
  <c r="AK176" i="7"/>
  <c r="AK177" i="7"/>
  <c r="AK178" i="7"/>
  <c r="AK179" i="7"/>
  <c r="AK180" i="7"/>
  <c r="AK181" i="7"/>
  <c r="AK182" i="7"/>
  <c r="AK183" i="7"/>
  <c r="AK184" i="7"/>
  <c r="AK185" i="7"/>
  <c r="AK186" i="7"/>
  <c r="AK187" i="7"/>
  <c r="AK188" i="7"/>
  <c r="AK189" i="7"/>
  <c r="AK190" i="7"/>
  <c r="AK191" i="7"/>
  <c r="AK192" i="7"/>
  <c r="AK193" i="7"/>
  <c r="AK194" i="7"/>
  <c r="AK195" i="7"/>
  <c r="AK196" i="7"/>
  <c r="AK197" i="7"/>
  <c r="AK198" i="7"/>
  <c r="AK199" i="7"/>
  <c r="AK200" i="7"/>
  <c r="AK201" i="7"/>
  <c r="AK202" i="7"/>
  <c r="AK203" i="7"/>
  <c r="AK204" i="7"/>
  <c r="AK205" i="7"/>
  <c r="AK206" i="7"/>
  <c r="AK207" i="7"/>
  <c r="AK208" i="7"/>
  <c r="AK209" i="7"/>
  <c r="AK210" i="7"/>
  <c r="AK211" i="7"/>
  <c r="AK212" i="7"/>
  <c r="AK213" i="7"/>
  <c r="AK214" i="7"/>
  <c r="AK215" i="7"/>
  <c r="AK216" i="7"/>
  <c r="AK217" i="7"/>
  <c r="AK218" i="7"/>
  <c r="AK219" i="7"/>
  <c r="AK220" i="7"/>
  <c r="AK221" i="7"/>
  <c r="AK222" i="7"/>
  <c r="AK223" i="7"/>
  <c r="AK224" i="7"/>
  <c r="AK225" i="7"/>
  <c r="AK226" i="7"/>
  <c r="AK227" i="7"/>
  <c r="AK228" i="7"/>
  <c r="AK229" i="7"/>
  <c r="AK230" i="7"/>
  <c r="AK231" i="7"/>
  <c r="AK232" i="7"/>
  <c r="AK233" i="7"/>
  <c r="AK234" i="7"/>
  <c r="AK235" i="7"/>
  <c r="AK236" i="7"/>
  <c r="AK237" i="7"/>
  <c r="AK238" i="7"/>
  <c r="AK239" i="7"/>
  <c r="AK240" i="7"/>
  <c r="AK241" i="7"/>
  <c r="AK242" i="7"/>
  <c r="AK243" i="7"/>
  <c r="AK244" i="7"/>
  <c r="AK245" i="7"/>
  <c r="AK246" i="7"/>
  <c r="AK247" i="7"/>
  <c r="AK248" i="7"/>
  <c r="AK249" i="7"/>
  <c r="AK250" i="7"/>
  <c r="AK251" i="7"/>
  <c r="AK252" i="7"/>
  <c r="AK253" i="7"/>
  <c r="AK254" i="7"/>
  <c r="AK255" i="7"/>
  <c r="AK256" i="7"/>
  <c r="AK257" i="7"/>
  <c r="AK258" i="7"/>
  <c r="AK259" i="7"/>
  <c r="AK260" i="7"/>
  <c r="AK261" i="7"/>
  <c r="AK262" i="7"/>
  <c r="AK263" i="7"/>
  <c r="AK264" i="7"/>
  <c r="AK265" i="7"/>
  <c r="AK266" i="7"/>
  <c r="AK267" i="7"/>
  <c r="AK268" i="7"/>
  <c r="AK269" i="7"/>
  <c r="AK270" i="7"/>
  <c r="AK271" i="7"/>
  <c r="AK272" i="7"/>
  <c r="AK273" i="7"/>
  <c r="AK274" i="7"/>
  <c r="AK275" i="7"/>
  <c r="AK276" i="7"/>
  <c r="AK277" i="7"/>
  <c r="AK278" i="7"/>
  <c r="AK279" i="7"/>
  <c r="AK280" i="7"/>
  <c r="AK281" i="7"/>
  <c r="AK282" i="7"/>
  <c r="AK283" i="7"/>
  <c r="AK284" i="7"/>
  <c r="AK285" i="7"/>
  <c r="AK286" i="7"/>
  <c r="AK287" i="7"/>
  <c r="AK288" i="7"/>
  <c r="AK289" i="7"/>
  <c r="AK290" i="7"/>
  <c r="AK291" i="7"/>
  <c r="AK292" i="7"/>
  <c r="AK293" i="7"/>
  <c r="AK294" i="7"/>
  <c r="AK295" i="7"/>
  <c r="AK296" i="7"/>
  <c r="AK297" i="7"/>
  <c r="AK298" i="7"/>
  <c r="AK299" i="7"/>
  <c r="AK300" i="7"/>
  <c r="AK301" i="7"/>
  <c r="AK302" i="7"/>
  <c r="AK303" i="7"/>
  <c r="AK304" i="7"/>
  <c r="AK305" i="7"/>
  <c r="AK306" i="7"/>
  <c r="AK307" i="7"/>
  <c r="AK308" i="7"/>
  <c r="AK309" i="7"/>
  <c r="AK310" i="7"/>
  <c r="AK311" i="7"/>
  <c r="AK312" i="7"/>
  <c r="AK313" i="7"/>
  <c r="AK314" i="7"/>
  <c r="AK315" i="7"/>
  <c r="AK316" i="7"/>
  <c r="AK317" i="7"/>
  <c r="AK318" i="7"/>
  <c r="AK319" i="7"/>
  <c r="AK320" i="7"/>
  <c r="AK321" i="7"/>
  <c r="AK322" i="7"/>
  <c r="AK323" i="7"/>
  <c r="AK324" i="7"/>
  <c r="AK325" i="7"/>
  <c r="AK326" i="7"/>
  <c r="AK327" i="7"/>
  <c r="AK328" i="7"/>
  <c r="AK329" i="7"/>
  <c r="AK330" i="7"/>
  <c r="AK331" i="7"/>
  <c r="AK332" i="7"/>
  <c r="AK333" i="7"/>
  <c r="AK334" i="7"/>
  <c r="AK335" i="7"/>
  <c r="AK336" i="7"/>
  <c r="AK337" i="7"/>
  <c r="AK338" i="7"/>
  <c r="AK339" i="7"/>
  <c r="AK340" i="7"/>
  <c r="AK341" i="7"/>
  <c r="AK342" i="7"/>
  <c r="AK343" i="7"/>
  <c r="AK344" i="7"/>
  <c r="AK345" i="7"/>
  <c r="AK346" i="7"/>
  <c r="AK347" i="7"/>
  <c r="AK348" i="7"/>
  <c r="AK349" i="7"/>
  <c r="AK350" i="7"/>
  <c r="AK351" i="7"/>
  <c r="AK352" i="7"/>
  <c r="AK353" i="7"/>
  <c r="AK354" i="7"/>
  <c r="AK355" i="7"/>
  <c r="AK356" i="7"/>
  <c r="AK357" i="7"/>
  <c r="AK358" i="7"/>
  <c r="AK359" i="7"/>
  <c r="AK360" i="7"/>
  <c r="AK361" i="7"/>
  <c r="AK362" i="7"/>
  <c r="AK363" i="7"/>
  <c r="AK364" i="7"/>
  <c r="AK365" i="7"/>
  <c r="AK366" i="7"/>
  <c r="AK367" i="7"/>
  <c r="AK368" i="7"/>
  <c r="AK369" i="7"/>
  <c r="AK370" i="7"/>
  <c r="AK371" i="7"/>
  <c r="AK372" i="7"/>
  <c r="AK373" i="7"/>
  <c r="AK374" i="7"/>
  <c r="AK375" i="7"/>
  <c r="AK376" i="7"/>
  <c r="AK377" i="7"/>
  <c r="AK378" i="7"/>
  <c r="AK379" i="7"/>
  <c r="AK380" i="7"/>
  <c r="AK381" i="7"/>
  <c r="AK382" i="7"/>
  <c r="AK383" i="7"/>
  <c r="AK384" i="7"/>
  <c r="AK385" i="7"/>
  <c r="AK386" i="7"/>
  <c r="AK387" i="7"/>
  <c r="AK388" i="7"/>
  <c r="AK389" i="7"/>
  <c r="AK390" i="7"/>
  <c r="AK391" i="7"/>
  <c r="AK392" i="7"/>
  <c r="AK393" i="7"/>
  <c r="AK394" i="7"/>
  <c r="AK395" i="7"/>
  <c r="AK396" i="7"/>
  <c r="AK397" i="7"/>
  <c r="AK398" i="7"/>
  <c r="AK399" i="7"/>
  <c r="AK400" i="7"/>
  <c r="AK401" i="7"/>
  <c r="AK402" i="7"/>
  <c r="AK403" i="7"/>
  <c r="AK404" i="7"/>
  <c r="AK405" i="7"/>
  <c r="AK406" i="7"/>
  <c r="AK407" i="7"/>
  <c r="AK408" i="7"/>
  <c r="AK409" i="7"/>
  <c r="AK410" i="7"/>
  <c r="AK411" i="7"/>
  <c r="AK412" i="7"/>
  <c r="AK413" i="7"/>
  <c r="AK414" i="7"/>
  <c r="AK415" i="7"/>
  <c r="AK416" i="7"/>
  <c r="AK417" i="7"/>
  <c r="AK418" i="7"/>
  <c r="AK419" i="7"/>
  <c r="AK420" i="7"/>
  <c r="AK421" i="7"/>
  <c r="AK422" i="7"/>
  <c r="AK423" i="7"/>
  <c r="AK424" i="7"/>
  <c r="AK425" i="7"/>
  <c r="AK426" i="7"/>
  <c r="AK427" i="7"/>
  <c r="AK428" i="7"/>
  <c r="AK429" i="7"/>
  <c r="AK430" i="7"/>
  <c r="AK431" i="7"/>
  <c r="AK432" i="7"/>
  <c r="AK433" i="7"/>
  <c r="AK434" i="7"/>
  <c r="AK435" i="7"/>
  <c r="AK436" i="7"/>
  <c r="AK437" i="7"/>
  <c r="AK438" i="7"/>
  <c r="AK439" i="7"/>
  <c r="AK440" i="7"/>
  <c r="AK441" i="7"/>
  <c r="AK442" i="7"/>
  <c r="AK443" i="7"/>
  <c r="AK444" i="7"/>
  <c r="AK445" i="7"/>
  <c r="AK446" i="7"/>
  <c r="AK447" i="7"/>
  <c r="AK448" i="7"/>
  <c r="AK449" i="7"/>
  <c r="AK450" i="7"/>
  <c r="AK451" i="7"/>
  <c r="AK452" i="7"/>
  <c r="AK453" i="7"/>
  <c r="AK454" i="7"/>
  <c r="AK455" i="7"/>
  <c r="AK456" i="7"/>
  <c r="AK457" i="7"/>
  <c r="AK458" i="7"/>
  <c r="AK459" i="7"/>
  <c r="AK460" i="7"/>
  <c r="AK461" i="7"/>
  <c r="AK462" i="7"/>
  <c r="AK463" i="7"/>
  <c r="AK464" i="7"/>
  <c r="AK465" i="7"/>
  <c r="AK466" i="7"/>
  <c r="AK467" i="7"/>
  <c r="AK468" i="7"/>
  <c r="AK469" i="7"/>
  <c r="AK470" i="7"/>
  <c r="AK471" i="7"/>
  <c r="AK472" i="7"/>
  <c r="AK473" i="7"/>
  <c r="AK474" i="7"/>
  <c r="AK475" i="7"/>
  <c r="AK476" i="7"/>
  <c r="AK477" i="7"/>
  <c r="AK478" i="7"/>
  <c r="AK479" i="7"/>
  <c r="AK480" i="7"/>
  <c r="AK481" i="7"/>
  <c r="AK482" i="7"/>
  <c r="AK483" i="7"/>
  <c r="AK484" i="7"/>
  <c r="AK485" i="7"/>
  <c r="AK486" i="7"/>
  <c r="AK487" i="7"/>
  <c r="AK488" i="7"/>
  <c r="AK489" i="7"/>
  <c r="AK490" i="7"/>
  <c r="AK491" i="7"/>
  <c r="AK492" i="7"/>
  <c r="AK493" i="7"/>
  <c r="AK494" i="7"/>
  <c r="AK495" i="7"/>
  <c r="AK496" i="7"/>
  <c r="AK497" i="7"/>
  <c r="AK3" i="7"/>
  <c r="AK4" i="7"/>
  <c r="E5" i="10"/>
  <c r="AI3" i="7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I126" i="7"/>
  <c r="AI127" i="7"/>
  <c r="AI128" i="7"/>
  <c r="AI129" i="7"/>
  <c r="AI130" i="7"/>
  <c r="AI131" i="7"/>
  <c r="AI132" i="7"/>
  <c r="AI133" i="7"/>
  <c r="AI134" i="7"/>
  <c r="AI135" i="7"/>
  <c r="AI136" i="7"/>
  <c r="AI137" i="7"/>
  <c r="AI138" i="7"/>
  <c r="AI139" i="7"/>
  <c r="AI140" i="7"/>
  <c r="AI141" i="7"/>
  <c r="AI142" i="7"/>
  <c r="AI143" i="7"/>
  <c r="AI144" i="7"/>
  <c r="AI145" i="7"/>
  <c r="AI146" i="7"/>
  <c r="AI147" i="7"/>
  <c r="AI148" i="7"/>
  <c r="AI149" i="7"/>
  <c r="AI150" i="7"/>
  <c r="AI151" i="7"/>
  <c r="AI152" i="7"/>
  <c r="AI153" i="7"/>
  <c r="AI154" i="7"/>
  <c r="AI155" i="7"/>
  <c r="AI156" i="7"/>
  <c r="AI157" i="7"/>
  <c r="AI158" i="7"/>
  <c r="AI159" i="7"/>
  <c r="AI160" i="7"/>
  <c r="AI161" i="7"/>
  <c r="AI162" i="7"/>
  <c r="AI163" i="7"/>
  <c r="AI164" i="7"/>
  <c r="AI165" i="7"/>
  <c r="AI166" i="7"/>
  <c r="AI167" i="7"/>
  <c r="AI168" i="7"/>
  <c r="AI169" i="7"/>
  <c r="AI170" i="7"/>
  <c r="AI171" i="7"/>
  <c r="AI172" i="7"/>
  <c r="AI173" i="7"/>
  <c r="AI174" i="7"/>
  <c r="AI175" i="7"/>
  <c r="AI176" i="7"/>
  <c r="AI177" i="7"/>
  <c r="AI178" i="7"/>
  <c r="AI179" i="7"/>
  <c r="AI180" i="7"/>
  <c r="AI181" i="7"/>
  <c r="AI182" i="7"/>
  <c r="AI183" i="7"/>
  <c r="AI184" i="7"/>
  <c r="AI185" i="7"/>
  <c r="AI186" i="7"/>
  <c r="AI187" i="7"/>
  <c r="AI188" i="7"/>
  <c r="AI189" i="7"/>
  <c r="AI190" i="7"/>
  <c r="AI191" i="7"/>
  <c r="AI192" i="7"/>
  <c r="AI193" i="7"/>
  <c r="AI194" i="7"/>
  <c r="AI195" i="7"/>
  <c r="AI196" i="7"/>
  <c r="AI197" i="7"/>
  <c r="AI198" i="7"/>
  <c r="AI199" i="7"/>
  <c r="AI200" i="7"/>
  <c r="AI201" i="7"/>
  <c r="AI202" i="7"/>
  <c r="AI203" i="7"/>
  <c r="AI204" i="7"/>
  <c r="AI205" i="7"/>
  <c r="AI206" i="7"/>
  <c r="AI207" i="7"/>
  <c r="AI208" i="7"/>
  <c r="AI209" i="7"/>
  <c r="AI210" i="7"/>
  <c r="AI211" i="7"/>
  <c r="AI212" i="7"/>
  <c r="AI213" i="7"/>
  <c r="AI214" i="7"/>
  <c r="AI215" i="7"/>
  <c r="AI216" i="7"/>
  <c r="AI217" i="7"/>
  <c r="AI218" i="7"/>
  <c r="AI219" i="7"/>
  <c r="AI220" i="7"/>
  <c r="AI221" i="7"/>
  <c r="AI222" i="7"/>
  <c r="AI223" i="7"/>
  <c r="AI224" i="7"/>
  <c r="AI225" i="7"/>
  <c r="AI226" i="7"/>
  <c r="AI227" i="7"/>
  <c r="AI228" i="7"/>
  <c r="AI229" i="7"/>
  <c r="AI230" i="7"/>
  <c r="AI231" i="7"/>
  <c r="AI232" i="7"/>
  <c r="AI233" i="7"/>
  <c r="AI234" i="7"/>
  <c r="AI235" i="7"/>
  <c r="AI236" i="7"/>
  <c r="AI237" i="7"/>
  <c r="AI238" i="7"/>
  <c r="AI239" i="7"/>
  <c r="AI240" i="7"/>
  <c r="AI241" i="7"/>
  <c r="AI242" i="7"/>
  <c r="AI243" i="7"/>
  <c r="AI244" i="7"/>
  <c r="AI245" i="7"/>
  <c r="AI246" i="7"/>
  <c r="AI247" i="7"/>
  <c r="AI248" i="7"/>
  <c r="AI249" i="7"/>
  <c r="AI250" i="7"/>
  <c r="AI251" i="7"/>
  <c r="AI252" i="7"/>
  <c r="AI253" i="7"/>
  <c r="AI254" i="7"/>
  <c r="AI255" i="7"/>
  <c r="AI256" i="7"/>
  <c r="AI257" i="7"/>
  <c r="AI258" i="7"/>
  <c r="AI259" i="7"/>
  <c r="AI260" i="7"/>
  <c r="AI261" i="7"/>
  <c r="AI262" i="7"/>
  <c r="AI263" i="7"/>
  <c r="AI264" i="7"/>
  <c r="AI265" i="7"/>
  <c r="AI266" i="7"/>
  <c r="AI267" i="7"/>
  <c r="AI268" i="7"/>
  <c r="AI269" i="7"/>
  <c r="AI270" i="7"/>
  <c r="AI271" i="7"/>
  <c r="AI272" i="7"/>
  <c r="AI273" i="7"/>
  <c r="AI274" i="7"/>
  <c r="AI275" i="7"/>
  <c r="AI276" i="7"/>
  <c r="AI277" i="7"/>
  <c r="AI278" i="7"/>
  <c r="AI279" i="7"/>
  <c r="AI280" i="7"/>
  <c r="AI281" i="7"/>
  <c r="AI282" i="7"/>
  <c r="AI283" i="7"/>
  <c r="AI284" i="7"/>
  <c r="AI285" i="7"/>
  <c r="AI286" i="7"/>
  <c r="AI287" i="7"/>
  <c r="AI288" i="7"/>
  <c r="AI289" i="7"/>
  <c r="AI290" i="7"/>
  <c r="AI291" i="7"/>
  <c r="AI292" i="7"/>
  <c r="AI293" i="7"/>
  <c r="AI294" i="7"/>
  <c r="AI295" i="7"/>
  <c r="AI296" i="7"/>
  <c r="AI297" i="7"/>
  <c r="AI298" i="7"/>
  <c r="AI299" i="7"/>
  <c r="AI300" i="7"/>
  <c r="AI301" i="7"/>
  <c r="AI302" i="7"/>
  <c r="AI303" i="7"/>
  <c r="AI304" i="7"/>
  <c r="AI305" i="7"/>
  <c r="AI306" i="7"/>
  <c r="AI307" i="7"/>
  <c r="AI308" i="7"/>
  <c r="AI309" i="7"/>
  <c r="AI310" i="7"/>
  <c r="AI311" i="7"/>
  <c r="AI312" i="7"/>
  <c r="AI313" i="7"/>
  <c r="AI314" i="7"/>
  <c r="AI315" i="7"/>
  <c r="AI316" i="7"/>
  <c r="AI317" i="7"/>
  <c r="AI318" i="7"/>
  <c r="AI319" i="7"/>
  <c r="AI320" i="7"/>
  <c r="AI321" i="7"/>
  <c r="AI322" i="7"/>
  <c r="AI323" i="7"/>
  <c r="AI324" i="7"/>
  <c r="AI325" i="7"/>
  <c r="AI326" i="7"/>
  <c r="AI327" i="7"/>
  <c r="AI328" i="7"/>
  <c r="AI329" i="7"/>
  <c r="AI330" i="7"/>
  <c r="AI331" i="7"/>
  <c r="AI332" i="7"/>
  <c r="AI333" i="7"/>
  <c r="AI334" i="7"/>
  <c r="AI335" i="7"/>
  <c r="AI336" i="7"/>
  <c r="AI337" i="7"/>
  <c r="AI338" i="7"/>
  <c r="AI339" i="7"/>
  <c r="AI340" i="7"/>
  <c r="AI341" i="7"/>
  <c r="AI342" i="7"/>
  <c r="AI343" i="7"/>
  <c r="AI344" i="7"/>
  <c r="AI345" i="7"/>
  <c r="AI346" i="7"/>
  <c r="AI347" i="7"/>
  <c r="AI348" i="7"/>
  <c r="AI349" i="7"/>
  <c r="AI350" i="7"/>
  <c r="AI351" i="7"/>
  <c r="AI352" i="7"/>
  <c r="AI353" i="7"/>
  <c r="AI354" i="7"/>
  <c r="AI355" i="7"/>
  <c r="AI356" i="7"/>
  <c r="AI357" i="7"/>
  <c r="AI358" i="7"/>
  <c r="AI359" i="7"/>
  <c r="AI360" i="7"/>
  <c r="AI361" i="7"/>
  <c r="AI362" i="7"/>
  <c r="AI363" i="7"/>
  <c r="AI364" i="7"/>
  <c r="AI365" i="7"/>
  <c r="AI366" i="7"/>
  <c r="AI367" i="7"/>
  <c r="AI368" i="7"/>
  <c r="AI369" i="7"/>
  <c r="AI370" i="7"/>
  <c r="AI371" i="7"/>
  <c r="AI372" i="7"/>
  <c r="AI373" i="7"/>
  <c r="AI374" i="7"/>
  <c r="AI375" i="7"/>
  <c r="AI376" i="7"/>
  <c r="AI377" i="7"/>
  <c r="AI378" i="7"/>
  <c r="AI379" i="7"/>
  <c r="AI380" i="7"/>
  <c r="AI381" i="7"/>
  <c r="AI382" i="7"/>
  <c r="AI383" i="7"/>
  <c r="AI384" i="7"/>
  <c r="AI385" i="7"/>
  <c r="AI386" i="7"/>
  <c r="AI387" i="7"/>
  <c r="AI388" i="7"/>
  <c r="AI389" i="7"/>
  <c r="AI390" i="7"/>
  <c r="AI391" i="7"/>
  <c r="AI392" i="7"/>
  <c r="AI393" i="7"/>
  <c r="AI394" i="7"/>
  <c r="AI395" i="7"/>
  <c r="AI396" i="7"/>
  <c r="AI397" i="7"/>
  <c r="AI398" i="7"/>
  <c r="AI399" i="7"/>
  <c r="AI400" i="7"/>
  <c r="AI401" i="7"/>
  <c r="AI402" i="7"/>
  <c r="AI403" i="7"/>
  <c r="AI404" i="7"/>
  <c r="AI405" i="7"/>
  <c r="AI406" i="7"/>
  <c r="AI407" i="7"/>
  <c r="AI408" i="7"/>
  <c r="AI409" i="7"/>
  <c r="AI410" i="7"/>
  <c r="AI411" i="7"/>
  <c r="AI412" i="7"/>
  <c r="AI413" i="7"/>
  <c r="AI414" i="7"/>
  <c r="AI415" i="7"/>
  <c r="AI416" i="7"/>
  <c r="AI417" i="7"/>
  <c r="AI418" i="7"/>
  <c r="AI419" i="7"/>
  <c r="AI420" i="7"/>
  <c r="AI421" i="7"/>
  <c r="AI422" i="7"/>
  <c r="AI423" i="7"/>
  <c r="AI424" i="7"/>
  <c r="AI425" i="7"/>
  <c r="AI426" i="7"/>
  <c r="AI427" i="7"/>
  <c r="AI428" i="7"/>
  <c r="AI429" i="7"/>
  <c r="AI430" i="7"/>
  <c r="AI431" i="7"/>
  <c r="AI432" i="7"/>
  <c r="AI433" i="7"/>
  <c r="AI434" i="7"/>
  <c r="AI435" i="7"/>
  <c r="AI436" i="7"/>
  <c r="AI437" i="7"/>
  <c r="AI438" i="7"/>
  <c r="AI439" i="7"/>
  <c r="AI440" i="7"/>
  <c r="AI441" i="7"/>
  <c r="AI442" i="7"/>
  <c r="AI443" i="7"/>
  <c r="AI444" i="7"/>
  <c r="AI445" i="7"/>
  <c r="AI446" i="7"/>
  <c r="AI447" i="7"/>
  <c r="AI448" i="7"/>
  <c r="AI449" i="7"/>
  <c r="AI450" i="7"/>
  <c r="AI451" i="7"/>
  <c r="AI452" i="7"/>
  <c r="AI453" i="7"/>
  <c r="AI454" i="7"/>
  <c r="AI455" i="7"/>
  <c r="AI456" i="7"/>
  <c r="AI457" i="7"/>
  <c r="AI458" i="7"/>
  <c r="AI459" i="7"/>
  <c r="AI460" i="7"/>
  <c r="AI461" i="7"/>
  <c r="AI462" i="7"/>
  <c r="AI463" i="7"/>
  <c r="AI464" i="7"/>
  <c r="AI465" i="7"/>
  <c r="AI466" i="7"/>
  <c r="AI467" i="7"/>
  <c r="AI468" i="7"/>
  <c r="AI469" i="7"/>
  <c r="AI470" i="7"/>
  <c r="AI471" i="7"/>
  <c r="AI472" i="7"/>
  <c r="AI473" i="7"/>
  <c r="AI474" i="7"/>
  <c r="AI475" i="7"/>
  <c r="AI476" i="7"/>
  <c r="AI477" i="7"/>
  <c r="AI478" i="7"/>
  <c r="AI479" i="7"/>
  <c r="AI480" i="7"/>
  <c r="AI481" i="7"/>
  <c r="AI482" i="7"/>
  <c r="AI483" i="7"/>
  <c r="AI484" i="7"/>
  <c r="AI485" i="7"/>
  <c r="AI486" i="7"/>
  <c r="AI487" i="7"/>
  <c r="AI488" i="7"/>
  <c r="AI489" i="7"/>
  <c r="AI490" i="7"/>
  <c r="AI491" i="7"/>
  <c r="AI492" i="7"/>
  <c r="AI493" i="7"/>
  <c r="AI494" i="7"/>
  <c r="AI495" i="7"/>
  <c r="AI496" i="7"/>
  <c r="AI497" i="7"/>
  <c r="AI2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H208" i="7"/>
  <c r="AH209" i="7"/>
  <c r="AH210" i="7"/>
  <c r="AH211" i="7"/>
  <c r="AH212" i="7"/>
  <c r="AH213" i="7"/>
  <c r="AH214" i="7"/>
  <c r="AH215" i="7"/>
  <c r="AH216" i="7"/>
  <c r="AH217" i="7"/>
  <c r="AH218" i="7"/>
  <c r="AH219" i="7"/>
  <c r="AH220" i="7"/>
  <c r="AH221" i="7"/>
  <c r="AH222" i="7"/>
  <c r="AH223" i="7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H240" i="7"/>
  <c r="AH241" i="7"/>
  <c r="AH242" i="7"/>
  <c r="AH243" i="7"/>
  <c r="AH244" i="7"/>
  <c r="AH245" i="7"/>
  <c r="AH246" i="7"/>
  <c r="AH247" i="7"/>
  <c r="AH248" i="7"/>
  <c r="AH249" i="7"/>
  <c r="AH250" i="7"/>
  <c r="AH251" i="7"/>
  <c r="AH252" i="7"/>
  <c r="AH253" i="7"/>
  <c r="AH254" i="7"/>
  <c r="AH255" i="7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H269" i="7"/>
  <c r="AH270" i="7"/>
  <c r="AH271" i="7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H285" i="7"/>
  <c r="AH286" i="7"/>
  <c r="AH287" i="7"/>
  <c r="AH288" i="7"/>
  <c r="AH289" i="7"/>
  <c r="AH290" i="7"/>
  <c r="AH291" i="7"/>
  <c r="AH292" i="7"/>
  <c r="AH293" i="7"/>
  <c r="AH294" i="7"/>
  <c r="AH295" i="7"/>
  <c r="AH296" i="7"/>
  <c r="AH297" i="7"/>
  <c r="AH298" i="7"/>
  <c r="AH299" i="7"/>
  <c r="AH300" i="7"/>
  <c r="AH301" i="7"/>
  <c r="AH302" i="7"/>
  <c r="AH303" i="7"/>
  <c r="AH304" i="7"/>
  <c r="AH305" i="7"/>
  <c r="AH306" i="7"/>
  <c r="AH307" i="7"/>
  <c r="AH308" i="7"/>
  <c r="AH309" i="7"/>
  <c r="AH310" i="7"/>
  <c r="AH311" i="7"/>
  <c r="AH312" i="7"/>
  <c r="AH313" i="7"/>
  <c r="AH314" i="7"/>
  <c r="AH315" i="7"/>
  <c r="AH316" i="7"/>
  <c r="AH317" i="7"/>
  <c r="AH318" i="7"/>
  <c r="AH319" i="7"/>
  <c r="AH320" i="7"/>
  <c r="AH321" i="7"/>
  <c r="AH322" i="7"/>
  <c r="AH323" i="7"/>
  <c r="AH324" i="7"/>
  <c r="AH325" i="7"/>
  <c r="AH326" i="7"/>
  <c r="AH327" i="7"/>
  <c r="AH328" i="7"/>
  <c r="AH329" i="7"/>
  <c r="AH330" i="7"/>
  <c r="AH331" i="7"/>
  <c r="AH332" i="7"/>
  <c r="AH333" i="7"/>
  <c r="AH334" i="7"/>
  <c r="AH335" i="7"/>
  <c r="AH336" i="7"/>
  <c r="AH337" i="7"/>
  <c r="AH338" i="7"/>
  <c r="AH339" i="7"/>
  <c r="AH340" i="7"/>
  <c r="AH341" i="7"/>
  <c r="AH342" i="7"/>
  <c r="AH343" i="7"/>
  <c r="AH344" i="7"/>
  <c r="AH345" i="7"/>
  <c r="AH346" i="7"/>
  <c r="AH347" i="7"/>
  <c r="AH348" i="7"/>
  <c r="AH349" i="7"/>
  <c r="AH350" i="7"/>
  <c r="AH351" i="7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H365" i="7"/>
  <c r="AH366" i="7"/>
  <c r="AH367" i="7"/>
  <c r="AH368" i="7"/>
  <c r="AH369" i="7"/>
  <c r="AH370" i="7"/>
  <c r="AH371" i="7"/>
  <c r="AH372" i="7"/>
  <c r="AH373" i="7"/>
  <c r="AH374" i="7"/>
  <c r="AH375" i="7"/>
  <c r="AH376" i="7"/>
  <c r="AH377" i="7"/>
  <c r="AH378" i="7"/>
  <c r="AH379" i="7"/>
  <c r="AH380" i="7"/>
  <c r="AH381" i="7"/>
  <c r="AH382" i="7"/>
  <c r="AH383" i="7"/>
  <c r="AH384" i="7"/>
  <c r="AH385" i="7"/>
  <c r="AH386" i="7"/>
  <c r="AH387" i="7"/>
  <c r="AH388" i="7"/>
  <c r="AH389" i="7"/>
  <c r="AH390" i="7"/>
  <c r="AH391" i="7"/>
  <c r="AH392" i="7"/>
  <c r="AH393" i="7"/>
  <c r="AH394" i="7"/>
  <c r="AH395" i="7"/>
  <c r="AH396" i="7"/>
  <c r="AH397" i="7"/>
  <c r="AH398" i="7"/>
  <c r="AH399" i="7"/>
  <c r="AH400" i="7"/>
  <c r="AH401" i="7"/>
  <c r="AH402" i="7"/>
  <c r="AH403" i="7"/>
  <c r="AH404" i="7"/>
  <c r="AH405" i="7"/>
  <c r="AH406" i="7"/>
  <c r="AH407" i="7"/>
  <c r="AH408" i="7"/>
  <c r="AH409" i="7"/>
  <c r="AH410" i="7"/>
  <c r="AH411" i="7"/>
  <c r="AH412" i="7"/>
  <c r="AH413" i="7"/>
  <c r="AH414" i="7"/>
  <c r="AH415" i="7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H429" i="7"/>
  <c r="AH430" i="7"/>
  <c r="AH431" i="7"/>
  <c r="AH432" i="7"/>
  <c r="AH433" i="7"/>
  <c r="AH434" i="7"/>
  <c r="AH435" i="7"/>
  <c r="AH436" i="7"/>
  <c r="AH437" i="7"/>
  <c r="AH438" i="7"/>
  <c r="AH439" i="7"/>
  <c r="AH440" i="7"/>
  <c r="AH441" i="7"/>
  <c r="AH442" i="7"/>
  <c r="AH443" i="7"/>
  <c r="AH444" i="7"/>
  <c r="AH445" i="7"/>
  <c r="AH446" i="7"/>
  <c r="AH447" i="7"/>
  <c r="AH448" i="7"/>
  <c r="AH449" i="7"/>
  <c r="AH450" i="7"/>
  <c r="AH451" i="7"/>
  <c r="AH452" i="7"/>
  <c r="AH453" i="7"/>
  <c r="AH454" i="7"/>
  <c r="AH455" i="7"/>
  <c r="AH456" i="7"/>
  <c r="AH457" i="7"/>
  <c r="AH458" i="7"/>
  <c r="AH459" i="7"/>
  <c r="AH460" i="7"/>
  <c r="AH461" i="7"/>
  <c r="AH462" i="7"/>
  <c r="AH463" i="7"/>
  <c r="AH464" i="7"/>
  <c r="AH465" i="7"/>
  <c r="AH466" i="7"/>
  <c r="AH467" i="7"/>
  <c r="AH468" i="7"/>
  <c r="AH469" i="7"/>
  <c r="AH470" i="7"/>
  <c r="AH471" i="7"/>
  <c r="AH472" i="7"/>
  <c r="AH473" i="7"/>
  <c r="AH474" i="7"/>
  <c r="AH475" i="7"/>
  <c r="AH476" i="7"/>
  <c r="AH477" i="7"/>
  <c r="AH478" i="7"/>
  <c r="AH479" i="7"/>
  <c r="AH480" i="7"/>
  <c r="AH481" i="7"/>
  <c r="AH482" i="7"/>
  <c r="AH483" i="7"/>
  <c r="AH484" i="7"/>
  <c r="AH485" i="7"/>
  <c r="AH486" i="7"/>
  <c r="AH487" i="7"/>
  <c r="AH488" i="7"/>
  <c r="AH489" i="7"/>
  <c r="AH490" i="7"/>
  <c r="AH491" i="7"/>
  <c r="AH492" i="7"/>
  <c r="AH493" i="7"/>
  <c r="AH494" i="7"/>
  <c r="AH495" i="7"/>
  <c r="AH496" i="7"/>
  <c r="AH497" i="7"/>
  <c r="AH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G205" i="7"/>
  <c r="AG206" i="7"/>
  <c r="AG207" i="7"/>
  <c r="AG208" i="7"/>
  <c r="AG209" i="7"/>
  <c r="AG210" i="7"/>
  <c r="AG211" i="7"/>
  <c r="AG212" i="7"/>
  <c r="AG213" i="7"/>
  <c r="AG214" i="7"/>
  <c r="AG215" i="7"/>
  <c r="AG216" i="7"/>
  <c r="AG217" i="7"/>
  <c r="AG218" i="7"/>
  <c r="AG219" i="7"/>
  <c r="AG220" i="7"/>
  <c r="AG221" i="7"/>
  <c r="AG222" i="7"/>
  <c r="AG223" i="7"/>
  <c r="AG224" i="7"/>
  <c r="AG225" i="7"/>
  <c r="AG226" i="7"/>
  <c r="AG227" i="7"/>
  <c r="AG228" i="7"/>
  <c r="AG229" i="7"/>
  <c r="AG230" i="7"/>
  <c r="AG231" i="7"/>
  <c r="AG232" i="7"/>
  <c r="AG233" i="7"/>
  <c r="AG234" i="7"/>
  <c r="AG235" i="7"/>
  <c r="AG236" i="7"/>
  <c r="AG237" i="7"/>
  <c r="AG238" i="7"/>
  <c r="AG239" i="7"/>
  <c r="AG240" i="7"/>
  <c r="AG241" i="7"/>
  <c r="AG242" i="7"/>
  <c r="AG243" i="7"/>
  <c r="AG244" i="7"/>
  <c r="AG245" i="7"/>
  <c r="AG246" i="7"/>
  <c r="AG247" i="7"/>
  <c r="AG248" i="7"/>
  <c r="AG249" i="7"/>
  <c r="AG250" i="7"/>
  <c r="AG251" i="7"/>
  <c r="AG252" i="7"/>
  <c r="AG253" i="7"/>
  <c r="AG254" i="7"/>
  <c r="AG255" i="7"/>
  <c r="AG256" i="7"/>
  <c r="AG257" i="7"/>
  <c r="AG258" i="7"/>
  <c r="AG259" i="7"/>
  <c r="AG260" i="7"/>
  <c r="AG261" i="7"/>
  <c r="AG262" i="7"/>
  <c r="AG263" i="7"/>
  <c r="AG264" i="7"/>
  <c r="AG265" i="7"/>
  <c r="AG266" i="7"/>
  <c r="AG267" i="7"/>
  <c r="AG268" i="7"/>
  <c r="AG269" i="7"/>
  <c r="AG270" i="7"/>
  <c r="AG271" i="7"/>
  <c r="AG272" i="7"/>
  <c r="AG273" i="7"/>
  <c r="AG274" i="7"/>
  <c r="AG275" i="7"/>
  <c r="AG276" i="7"/>
  <c r="AG277" i="7"/>
  <c r="AG278" i="7"/>
  <c r="AG279" i="7"/>
  <c r="AG280" i="7"/>
  <c r="AG281" i="7"/>
  <c r="AG282" i="7"/>
  <c r="AG283" i="7"/>
  <c r="AG284" i="7"/>
  <c r="AG285" i="7"/>
  <c r="AG286" i="7"/>
  <c r="AG287" i="7"/>
  <c r="AG288" i="7"/>
  <c r="AG289" i="7"/>
  <c r="AG290" i="7"/>
  <c r="AG291" i="7"/>
  <c r="AG292" i="7"/>
  <c r="AG293" i="7"/>
  <c r="AG294" i="7"/>
  <c r="AG295" i="7"/>
  <c r="AG296" i="7"/>
  <c r="AG297" i="7"/>
  <c r="AG298" i="7"/>
  <c r="AG299" i="7"/>
  <c r="AG300" i="7"/>
  <c r="AG301" i="7"/>
  <c r="AG302" i="7"/>
  <c r="AG303" i="7"/>
  <c r="AG304" i="7"/>
  <c r="AG305" i="7"/>
  <c r="AG306" i="7"/>
  <c r="AG307" i="7"/>
  <c r="AG308" i="7"/>
  <c r="AG309" i="7"/>
  <c r="AG310" i="7"/>
  <c r="AG311" i="7"/>
  <c r="AG312" i="7"/>
  <c r="AG313" i="7"/>
  <c r="AG314" i="7"/>
  <c r="AG315" i="7"/>
  <c r="AG316" i="7"/>
  <c r="AG317" i="7"/>
  <c r="AG318" i="7"/>
  <c r="AG319" i="7"/>
  <c r="AG320" i="7"/>
  <c r="AG321" i="7"/>
  <c r="AG322" i="7"/>
  <c r="AG323" i="7"/>
  <c r="AG324" i="7"/>
  <c r="AG325" i="7"/>
  <c r="AG326" i="7"/>
  <c r="AG327" i="7"/>
  <c r="AG328" i="7"/>
  <c r="AG329" i="7"/>
  <c r="AG330" i="7"/>
  <c r="AG331" i="7"/>
  <c r="AG332" i="7"/>
  <c r="AG333" i="7"/>
  <c r="AG334" i="7"/>
  <c r="AG335" i="7"/>
  <c r="AG336" i="7"/>
  <c r="AG337" i="7"/>
  <c r="AG338" i="7"/>
  <c r="AG339" i="7"/>
  <c r="AG340" i="7"/>
  <c r="AG341" i="7"/>
  <c r="AG342" i="7"/>
  <c r="AG343" i="7"/>
  <c r="AG344" i="7"/>
  <c r="AG345" i="7"/>
  <c r="AG346" i="7"/>
  <c r="AG347" i="7"/>
  <c r="AG348" i="7"/>
  <c r="AG349" i="7"/>
  <c r="AG350" i="7"/>
  <c r="AG351" i="7"/>
  <c r="AG352" i="7"/>
  <c r="AG353" i="7"/>
  <c r="AG354" i="7"/>
  <c r="AG355" i="7"/>
  <c r="AG356" i="7"/>
  <c r="AG357" i="7"/>
  <c r="AG358" i="7"/>
  <c r="AG359" i="7"/>
  <c r="AG360" i="7"/>
  <c r="AG361" i="7"/>
  <c r="AG362" i="7"/>
  <c r="AG363" i="7"/>
  <c r="AG364" i="7"/>
  <c r="AG365" i="7"/>
  <c r="AG366" i="7"/>
  <c r="AG367" i="7"/>
  <c r="AG368" i="7"/>
  <c r="AG369" i="7"/>
  <c r="AG370" i="7"/>
  <c r="AG371" i="7"/>
  <c r="AG372" i="7"/>
  <c r="AG373" i="7"/>
  <c r="AG374" i="7"/>
  <c r="AG375" i="7"/>
  <c r="AG376" i="7"/>
  <c r="AG377" i="7"/>
  <c r="AG378" i="7"/>
  <c r="AG379" i="7"/>
  <c r="AG380" i="7"/>
  <c r="AG381" i="7"/>
  <c r="AG382" i="7"/>
  <c r="AG383" i="7"/>
  <c r="AG384" i="7"/>
  <c r="AG385" i="7"/>
  <c r="AG386" i="7"/>
  <c r="AG387" i="7"/>
  <c r="AG388" i="7"/>
  <c r="AG389" i="7"/>
  <c r="AG390" i="7"/>
  <c r="AG391" i="7"/>
  <c r="AG392" i="7"/>
  <c r="AG393" i="7"/>
  <c r="AG394" i="7"/>
  <c r="AG395" i="7"/>
  <c r="AG396" i="7"/>
  <c r="AG397" i="7"/>
  <c r="AG398" i="7"/>
  <c r="AG399" i="7"/>
  <c r="AG400" i="7"/>
  <c r="AG401" i="7"/>
  <c r="AG402" i="7"/>
  <c r="AG403" i="7"/>
  <c r="AG404" i="7"/>
  <c r="AG405" i="7"/>
  <c r="AG406" i="7"/>
  <c r="AG407" i="7"/>
  <c r="AG408" i="7"/>
  <c r="AG409" i="7"/>
  <c r="AG410" i="7"/>
  <c r="AG411" i="7"/>
  <c r="AG412" i="7"/>
  <c r="AG413" i="7"/>
  <c r="AG414" i="7"/>
  <c r="AG415" i="7"/>
  <c r="AG416" i="7"/>
  <c r="AG417" i="7"/>
  <c r="AG418" i="7"/>
  <c r="AG419" i="7"/>
  <c r="AG420" i="7"/>
  <c r="AG421" i="7"/>
  <c r="AG422" i="7"/>
  <c r="AG423" i="7"/>
  <c r="AG424" i="7"/>
  <c r="AG425" i="7"/>
  <c r="AG426" i="7"/>
  <c r="AG427" i="7"/>
  <c r="AG428" i="7"/>
  <c r="AG429" i="7"/>
  <c r="AG430" i="7"/>
  <c r="AG431" i="7"/>
  <c r="AG432" i="7"/>
  <c r="AG433" i="7"/>
  <c r="AG434" i="7"/>
  <c r="AG435" i="7"/>
  <c r="AG436" i="7"/>
  <c r="AG437" i="7"/>
  <c r="AG438" i="7"/>
  <c r="AG439" i="7"/>
  <c r="AG440" i="7"/>
  <c r="AG441" i="7"/>
  <c r="AG442" i="7"/>
  <c r="AG443" i="7"/>
  <c r="AG444" i="7"/>
  <c r="AG445" i="7"/>
  <c r="AG446" i="7"/>
  <c r="AG447" i="7"/>
  <c r="AG448" i="7"/>
  <c r="AG449" i="7"/>
  <c r="AG450" i="7"/>
  <c r="AG451" i="7"/>
  <c r="AG452" i="7"/>
  <c r="AG453" i="7"/>
  <c r="AG454" i="7"/>
  <c r="AG455" i="7"/>
  <c r="AG456" i="7"/>
  <c r="AG457" i="7"/>
  <c r="AG458" i="7"/>
  <c r="AG459" i="7"/>
  <c r="AG460" i="7"/>
  <c r="AG461" i="7"/>
  <c r="AG462" i="7"/>
  <c r="AG463" i="7"/>
  <c r="AG464" i="7"/>
  <c r="AG465" i="7"/>
  <c r="AG466" i="7"/>
  <c r="AG467" i="7"/>
  <c r="AG468" i="7"/>
  <c r="AG469" i="7"/>
  <c r="AG470" i="7"/>
  <c r="AG471" i="7"/>
  <c r="AG472" i="7"/>
  <c r="AG473" i="7"/>
  <c r="AG474" i="7"/>
  <c r="AG475" i="7"/>
  <c r="AG476" i="7"/>
  <c r="AG477" i="7"/>
  <c r="AG478" i="7"/>
  <c r="AG479" i="7"/>
  <c r="AG480" i="7"/>
  <c r="AG481" i="7"/>
  <c r="AG482" i="7"/>
  <c r="AG483" i="7"/>
  <c r="AG484" i="7"/>
  <c r="AG485" i="7"/>
  <c r="AG486" i="7"/>
  <c r="AG487" i="7"/>
  <c r="AG488" i="7"/>
  <c r="AG489" i="7"/>
  <c r="AG490" i="7"/>
  <c r="AG491" i="7"/>
  <c r="AG492" i="7"/>
  <c r="AG493" i="7"/>
  <c r="AG494" i="7"/>
  <c r="AG495" i="7"/>
  <c r="AG496" i="7"/>
  <c r="AG497" i="7"/>
  <c r="AG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F205" i="7"/>
  <c r="AF206" i="7"/>
  <c r="AF207" i="7"/>
  <c r="AF208" i="7"/>
  <c r="AF209" i="7"/>
  <c r="AF210" i="7"/>
  <c r="AF211" i="7"/>
  <c r="AF212" i="7"/>
  <c r="AF213" i="7"/>
  <c r="AF214" i="7"/>
  <c r="AF215" i="7"/>
  <c r="AF216" i="7"/>
  <c r="AF217" i="7"/>
  <c r="AF218" i="7"/>
  <c r="AF219" i="7"/>
  <c r="AF220" i="7"/>
  <c r="AF221" i="7"/>
  <c r="AF222" i="7"/>
  <c r="AF223" i="7"/>
  <c r="AF224" i="7"/>
  <c r="AF225" i="7"/>
  <c r="AF226" i="7"/>
  <c r="AF227" i="7"/>
  <c r="AF228" i="7"/>
  <c r="AF229" i="7"/>
  <c r="AF230" i="7"/>
  <c r="AF231" i="7"/>
  <c r="AF232" i="7"/>
  <c r="AF233" i="7"/>
  <c r="AF234" i="7"/>
  <c r="AF235" i="7"/>
  <c r="AF236" i="7"/>
  <c r="AF237" i="7"/>
  <c r="AF238" i="7"/>
  <c r="AF239" i="7"/>
  <c r="AF240" i="7"/>
  <c r="AF241" i="7"/>
  <c r="AF242" i="7"/>
  <c r="AF243" i="7"/>
  <c r="AF244" i="7"/>
  <c r="AF245" i="7"/>
  <c r="AF246" i="7"/>
  <c r="AF247" i="7"/>
  <c r="AF248" i="7"/>
  <c r="AF249" i="7"/>
  <c r="AF250" i="7"/>
  <c r="AF251" i="7"/>
  <c r="AF252" i="7"/>
  <c r="AF253" i="7"/>
  <c r="AF254" i="7"/>
  <c r="AF255" i="7"/>
  <c r="AF256" i="7"/>
  <c r="AF257" i="7"/>
  <c r="AF258" i="7"/>
  <c r="AF259" i="7"/>
  <c r="AF260" i="7"/>
  <c r="AF261" i="7"/>
  <c r="AF262" i="7"/>
  <c r="AF263" i="7"/>
  <c r="AF264" i="7"/>
  <c r="AF265" i="7"/>
  <c r="AF266" i="7"/>
  <c r="AF267" i="7"/>
  <c r="AF268" i="7"/>
  <c r="AF269" i="7"/>
  <c r="AF270" i="7"/>
  <c r="AF271" i="7"/>
  <c r="AF272" i="7"/>
  <c r="AF273" i="7"/>
  <c r="AF274" i="7"/>
  <c r="AF275" i="7"/>
  <c r="AF276" i="7"/>
  <c r="AF277" i="7"/>
  <c r="AF278" i="7"/>
  <c r="AF279" i="7"/>
  <c r="AF280" i="7"/>
  <c r="AF281" i="7"/>
  <c r="AF282" i="7"/>
  <c r="AF283" i="7"/>
  <c r="AF284" i="7"/>
  <c r="AF285" i="7"/>
  <c r="AF286" i="7"/>
  <c r="AF287" i="7"/>
  <c r="AF288" i="7"/>
  <c r="AF289" i="7"/>
  <c r="AF290" i="7"/>
  <c r="AF291" i="7"/>
  <c r="AF292" i="7"/>
  <c r="AF293" i="7"/>
  <c r="AF294" i="7"/>
  <c r="AF295" i="7"/>
  <c r="AF296" i="7"/>
  <c r="AF297" i="7"/>
  <c r="AF298" i="7"/>
  <c r="AF299" i="7"/>
  <c r="AF300" i="7"/>
  <c r="AF301" i="7"/>
  <c r="AF302" i="7"/>
  <c r="AF303" i="7"/>
  <c r="AF304" i="7"/>
  <c r="AF305" i="7"/>
  <c r="AF306" i="7"/>
  <c r="AF307" i="7"/>
  <c r="AF308" i="7"/>
  <c r="AF309" i="7"/>
  <c r="AF310" i="7"/>
  <c r="AF311" i="7"/>
  <c r="AF312" i="7"/>
  <c r="AF313" i="7"/>
  <c r="AF314" i="7"/>
  <c r="AF315" i="7"/>
  <c r="AF316" i="7"/>
  <c r="AF317" i="7"/>
  <c r="AF318" i="7"/>
  <c r="AF319" i="7"/>
  <c r="AF320" i="7"/>
  <c r="AF321" i="7"/>
  <c r="AF322" i="7"/>
  <c r="AF323" i="7"/>
  <c r="AF324" i="7"/>
  <c r="AF325" i="7"/>
  <c r="AF326" i="7"/>
  <c r="AF327" i="7"/>
  <c r="AF328" i="7"/>
  <c r="AF329" i="7"/>
  <c r="AF330" i="7"/>
  <c r="AF331" i="7"/>
  <c r="AF332" i="7"/>
  <c r="AF333" i="7"/>
  <c r="AF334" i="7"/>
  <c r="AF335" i="7"/>
  <c r="AF336" i="7"/>
  <c r="AF337" i="7"/>
  <c r="AF338" i="7"/>
  <c r="AF339" i="7"/>
  <c r="AF340" i="7"/>
  <c r="AF341" i="7"/>
  <c r="AF342" i="7"/>
  <c r="AF343" i="7"/>
  <c r="AF344" i="7"/>
  <c r="AF345" i="7"/>
  <c r="AF346" i="7"/>
  <c r="AF347" i="7"/>
  <c r="AF348" i="7"/>
  <c r="AF349" i="7"/>
  <c r="AF350" i="7"/>
  <c r="AF351" i="7"/>
  <c r="AF352" i="7"/>
  <c r="AF353" i="7"/>
  <c r="AF354" i="7"/>
  <c r="AF355" i="7"/>
  <c r="AF356" i="7"/>
  <c r="AF357" i="7"/>
  <c r="AF358" i="7"/>
  <c r="AF359" i="7"/>
  <c r="AF360" i="7"/>
  <c r="AF361" i="7"/>
  <c r="AF362" i="7"/>
  <c r="AF363" i="7"/>
  <c r="AF364" i="7"/>
  <c r="AF365" i="7"/>
  <c r="AF366" i="7"/>
  <c r="AF367" i="7"/>
  <c r="AF368" i="7"/>
  <c r="AF369" i="7"/>
  <c r="AF370" i="7"/>
  <c r="AF371" i="7"/>
  <c r="AF372" i="7"/>
  <c r="AF373" i="7"/>
  <c r="AF374" i="7"/>
  <c r="AF375" i="7"/>
  <c r="AF376" i="7"/>
  <c r="AF377" i="7"/>
  <c r="AF378" i="7"/>
  <c r="AF379" i="7"/>
  <c r="AF380" i="7"/>
  <c r="AF381" i="7"/>
  <c r="AF382" i="7"/>
  <c r="AF383" i="7"/>
  <c r="AF384" i="7"/>
  <c r="AF385" i="7"/>
  <c r="AF386" i="7"/>
  <c r="AF387" i="7"/>
  <c r="AF388" i="7"/>
  <c r="AF389" i="7"/>
  <c r="AF390" i="7"/>
  <c r="AF391" i="7"/>
  <c r="AF392" i="7"/>
  <c r="AF393" i="7"/>
  <c r="AF394" i="7"/>
  <c r="AF395" i="7"/>
  <c r="AF396" i="7"/>
  <c r="AF397" i="7"/>
  <c r="AF398" i="7"/>
  <c r="AF399" i="7"/>
  <c r="AF400" i="7"/>
  <c r="AF401" i="7"/>
  <c r="AF402" i="7"/>
  <c r="AF403" i="7"/>
  <c r="AF404" i="7"/>
  <c r="AF405" i="7"/>
  <c r="AF406" i="7"/>
  <c r="AF407" i="7"/>
  <c r="AF408" i="7"/>
  <c r="AF409" i="7"/>
  <c r="AF410" i="7"/>
  <c r="AF411" i="7"/>
  <c r="AF412" i="7"/>
  <c r="AF413" i="7"/>
  <c r="AF414" i="7"/>
  <c r="AF415" i="7"/>
  <c r="AF416" i="7"/>
  <c r="AF417" i="7"/>
  <c r="AF418" i="7"/>
  <c r="AF419" i="7"/>
  <c r="AF420" i="7"/>
  <c r="AF421" i="7"/>
  <c r="AF422" i="7"/>
  <c r="AF423" i="7"/>
  <c r="AF424" i="7"/>
  <c r="AF425" i="7"/>
  <c r="AF426" i="7"/>
  <c r="AF427" i="7"/>
  <c r="AF428" i="7"/>
  <c r="AF429" i="7"/>
  <c r="AF430" i="7"/>
  <c r="AF431" i="7"/>
  <c r="AF432" i="7"/>
  <c r="AF433" i="7"/>
  <c r="AF434" i="7"/>
  <c r="AF435" i="7"/>
  <c r="AF436" i="7"/>
  <c r="AF437" i="7"/>
  <c r="AF438" i="7"/>
  <c r="AF439" i="7"/>
  <c r="AF440" i="7"/>
  <c r="AF441" i="7"/>
  <c r="AF442" i="7"/>
  <c r="AF443" i="7"/>
  <c r="AF444" i="7"/>
  <c r="AF445" i="7"/>
  <c r="AF446" i="7"/>
  <c r="AF447" i="7"/>
  <c r="AF448" i="7"/>
  <c r="AF449" i="7"/>
  <c r="AF450" i="7"/>
  <c r="AF451" i="7"/>
  <c r="AF452" i="7"/>
  <c r="AF453" i="7"/>
  <c r="AF454" i="7"/>
  <c r="AF455" i="7"/>
  <c r="AF456" i="7"/>
  <c r="AF457" i="7"/>
  <c r="AF458" i="7"/>
  <c r="AF459" i="7"/>
  <c r="AF460" i="7"/>
  <c r="AF461" i="7"/>
  <c r="AF462" i="7"/>
  <c r="AF463" i="7"/>
  <c r="AF464" i="7"/>
  <c r="AF465" i="7"/>
  <c r="AF466" i="7"/>
  <c r="AF467" i="7"/>
  <c r="AF468" i="7"/>
  <c r="AF469" i="7"/>
  <c r="AF470" i="7"/>
  <c r="AF471" i="7"/>
  <c r="AF472" i="7"/>
  <c r="AF473" i="7"/>
  <c r="AF474" i="7"/>
  <c r="AF475" i="7"/>
  <c r="AF476" i="7"/>
  <c r="AF477" i="7"/>
  <c r="AF478" i="7"/>
  <c r="AF479" i="7"/>
  <c r="AF480" i="7"/>
  <c r="AF481" i="7"/>
  <c r="AF482" i="7"/>
  <c r="AF483" i="7"/>
  <c r="AF484" i="7"/>
  <c r="AF485" i="7"/>
  <c r="AF486" i="7"/>
  <c r="AF487" i="7"/>
  <c r="AF488" i="7"/>
  <c r="AF489" i="7"/>
  <c r="AF490" i="7"/>
  <c r="AF491" i="7"/>
  <c r="AF492" i="7"/>
  <c r="AF493" i="7"/>
  <c r="AF494" i="7"/>
  <c r="AF495" i="7"/>
  <c r="AF496" i="7"/>
  <c r="AF497" i="7"/>
  <c r="AF2" i="7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E214" i="7"/>
  <c r="AE215" i="7"/>
  <c r="AE216" i="7"/>
  <c r="AE217" i="7"/>
  <c r="AE218" i="7"/>
  <c r="AE219" i="7"/>
  <c r="AE220" i="7"/>
  <c r="AE221" i="7"/>
  <c r="AE222" i="7"/>
  <c r="AE223" i="7"/>
  <c r="AE224" i="7"/>
  <c r="AE225" i="7"/>
  <c r="AE226" i="7"/>
  <c r="AE227" i="7"/>
  <c r="AE228" i="7"/>
  <c r="AE229" i="7"/>
  <c r="AE230" i="7"/>
  <c r="AE231" i="7"/>
  <c r="AE232" i="7"/>
  <c r="AE233" i="7"/>
  <c r="AE234" i="7"/>
  <c r="AE235" i="7"/>
  <c r="AE236" i="7"/>
  <c r="AE237" i="7"/>
  <c r="AE238" i="7"/>
  <c r="AE239" i="7"/>
  <c r="AE240" i="7"/>
  <c r="AE241" i="7"/>
  <c r="AE242" i="7"/>
  <c r="AE243" i="7"/>
  <c r="AE244" i="7"/>
  <c r="AE245" i="7"/>
  <c r="AE246" i="7"/>
  <c r="AE247" i="7"/>
  <c r="AE248" i="7"/>
  <c r="AE249" i="7"/>
  <c r="AE250" i="7"/>
  <c r="AE251" i="7"/>
  <c r="AE252" i="7"/>
  <c r="AE253" i="7"/>
  <c r="AE254" i="7"/>
  <c r="AE255" i="7"/>
  <c r="AE256" i="7"/>
  <c r="AE257" i="7"/>
  <c r="AE258" i="7"/>
  <c r="AE259" i="7"/>
  <c r="AE260" i="7"/>
  <c r="AE261" i="7"/>
  <c r="AE262" i="7"/>
  <c r="AE263" i="7"/>
  <c r="AE264" i="7"/>
  <c r="AE265" i="7"/>
  <c r="AE266" i="7"/>
  <c r="AE267" i="7"/>
  <c r="AE268" i="7"/>
  <c r="AE269" i="7"/>
  <c r="AE270" i="7"/>
  <c r="AE271" i="7"/>
  <c r="AE272" i="7"/>
  <c r="AE273" i="7"/>
  <c r="AE274" i="7"/>
  <c r="AE275" i="7"/>
  <c r="AE276" i="7"/>
  <c r="AE277" i="7"/>
  <c r="AE278" i="7"/>
  <c r="AE279" i="7"/>
  <c r="AE280" i="7"/>
  <c r="AE281" i="7"/>
  <c r="AE282" i="7"/>
  <c r="AE283" i="7"/>
  <c r="AE284" i="7"/>
  <c r="AE285" i="7"/>
  <c r="AE286" i="7"/>
  <c r="AE287" i="7"/>
  <c r="AE288" i="7"/>
  <c r="AE289" i="7"/>
  <c r="AE290" i="7"/>
  <c r="AE291" i="7"/>
  <c r="AE292" i="7"/>
  <c r="AE293" i="7"/>
  <c r="AE294" i="7"/>
  <c r="AE295" i="7"/>
  <c r="AE296" i="7"/>
  <c r="AE297" i="7"/>
  <c r="AE298" i="7"/>
  <c r="AE299" i="7"/>
  <c r="AE300" i="7"/>
  <c r="AE301" i="7"/>
  <c r="AE302" i="7"/>
  <c r="AE303" i="7"/>
  <c r="AE304" i="7"/>
  <c r="AE305" i="7"/>
  <c r="AE306" i="7"/>
  <c r="AE307" i="7"/>
  <c r="AE308" i="7"/>
  <c r="AE309" i="7"/>
  <c r="AE310" i="7"/>
  <c r="AE311" i="7"/>
  <c r="AE312" i="7"/>
  <c r="AE313" i="7"/>
  <c r="AE314" i="7"/>
  <c r="AE315" i="7"/>
  <c r="AE316" i="7"/>
  <c r="AE317" i="7"/>
  <c r="AE318" i="7"/>
  <c r="AE319" i="7"/>
  <c r="AE320" i="7"/>
  <c r="AE321" i="7"/>
  <c r="AE322" i="7"/>
  <c r="AE323" i="7"/>
  <c r="AE324" i="7"/>
  <c r="AE325" i="7"/>
  <c r="AE326" i="7"/>
  <c r="AE327" i="7"/>
  <c r="AE328" i="7"/>
  <c r="AE329" i="7"/>
  <c r="AE330" i="7"/>
  <c r="AE331" i="7"/>
  <c r="AE332" i="7"/>
  <c r="AE333" i="7"/>
  <c r="AE334" i="7"/>
  <c r="AE335" i="7"/>
  <c r="AE336" i="7"/>
  <c r="AE337" i="7"/>
  <c r="AE338" i="7"/>
  <c r="AE339" i="7"/>
  <c r="AE340" i="7"/>
  <c r="AE341" i="7"/>
  <c r="AE342" i="7"/>
  <c r="AE343" i="7"/>
  <c r="AE344" i="7"/>
  <c r="AE345" i="7"/>
  <c r="AE346" i="7"/>
  <c r="AE347" i="7"/>
  <c r="AE348" i="7"/>
  <c r="AE349" i="7"/>
  <c r="AE350" i="7"/>
  <c r="AE351" i="7"/>
  <c r="AE352" i="7"/>
  <c r="AE353" i="7"/>
  <c r="AE354" i="7"/>
  <c r="AE355" i="7"/>
  <c r="AE356" i="7"/>
  <c r="AE357" i="7"/>
  <c r="AE358" i="7"/>
  <c r="AE359" i="7"/>
  <c r="AE360" i="7"/>
  <c r="AE361" i="7"/>
  <c r="AE362" i="7"/>
  <c r="AE363" i="7"/>
  <c r="AE364" i="7"/>
  <c r="AE365" i="7"/>
  <c r="AE366" i="7"/>
  <c r="AE367" i="7"/>
  <c r="AE368" i="7"/>
  <c r="AE369" i="7"/>
  <c r="AE370" i="7"/>
  <c r="AE371" i="7"/>
  <c r="AE372" i="7"/>
  <c r="AE373" i="7"/>
  <c r="AE374" i="7"/>
  <c r="AE375" i="7"/>
  <c r="AE376" i="7"/>
  <c r="AE377" i="7"/>
  <c r="AE378" i="7"/>
  <c r="AE379" i="7"/>
  <c r="AE380" i="7"/>
  <c r="AE381" i="7"/>
  <c r="AE382" i="7"/>
  <c r="AE383" i="7"/>
  <c r="AE384" i="7"/>
  <c r="AE385" i="7"/>
  <c r="AE386" i="7"/>
  <c r="AE387" i="7"/>
  <c r="AE388" i="7"/>
  <c r="AE389" i="7"/>
  <c r="AE390" i="7"/>
  <c r="AE391" i="7"/>
  <c r="AE392" i="7"/>
  <c r="AE393" i="7"/>
  <c r="AE394" i="7"/>
  <c r="AE395" i="7"/>
  <c r="AE396" i="7"/>
  <c r="AE397" i="7"/>
  <c r="AE398" i="7"/>
  <c r="AE399" i="7"/>
  <c r="AE400" i="7"/>
  <c r="AE401" i="7"/>
  <c r="AE402" i="7"/>
  <c r="AE403" i="7"/>
  <c r="AE404" i="7"/>
  <c r="AE405" i="7"/>
  <c r="AE406" i="7"/>
  <c r="AE407" i="7"/>
  <c r="AE408" i="7"/>
  <c r="AE409" i="7"/>
  <c r="AE410" i="7"/>
  <c r="AE411" i="7"/>
  <c r="AE412" i="7"/>
  <c r="AE413" i="7"/>
  <c r="AE414" i="7"/>
  <c r="AE415" i="7"/>
  <c r="AE416" i="7"/>
  <c r="AE417" i="7"/>
  <c r="AE418" i="7"/>
  <c r="AE419" i="7"/>
  <c r="AE420" i="7"/>
  <c r="AE421" i="7"/>
  <c r="AE422" i="7"/>
  <c r="AE423" i="7"/>
  <c r="AE424" i="7"/>
  <c r="AE425" i="7"/>
  <c r="AE426" i="7"/>
  <c r="AE427" i="7"/>
  <c r="AE428" i="7"/>
  <c r="AE429" i="7"/>
  <c r="AE430" i="7"/>
  <c r="AE431" i="7"/>
  <c r="AE432" i="7"/>
  <c r="AE433" i="7"/>
  <c r="AE434" i="7"/>
  <c r="AE435" i="7"/>
  <c r="AE436" i="7"/>
  <c r="AE437" i="7"/>
  <c r="AE438" i="7"/>
  <c r="AE439" i="7"/>
  <c r="AE440" i="7"/>
  <c r="AE441" i="7"/>
  <c r="AE442" i="7"/>
  <c r="AE443" i="7"/>
  <c r="AE444" i="7"/>
  <c r="AE445" i="7"/>
  <c r="AE446" i="7"/>
  <c r="AE447" i="7"/>
  <c r="AE448" i="7"/>
  <c r="AE449" i="7"/>
  <c r="AE450" i="7"/>
  <c r="AE451" i="7"/>
  <c r="AE452" i="7"/>
  <c r="AE453" i="7"/>
  <c r="AE454" i="7"/>
  <c r="AE455" i="7"/>
  <c r="AE456" i="7"/>
  <c r="AE457" i="7"/>
  <c r="AE458" i="7"/>
  <c r="AE459" i="7"/>
  <c r="AE460" i="7"/>
  <c r="AE461" i="7"/>
  <c r="AE462" i="7"/>
  <c r="AE463" i="7"/>
  <c r="AE464" i="7"/>
  <c r="AE465" i="7"/>
  <c r="AE466" i="7"/>
  <c r="AE467" i="7"/>
  <c r="AE468" i="7"/>
  <c r="AE469" i="7"/>
  <c r="AE470" i="7"/>
  <c r="AE471" i="7"/>
  <c r="AE472" i="7"/>
  <c r="AE473" i="7"/>
  <c r="AE474" i="7"/>
  <c r="AE475" i="7"/>
  <c r="AE476" i="7"/>
  <c r="AE477" i="7"/>
  <c r="AE478" i="7"/>
  <c r="AE479" i="7"/>
  <c r="AE480" i="7"/>
  <c r="AE481" i="7"/>
  <c r="AE482" i="7"/>
  <c r="AE483" i="7"/>
  <c r="AE484" i="7"/>
  <c r="AE485" i="7"/>
  <c r="AE486" i="7"/>
  <c r="AE487" i="7"/>
  <c r="AE488" i="7"/>
  <c r="AE489" i="7"/>
  <c r="AE490" i="7"/>
  <c r="AE491" i="7"/>
  <c r="AE492" i="7"/>
  <c r="AE493" i="7"/>
  <c r="AE494" i="7"/>
  <c r="AE495" i="7"/>
  <c r="AE496" i="7"/>
  <c r="AE497" i="7"/>
  <c r="AE2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2" i="7"/>
  <c r="W353" i="7"/>
  <c r="W352" i="7"/>
  <c r="W351" i="7"/>
  <c r="W350" i="7"/>
  <c r="W349" i="7"/>
  <c r="W348" i="7"/>
  <c r="AA347" i="7"/>
  <c r="W347" i="7"/>
  <c r="AB346" i="7"/>
  <c r="AC346" i="7" s="1"/>
  <c r="Z346" i="7"/>
  <c r="Y346" i="7"/>
  <c r="X346" i="7"/>
  <c r="W346" i="7"/>
  <c r="W345" i="7"/>
  <c r="W344" i="7"/>
  <c r="W343" i="7"/>
  <c r="W342" i="7"/>
  <c r="W341" i="7"/>
  <c r="W340" i="7"/>
  <c r="W339" i="7"/>
  <c r="W338" i="7"/>
  <c r="AA337" i="7"/>
  <c r="W337" i="7"/>
  <c r="AB336" i="7"/>
  <c r="AC336" i="7" s="1"/>
  <c r="Z336" i="7"/>
  <c r="Y336" i="7"/>
  <c r="X336" i="7"/>
  <c r="W336" i="7"/>
  <c r="W335" i="7"/>
  <c r="W334" i="7"/>
  <c r="W333" i="7"/>
  <c r="W332" i="7"/>
  <c r="W331" i="7"/>
  <c r="W330" i="7"/>
  <c r="W329" i="7"/>
  <c r="W328" i="7"/>
  <c r="AA327" i="7"/>
  <c r="W327" i="7"/>
  <c r="AB326" i="7"/>
  <c r="AC326" i="7" s="1"/>
  <c r="Z326" i="7"/>
  <c r="Y326" i="7"/>
  <c r="X326" i="7"/>
  <c r="W326" i="7"/>
  <c r="W325" i="7"/>
  <c r="W324" i="7"/>
  <c r="W323" i="7"/>
  <c r="W322" i="7"/>
  <c r="W321" i="7"/>
  <c r="W320" i="7"/>
  <c r="W319" i="7"/>
  <c r="W318" i="7"/>
  <c r="AA317" i="7"/>
  <c r="W317" i="7"/>
  <c r="AB316" i="7"/>
  <c r="AC316" i="7" s="1"/>
  <c r="Z316" i="7"/>
  <c r="Y316" i="7"/>
  <c r="X316" i="7"/>
  <c r="W316" i="7"/>
  <c r="W315" i="7"/>
  <c r="W314" i="7"/>
  <c r="W313" i="7"/>
  <c r="W312" i="7"/>
  <c r="W311" i="7"/>
  <c r="W310" i="7"/>
  <c r="W309" i="7"/>
  <c r="W308" i="7"/>
  <c r="AA307" i="7"/>
  <c r="W307" i="7"/>
  <c r="AB306" i="7"/>
  <c r="AC306" i="7" s="1"/>
  <c r="AA306" i="7"/>
  <c r="Z306" i="7"/>
  <c r="Y306" i="7"/>
  <c r="X306" i="7"/>
  <c r="W306" i="7"/>
  <c r="AB305" i="7"/>
  <c r="AC305" i="7" s="1"/>
  <c r="AA305" i="7"/>
  <c r="Z305" i="7"/>
  <c r="Y305" i="7"/>
  <c r="X305" i="7"/>
  <c r="W305" i="7"/>
  <c r="AB304" i="7"/>
  <c r="AC304" i="7" s="1"/>
  <c r="AA304" i="7"/>
  <c r="Z304" i="7"/>
  <c r="Y304" i="7"/>
  <c r="X304" i="7"/>
  <c r="W304" i="7"/>
  <c r="AB303" i="7"/>
  <c r="AC303" i="7" s="1"/>
  <c r="AA303" i="7"/>
  <c r="Z303" i="7"/>
  <c r="Y303" i="7"/>
  <c r="X303" i="7"/>
  <c r="W303" i="7"/>
  <c r="AB302" i="7"/>
  <c r="AC302" i="7" s="1"/>
  <c r="AA302" i="7"/>
  <c r="Z302" i="7"/>
  <c r="Y302" i="7"/>
  <c r="X302" i="7"/>
  <c r="W302" i="7"/>
  <c r="AB301" i="7"/>
  <c r="AC301" i="7" s="1"/>
  <c r="AA301" i="7"/>
  <c r="Z301" i="7"/>
  <c r="Y301" i="7"/>
  <c r="X301" i="7"/>
  <c r="W301" i="7"/>
  <c r="AB300" i="7"/>
  <c r="AC300" i="7" s="1"/>
  <c r="AA300" i="7"/>
  <c r="Z300" i="7"/>
  <c r="Y300" i="7"/>
  <c r="X300" i="7"/>
  <c r="W300" i="7"/>
  <c r="AB299" i="7"/>
  <c r="AC299" i="7" s="1"/>
  <c r="AA299" i="7"/>
  <c r="Z299" i="7"/>
  <c r="Y299" i="7"/>
  <c r="X299" i="7"/>
  <c r="W299" i="7"/>
  <c r="AB298" i="7"/>
  <c r="AC298" i="7" s="1"/>
  <c r="AA298" i="7"/>
  <c r="Z298" i="7"/>
  <c r="Y298" i="7"/>
  <c r="X298" i="7"/>
  <c r="W298" i="7"/>
  <c r="AB297" i="7"/>
  <c r="AC297" i="7" s="1"/>
  <c r="AA297" i="7"/>
  <c r="Z297" i="7"/>
  <c r="Y297" i="7"/>
  <c r="X297" i="7"/>
  <c r="W297" i="7"/>
  <c r="AB296" i="7"/>
  <c r="AC296" i="7" s="1"/>
  <c r="Z296" i="7"/>
  <c r="Y296" i="7"/>
  <c r="X296" i="7"/>
  <c r="W296" i="7"/>
  <c r="W295" i="7"/>
  <c r="W294" i="7"/>
  <c r="W293" i="7"/>
  <c r="W292" i="7"/>
  <c r="W291" i="7"/>
  <c r="W290" i="7"/>
  <c r="W289" i="7"/>
  <c r="W288" i="7"/>
  <c r="AA287" i="7"/>
  <c r="W287" i="7"/>
  <c r="AB286" i="7"/>
  <c r="AC286" i="7" s="1"/>
  <c r="Z286" i="7"/>
  <c r="Y286" i="7"/>
  <c r="X286" i="7"/>
  <c r="W286" i="7"/>
  <c r="W285" i="7"/>
  <c r="W284" i="7"/>
  <c r="W283" i="7"/>
  <c r="W282" i="7"/>
  <c r="W281" i="7"/>
  <c r="W280" i="7"/>
  <c r="W279" i="7"/>
  <c r="W278" i="7"/>
  <c r="AA277" i="7"/>
  <c r="W277" i="7"/>
  <c r="AB276" i="7"/>
  <c r="AC276" i="7" s="1"/>
  <c r="Z276" i="7"/>
  <c r="Y276" i="7"/>
  <c r="X276" i="7"/>
  <c r="W276" i="7"/>
  <c r="W275" i="7"/>
  <c r="W274" i="7"/>
  <c r="W273" i="7"/>
  <c r="W272" i="7"/>
  <c r="W271" i="7"/>
  <c r="W270" i="7"/>
  <c r="W269" i="7"/>
  <c r="W268" i="7"/>
  <c r="AA267" i="7"/>
  <c r="W267" i="7"/>
  <c r="AB266" i="7"/>
  <c r="AC266" i="7" s="1"/>
  <c r="Z266" i="7"/>
  <c r="Y266" i="7"/>
  <c r="X266" i="7"/>
  <c r="W266" i="7"/>
  <c r="W265" i="7"/>
  <c r="W264" i="7"/>
  <c r="W263" i="7"/>
  <c r="W262" i="7"/>
  <c r="W261" i="7"/>
  <c r="W260" i="7"/>
  <c r="W259" i="7"/>
  <c r="W258" i="7"/>
  <c r="AA257" i="7"/>
  <c r="W257" i="7"/>
  <c r="AB256" i="7"/>
  <c r="AC256" i="7" s="1"/>
  <c r="Z256" i="7"/>
  <c r="Y256" i="7"/>
  <c r="X256" i="7"/>
  <c r="W256" i="7"/>
  <c r="W255" i="7"/>
  <c r="W254" i="7"/>
  <c r="W253" i="7"/>
  <c r="W252" i="7"/>
  <c r="W251" i="7"/>
  <c r="W250" i="7"/>
  <c r="W249" i="7"/>
  <c r="W248" i="7"/>
  <c r="AA247" i="7"/>
  <c r="W247" i="7"/>
  <c r="AB246" i="7"/>
  <c r="AC246" i="7" s="1"/>
  <c r="Z246" i="7"/>
  <c r="Y246" i="7"/>
  <c r="X246" i="7"/>
  <c r="W246" i="7"/>
  <c r="W245" i="7"/>
  <c r="W244" i="7"/>
  <c r="W243" i="7"/>
  <c r="W242" i="7"/>
  <c r="W241" i="7"/>
  <c r="W240" i="7"/>
  <c r="W239" i="7"/>
  <c r="W238" i="7"/>
  <c r="AA237" i="7"/>
  <c r="W237" i="7"/>
  <c r="AB236" i="7"/>
  <c r="AC236" i="7" s="1"/>
  <c r="Z236" i="7"/>
  <c r="Y236" i="7"/>
  <c r="X236" i="7"/>
  <c r="W236" i="7"/>
  <c r="W235" i="7"/>
  <c r="W234" i="7"/>
  <c r="W233" i="7"/>
  <c r="W232" i="7"/>
  <c r="W231" i="7"/>
  <c r="W230" i="7"/>
  <c r="W229" i="7"/>
  <c r="W228" i="7"/>
  <c r="AA227" i="7"/>
  <c r="W227" i="7"/>
  <c r="AB226" i="7"/>
  <c r="AC226" i="7" s="1"/>
  <c r="Z226" i="7"/>
  <c r="Y226" i="7"/>
  <c r="X226" i="7"/>
  <c r="W226" i="7"/>
  <c r="W225" i="7"/>
  <c r="W224" i="7"/>
  <c r="W223" i="7"/>
  <c r="W222" i="7"/>
  <c r="W221" i="7"/>
  <c r="W220" i="7"/>
  <c r="W219" i="7"/>
  <c r="W218" i="7"/>
  <c r="AA217" i="7"/>
  <c r="W217" i="7"/>
  <c r="AB216" i="7"/>
  <c r="AC216" i="7" s="1"/>
  <c r="Z216" i="7"/>
  <c r="Y216" i="7"/>
  <c r="X216" i="7"/>
  <c r="W216" i="7"/>
  <c r="W215" i="7"/>
  <c r="W214" i="7"/>
  <c r="W213" i="7"/>
  <c r="W212" i="7"/>
  <c r="W211" i="7"/>
  <c r="W210" i="7"/>
  <c r="W209" i="7"/>
  <c r="W208" i="7"/>
  <c r="AA207" i="7"/>
  <c r="W207" i="7"/>
  <c r="AB206" i="7"/>
  <c r="AC206" i="7" s="1"/>
  <c r="AA206" i="7"/>
  <c r="Z206" i="7"/>
  <c r="Y206" i="7"/>
  <c r="X206" i="7"/>
  <c r="W206" i="7"/>
  <c r="AB205" i="7"/>
  <c r="AC205" i="7" s="1"/>
  <c r="AA205" i="7"/>
  <c r="Z205" i="7"/>
  <c r="Y205" i="7"/>
  <c r="X205" i="7"/>
  <c r="W205" i="7"/>
  <c r="AB204" i="7"/>
  <c r="AC204" i="7" s="1"/>
  <c r="AA204" i="7"/>
  <c r="Z204" i="7"/>
  <c r="Y204" i="7"/>
  <c r="X204" i="7"/>
  <c r="W204" i="7"/>
  <c r="AB203" i="7"/>
  <c r="AC203" i="7" s="1"/>
  <c r="AA203" i="7"/>
  <c r="Z203" i="7"/>
  <c r="Y203" i="7"/>
  <c r="X203" i="7"/>
  <c r="W203" i="7"/>
  <c r="AB202" i="7"/>
  <c r="AC202" i="7" s="1"/>
  <c r="AA202" i="7"/>
  <c r="Z202" i="7"/>
  <c r="Y202" i="7"/>
  <c r="X202" i="7"/>
  <c r="W202" i="7"/>
  <c r="AB201" i="7"/>
  <c r="AC201" i="7" s="1"/>
  <c r="AA201" i="7"/>
  <c r="Z201" i="7"/>
  <c r="Y201" i="7"/>
  <c r="X201" i="7"/>
  <c r="W201" i="7"/>
  <c r="AB200" i="7"/>
  <c r="AC200" i="7" s="1"/>
  <c r="AA200" i="7"/>
  <c r="Z200" i="7"/>
  <c r="Y200" i="7"/>
  <c r="X200" i="7"/>
  <c r="W200" i="7"/>
  <c r="AB199" i="7"/>
  <c r="AC199" i="7" s="1"/>
  <c r="AA199" i="7"/>
  <c r="Z199" i="7"/>
  <c r="Y199" i="7"/>
  <c r="X199" i="7"/>
  <c r="W199" i="7"/>
  <c r="AB198" i="7"/>
  <c r="AC198" i="7" s="1"/>
  <c r="AA198" i="7"/>
  <c r="Z198" i="7"/>
  <c r="Y198" i="7"/>
  <c r="X198" i="7"/>
  <c r="W198" i="7"/>
  <c r="AB197" i="7"/>
  <c r="AC197" i="7" s="1"/>
  <c r="AA197" i="7"/>
  <c r="Z197" i="7"/>
  <c r="Y197" i="7"/>
  <c r="X197" i="7"/>
  <c r="W197" i="7"/>
  <c r="AB196" i="7"/>
  <c r="AC196" i="7" s="1"/>
  <c r="Z196" i="7"/>
  <c r="Y196" i="7"/>
  <c r="X196" i="7"/>
  <c r="W196" i="7"/>
  <c r="W195" i="7"/>
  <c r="W194" i="7"/>
  <c r="W193" i="7"/>
  <c r="W192" i="7"/>
  <c r="W191" i="7"/>
  <c r="W190" i="7"/>
  <c r="W189" i="7"/>
  <c r="W188" i="7"/>
  <c r="AA187" i="7"/>
  <c r="W187" i="7"/>
  <c r="AB186" i="7"/>
  <c r="AC186" i="7" s="1"/>
  <c r="Z186" i="7"/>
  <c r="Y186" i="7"/>
  <c r="X186" i="7"/>
  <c r="W186" i="7"/>
  <c r="W185" i="7"/>
  <c r="W184" i="7"/>
  <c r="W183" i="7"/>
  <c r="W182" i="7"/>
  <c r="W181" i="7"/>
  <c r="W180" i="7"/>
  <c r="W179" i="7"/>
  <c r="W178" i="7"/>
  <c r="AA177" i="7"/>
  <c r="W177" i="7"/>
  <c r="AB176" i="7"/>
  <c r="AC176" i="7" s="1"/>
  <c r="Z176" i="7"/>
  <c r="Y176" i="7"/>
  <c r="X176" i="7"/>
  <c r="W176" i="7"/>
  <c r="W175" i="7"/>
  <c r="W174" i="7"/>
  <c r="W173" i="7"/>
  <c r="W172" i="7"/>
  <c r="W171" i="7"/>
  <c r="W170" i="7"/>
  <c r="W169" i="7"/>
  <c r="W168" i="7"/>
  <c r="AA167" i="7"/>
  <c r="W167" i="7"/>
  <c r="AB166" i="7"/>
  <c r="AC166" i="7" s="1"/>
  <c r="Z166" i="7"/>
  <c r="Y166" i="7"/>
  <c r="X166" i="7"/>
  <c r="W166" i="7"/>
  <c r="W165" i="7"/>
  <c r="W164" i="7"/>
  <c r="W163" i="7"/>
  <c r="W162" i="7"/>
  <c r="W161" i="7"/>
  <c r="W160" i="7"/>
  <c r="W159" i="7"/>
  <c r="W158" i="7"/>
  <c r="AA157" i="7"/>
  <c r="W157" i="7"/>
  <c r="AB156" i="7"/>
  <c r="AC156" i="7" s="1"/>
  <c r="Z156" i="7"/>
  <c r="Y156" i="7"/>
  <c r="X156" i="7"/>
  <c r="W156" i="7"/>
  <c r="W155" i="7"/>
  <c r="W154" i="7"/>
  <c r="W153" i="7"/>
  <c r="W152" i="7"/>
  <c r="W151" i="7"/>
  <c r="W150" i="7"/>
  <c r="W149" i="7"/>
  <c r="W148" i="7"/>
  <c r="AA147" i="7"/>
  <c r="W147" i="7"/>
  <c r="W146" i="7"/>
  <c r="W145" i="7"/>
  <c r="W144" i="7"/>
  <c r="W143" i="7"/>
  <c r="W142" i="7"/>
  <c r="W141" i="7"/>
  <c r="W140" i="7"/>
  <c r="W139" i="7"/>
  <c r="AA138" i="7"/>
  <c r="W138" i="7"/>
  <c r="AB137" i="7"/>
  <c r="AC137" i="7" s="1"/>
  <c r="Z137" i="7"/>
  <c r="Y137" i="7"/>
  <c r="X137" i="7"/>
  <c r="W137" i="7"/>
  <c r="W136" i="7"/>
  <c r="W135" i="7"/>
  <c r="W134" i="7"/>
  <c r="W133" i="7"/>
  <c r="W132" i="7"/>
  <c r="W131" i="7"/>
  <c r="W130" i="7"/>
  <c r="W129" i="7"/>
  <c r="AA128" i="7"/>
  <c r="W128" i="7"/>
  <c r="AB127" i="7"/>
  <c r="AC127" i="7" s="1"/>
  <c r="Z127" i="7"/>
  <c r="Y127" i="7"/>
  <c r="X127" i="7"/>
  <c r="W127" i="7"/>
  <c r="W126" i="7"/>
  <c r="W125" i="7"/>
  <c r="W124" i="7"/>
  <c r="W123" i="7"/>
  <c r="W122" i="7"/>
  <c r="W121" i="7"/>
  <c r="W120" i="7"/>
  <c r="W119" i="7"/>
  <c r="AA118" i="7"/>
  <c r="W118" i="7"/>
  <c r="AB117" i="7"/>
  <c r="AC117" i="7" s="1"/>
  <c r="Z117" i="7"/>
  <c r="Y117" i="7"/>
  <c r="X117" i="7"/>
  <c r="W117" i="7"/>
  <c r="W116" i="7"/>
  <c r="W115" i="7"/>
  <c r="W114" i="7"/>
  <c r="W113" i="7"/>
  <c r="W112" i="7"/>
  <c r="W111" i="7"/>
  <c r="W110" i="7"/>
  <c r="W109" i="7"/>
  <c r="AA108" i="7"/>
  <c r="W108" i="7"/>
  <c r="AB107" i="7"/>
  <c r="AC107" i="7" s="1"/>
  <c r="AA107" i="7"/>
  <c r="Z107" i="7"/>
  <c r="Y107" i="7"/>
  <c r="X107" i="7"/>
  <c r="W107" i="7"/>
  <c r="AB106" i="7"/>
  <c r="AC106" i="7" s="1"/>
  <c r="AA106" i="7"/>
  <c r="Z106" i="7"/>
  <c r="Y106" i="7"/>
  <c r="X106" i="7"/>
  <c r="W106" i="7"/>
  <c r="AB105" i="7"/>
  <c r="AC105" i="7" s="1"/>
  <c r="AA105" i="7"/>
  <c r="Z105" i="7"/>
  <c r="Y105" i="7"/>
  <c r="X105" i="7"/>
  <c r="W105" i="7"/>
  <c r="AB104" i="7"/>
  <c r="AC104" i="7" s="1"/>
  <c r="AA104" i="7"/>
  <c r="Z104" i="7"/>
  <c r="Y104" i="7"/>
  <c r="X104" i="7"/>
  <c r="W104" i="7"/>
  <c r="AB103" i="7"/>
  <c r="AC103" i="7" s="1"/>
  <c r="AA103" i="7"/>
  <c r="Z103" i="7"/>
  <c r="Y103" i="7"/>
  <c r="X103" i="7"/>
  <c r="W103" i="7"/>
  <c r="AB102" i="7"/>
  <c r="AC102" i="7" s="1"/>
  <c r="AA102" i="7"/>
  <c r="Z102" i="7"/>
  <c r="Y102" i="7"/>
  <c r="X102" i="7"/>
  <c r="W102" i="7"/>
  <c r="AB101" i="7"/>
  <c r="AC101" i="7" s="1"/>
  <c r="AA101" i="7"/>
  <c r="Z101" i="7"/>
  <c r="Y101" i="7"/>
  <c r="X101" i="7"/>
  <c r="W101" i="7"/>
  <c r="AB100" i="7"/>
  <c r="AC100" i="7" s="1"/>
  <c r="AA100" i="7"/>
  <c r="Z100" i="7"/>
  <c r="Y100" i="7"/>
  <c r="X100" i="7"/>
  <c r="W100" i="7"/>
  <c r="AB99" i="7"/>
  <c r="AC99" i="7" s="1"/>
  <c r="AA99" i="7"/>
  <c r="Z99" i="7"/>
  <c r="Y99" i="7"/>
  <c r="X99" i="7"/>
  <c r="W99" i="7"/>
  <c r="AB98" i="7"/>
  <c r="AC98" i="7" s="1"/>
  <c r="AA98" i="7"/>
  <c r="Z98" i="7"/>
  <c r="Y98" i="7"/>
  <c r="X98" i="7"/>
  <c r="W98" i="7"/>
  <c r="AB97" i="7"/>
  <c r="AC97" i="7" s="1"/>
  <c r="Z97" i="7"/>
  <c r="Y97" i="7"/>
  <c r="X97" i="7"/>
  <c r="W97" i="7"/>
  <c r="W96" i="7"/>
  <c r="W95" i="7"/>
  <c r="W94" i="7"/>
  <c r="W93" i="7"/>
  <c r="W92" i="7"/>
  <c r="W91" i="7"/>
  <c r="W90" i="7"/>
  <c r="W89" i="7"/>
  <c r="AA88" i="7"/>
  <c r="W88" i="7"/>
  <c r="AB87" i="7"/>
  <c r="AC87" i="7" s="1"/>
  <c r="Z87" i="7"/>
  <c r="Y87" i="7"/>
  <c r="X87" i="7"/>
  <c r="W87" i="7"/>
  <c r="W86" i="7"/>
  <c r="W85" i="7"/>
  <c r="W84" i="7"/>
  <c r="W83" i="7"/>
  <c r="W82" i="7"/>
  <c r="W81" i="7"/>
  <c r="W80" i="7"/>
  <c r="W79" i="7"/>
  <c r="AA78" i="7"/>
  <c r="W78" i="7"/>
  <c r="AB77" i="7"/>
  <c r="AC77" i="7" s="1"/>
  <c r="Z77" i="7"/>
  <c r="Y77" i="7"/>
  <c r="X77" i="7"/>
  <c r="W77" i="7"/>
  <c r="W76" i="7"/>
  <c r="W75" i="7"/>
  <c r="W74" i="7"/>
  <c r="W73" i="7"/>
  <c r="W72" i="7"/>
  <c r="W71" i="7"/>
  <c r="W70" i="7"/>
  <c r="W69" i="7"/>
  <c r="AA68" i="7"/>
  <c r="W68" i="7"/>
  <c r="AB67" i="7"/>
  <c r="AC67" i="7" s="1"/>
  <c r="Z67" i="7"/>
  <c r="Y67" i="7"/>
  <c r="X67" i="7"/>
  <c r="W67" i="7"/>
  <c r="W66" i="7"/>
  <c r="W65" i="7"/>
  <c r="W64" i="7"/>
  <c r="W63" i="7"/>
  <c r="W62" i="7"/>
  <c r="W61" i="7"/>
  <c r="W60" i="7"/>
  <c r="W59" i="7"/>
  <c r="AA58" i="7"/>
  <c r="W58" i="7"/>
  <c r="AB57" i="7"/>
  <c r="AC57" i="7" s="1"/>
  <c r="Z57" i="7"/>
  <c r="Y57" i="7"/>
  <c r="X57" i="7"/>
  <c r="W57" i="7"/>
  <c r="W56" i="7"/>
  <c r="W55" i="7"/>
  <c r="W54" i="7"/>
  <c r="W53" i="7"/>
  <c r="W52" i="7"/>
  <c r="W51" i="7"/>
  <c r="W50" i="7"/>
  <c r="W49" i="7"/>
  <c r="AA48" i="7"/>
  <c r="W48" i="7"/>
  <c r="AB47" i="7"/>
  <c r="AC47" i="7" s="1"/>
  <c r="Z47" i="7"/>
  <c r="Y47" i="7"/>
  <c r="X47" i="7"/>
  <c r="W47" i="7"/>
  <c r="W46" i="7"/>
  <c r="W45" i="7"/>
  <c r="W44" i="7"/>
  <c r="W43" i="7"/>
  <c r="W42" i="7"/>
  <c r="W41" i="7"/>
  <c r="W40" i="7"/>
  <c r="W39" i="7"/>
  <c r="AA38" i="7"/>
  <c r="W38" i="7"/>
  <c r="AB37" i="7"/>
  <c r="AC37" i="7" s="1"/>
  <c r="Z37" i="7"/>
  <c r="Y37" i="7"/>
  <c r="X37" i="7"/>
  <c r="W37" i="7"/>
  <c r="W36" i="7"/>
  <c r="W35" i="7"/>
  <c r="W34" i="7"/>
  <c r="W33" i="7"/>
  <c r="W32" i="7"/>
  <c r="W31" i="7"/>
  <c r="W30" i="7"/>
  <c r="W29" i="7"/>
  <c r="AA28" i="7"/>
  <c r="W28" i="7"/>
  <c r="AB27" i="7"/>
  <c r="AC27" i="7" s="1"/>
  <c r="Z27" i="7"/>
  <c r="Y27" i="7"/>
  <c r="X27" i="7"/>
  <c r="W27" i="7"/>
  <c r="W26" i="7"/>
  <c r="W25" i="7"/>
  <c r="W24" i="7"/>
  <c r="W23" i="7"/>
  <c r="W22" i="7"/>
  <c r="W21" i="7"/>
  <c r="W20" i="7"/>
  <c r="W19" i="7"/>
  <c r="AA18" i="7"/>
  <c r="W18" i="7"/>
  <c r="AB17" i="7"/>
  <c r="AC17" i="7" s="1"/>
  <c r="Z17" i="7"/>
  <c r="Y17" i="7"/>
  <c r="X17" i="7"/>
  <c r="W17" i="7"/>
  <c r="W16" i="7"/>
  <c r="W15" i="7"/>
  <c r="W14" i="7"/>
  <c r="W13" i="7"/>
  <c r="W12" i="7"/>
  <c r="W11" i="7"/>
  <c r="W10" i="7"/>
  <c r="W9" i="7"/>
  <c r="AA8" i="7"/>
  <c r="W8" i="7"/>
  <c r="AB7" i="7"/>
  <c r="AC7" i="7" s="1"/>
  <c r="Z7" i="7"/>
  <c r="Y7" i="7"/>
  <c r="X7" i="7"/>
  <c r="W7" i="7"/>
  <c r="W6" i="7"/>
  <c r="W5" i="7"/>
  <c r="W4" i="7"/>
  <c r="W3" i="7"/>
  <c r="W2" i="7"/>
  <c r="AB497" i="7"/>
  <c r="AC497" i="7" s="1"/>
  <c r="AA497" i="7"/>
  <c r="Z497" i="7"/>
  <c r="Y497" i="7"/>
  <c r="X497" i="7"/>
  <c r="W497" i="7"/>
  <c r="AB496" i="7"/>
  <c r="AC496" i="7" s="1"/>
  <c r="Z496" i="7"/>
  <c r="Y496" i="7"/>
  <c r="X496" i="7"/>
  <c r="W496" i="7"/>
  <c r="W495" i="7"/>
  <c r="W494" i="7"/>
  <c r="W493" i="7"/>
  <c r="W492" i="7"/>
  <c r="W491" i="7"/>
  <c r="W490" i="7"/>
  <c r="W489" i="7"/>
  <c r="W488" i="7"/>
  <c r="AA487" i="7"/>
  <c r="W487" i="7"/>
  <c r="AB486" i="7"/>
  <c r="AC486" i="7" s="1"/>
  <c r="Z486" i="7"/>
  <c r="Y486" i="7"/>
  <c r="X486" i="7"/>
  <c r="W486" i="7"/>
  <c r="W485" i="7"/>
  <c r="W484" i="7"/>
  <c r="W483" i="7"/>
  <c r="W482" i="7"/>
  <c r="W481" i="7"/>
  <c r="W480" i="7"/>
  <c r="W479" i="7"/>
  <c r="W478" i="7"/>
  <c r="AA477" i="7"/>
  <c r="W477" i="7"/>
  <c r="AB476" i="7"/>
  <c r="AC476" i="7" s="1"/>
  <c r="Z476" i="7"/>
  <c r="Y476" i="7"/>
  <c r="X476" i="7"/>
  <c r="W476" i="7"/>
  <c r="W475" i="7"/>
  <c r="W474" i="7"/>
  <c r="W473" i="7"/>
  <c r="W472" i="7"/>
  <c r="W471" i="7"/>
  <c r="W470" i="7"/>
  <c r="W469" i="7"/>
  <c r="W468" i="7"/>
  <c r="AA467" i="7"/>
  <c r="W467" i="7"/>
  <c r="AB466" i="7"/>
  <c r="AC466" i="7" s="1"/>
  <c r="Z466" i="7"/>
  <c r="Y466" i="7"/>
  <c r="X466" i="7"/>
  <c r="W466" i="7"/>
  <c r="W465" i="7"/>
  <c r="W464" i="7"/>
  <c r="W463" i="7"/>
  <c r="W462" i="7"/>
  <c r="W461" i="7"/>
  <c r="W460" i="7"/>
  <c r="W459" i="7"/>
  <c r="W458" i="7"/>
  <c r="AA457" i="7"/>
  <c r="W457" i="7"/>
  <c r="AB456" i="7"/>
  <c r="AC456" i="7" s="1"/>
  <c r="Z456" i="7"/>
  <c r="Y456" i="7"/>
  <c r="X456" i="7"/>
  <c r="W456" i="7"/>
  <c r="W455" i="7"/>
  <c r="W454" i="7"/>
  <c r="W453" i="7"/>
  <c r="W452" i="7"/>
  <c r="W451" i="7"/>
  <c r="W450" i="7"/>
  <c r="W449" i="7"/>
  <c r="W448" i="7"/>
  <c r="AA447" i="7"/>
  <c r="W447" i="7"/>
  <c r="AB446" i="7"/>
  <c r="AC446" i="7" s="1"/>
  <c r="Z446" i="7"/>
  <c r="Y446" i="7"/>
  <c r="X446" i="7"/>
  <c r="W446" i="7"/>
  <c r="W445" i="7"/>
  <c r="W444" i="7"/>
  <c r="W443" i="7"/>
  <c r="W442" i="7"/>
  <c r="W441" i="7"/>
  <c r="W440" i="7"/>
  <c r="W439" i="7"/>
  <c r="W438" i="7"/>
  <c r="AA437" i="7"/>
  <c r="W437" i="7"/>
  <c r="AB436" i="7"/>
  <c r="AC436" i="7" s="1"/>
  <c r="Z436" i="7"/>
  <c r="Y436" i="7"/>
  <c r="X436" i="7"/>
  <c r="W436" i="7"/>
  <c r="W435" i="7"/>
  <c r="W434" i="7"/>
  <c r="W433" i="7"/>
  <c r="W432" i="7"/>
  <c r="W431" i="7"/>
  <c r="W430" i="7"/>
  <c r="W429" i="7"/>
  <c r="W428" i="7"/>
  <c r="AA427" i="7"/>
  <c r="W427" i="7"/>
  <c r="AB426" i="7"/>
  <c r="AC426" i="7" s="1"/>
  <c r="Z426" i="7"/>
  <c r="Y426" i="7"/>
  <c r="X426" i="7"/>
  <c r="W426" i="7"/>
  <c r="W425" i="7"/>
  <c r="W424" i="7"/>
  <c r="W423" i="7"/>
  <c r="W422" i="7"/>
  <c r="W421" i="7"/>
  <c r="W420" i="7"/>
  <c r="W419" i="7"/>
  <c r="W418" i="7"/>
  <c r="AA417" i="7"/>
  <c r="W417" i="7"/>
  <c r="AB416" i="7"/>
  <c r="AC416" i="7" s="1"/>
  <c r="Z416" i="7"/>
  <c r="Y416" i="7"/>
  <c r="X416" i="7"/>
  <c r="W416" i="7"/>
  <c r="W415" i="7"/>
  <c r="W414" i="7"/>
  <c r="W413" i="7"/>
  <c r="W412" i="7"/>
  <c r="W411" i="7"/>
  <c r="W410" i="7"/>
  <c r="W409" i="7"/>
  <c r="W408" i="7"/>
  <c r="AA407" i="7"/>
  <c r="W407" i="7"/>
  <c r="AB406" i="7"/>
  <c r="AC406" i="7" s="1"/>
  <c r="AA406" i="7"/>
  <c r="Z406" i="7"/>
  <c r="Y406" i="7"/>
  <c r="X406" i="7"/>
  <c r="W406" i="7"/>
  <c r="AB405" i="7"/>
  <c r="AC405" i="7" s="1"/>
  <c r="AA405" i="7"/>
  <c r="Z405" i="7"/>
  <c r="Y405" i="7"/>
  <c r="X405" i="7"/>
  <c r="W405" i="7"/>
  <c r="AB404" i="7"/>
  <c r="AC404" i="7" s="1"/>
  <c r="AA404" i="7"/>
  <c r="Z404" i="7"/>
  <c r="Y404" i="7"/>
  <c r="X404" i="7"/>
  <c r="W404" i="7"/>
  <c r="AB403" i="7"/>
  <c r="AC403" i="7" s="1"/>
  <c r="AA403" i="7"/>
  <c r="Z403" i="7"/>
  <c r="Y403" i="7"/>
  <c r="X403" i="7"/>
  <c r="W403" i="7"/>
  <c r="AB402" i="7"/>
  <c r="AC402" i="7" s="1"/>
  <c r="AA402" i="7"/>
  <c r="Z402" i="7"/>
  <c r="Y402" i="7"/>
  <c r="X402" i="7"/>
  <c r="W402" i="7"/>
  <c r="AB401" i="7"/>
  <c r="AC401" i="7" s="1"/>
  <c r="AA401" i="7"/>
  <c r="Z401" i="7"/>
  <c r="Y401" i="7"/>
  <c r="X401" i="7"/>
  <c r="W401" i="7"/>
  <c r="AB400" i="7"/>
  <c r="AC400" i="7" s="1"/>
  <c r="AA400" i="7"/>
  <c r="Z400" i="7"/>
  <c r="Y400" i="7"/>
  <c r="X400" i="7"/>
  <c r="W400" i="7"/>
  <c r="AB399" i="7"/>
  <c r="AC399" i="7" s="1"/>
  <c r="AA399" i="7"/>
  <c r="Z399" i="7"/>
  <c r="Y399" i="7"/>
  <c r="X399" i="7"/>
  <c r="W399" i="7"/>
  <c r="AB398" i="7"/>
  <c r="AC398" i="7" s="1"/>
  <c r="AA398" i="7"/>
  <c r="Z398" i="7"/>
  <c r="Y398" i="7"/>
  <c r="X398" i="7"/>
  <c r="W398" i="7"/>
  <c r="AB397" i="7"/>
  <c r="AC397" i="7" s="1"/>
  <c r="AA397" i="7"/>
  <c r="Z397" i="7"/>
  <c r="Y397" i="7"/>
  <c r="X397" i="7"/>
  <c r="W397" i="7"/>
  <c r="AB396" i="7"/>
  <c r="AC396" i="7" s="1"/>
  <c r="Z396" i="7"/>
  <c r="Y396" i="7"/>
  <c r="X396" i="7"/>
  <c r="W396" i="7"/>
  <c r="W395" i="7"/>
  <c r="W394" i="7"/>
  <c r="W393" i="7"/>
  <c r="W392" i="7"/>
  <c r="W391" i="7"/>
  <c r="W390" i="7"/>
  <c r="W389" i="7"/>
  <c r="AA387" i="7"/>
  <c r="W387" i="7"/>
  <c r="AB386" i="7"/>
  <c r="AC386" i="7" s="1"/>
  <c r="Z386" i="7"/>
  <c r="Y386" i="7"/>
  <c r="X386" i="7"/>
  <c r="W386" i="7"/>
  <c r="W385" i="7"/>
  <c r="W384" i="7"/>
  <c r="W383" i="7"/>
  <c r="W382" i="7"/>
  <c r="W381" i="7"/>
  <c r="W380" i="7"/>
  <c r="W379" i="7"/>
  <c r="W378" i="7"/>
  <c r="AA377" i="7"/>
  <c r="W377" i="7"/>
  <c r="AB376" i="7"/>
  <c r="AC376" i="7" s="1"/>
  <c r="Z376" i="7"/>
  <c r="Y376" i="7"/>
  <c r="X376" i="7"/>
  <c r="W376" i="7"/>
  <c r="W375" i="7"/>
  <c r="W374" i="7"/>
  <c r="W373" i="7"/>
  <c r="W372" i="7"/>
  <c r="W371" i="7"/>
  <c r="W370" i="7"/>
  <c r="W369" i="7"/>
  <c r="W368" i="7"/>
  <c r="AA367" i="7"/>
  <c r="W367" i="7"/>
  <c r="AB366" i="7"/>
  <c r="AC366" i="7" s="1"/>
  <c r="Z366" i="7"/>
  <c r="Y366" i="7"/>
  <c r="X366" i="7"/>
  <c r="W366" i="7"/>
  <c r="W365" i="7"/>
  <c r="W364" i="7"/>
  <c r="W363" i="7"/>
  <c r="W362" i="7"/>
  <c r="W361" i="7"/>
  <c r="W360" i="7"/>
  <c r="W359" i="7"/>
  <c r="W358" i="7"/>
  <c r="AA357" i="7"/>
  <c r="W357" i="7"/>
  <c r="AB356" i="7"/>
  <c r="AC356" i="7" s="1"/>
  <c r="Z356" i="7"/>
  <c r="Y356" i="7"/>
  <c r="X356" i="7"/>
  <c r="W356" i="7"/>
  <c r="W355" i="7"/>
  <c r="W354" i="7"/>
  <c r="AA496" i="7"/>
  <c r="AB495" i="7"/>
  <c r="AC495" i="7" s="1"/>
  <c r="AA495" i="7"/>
  <c r="Z495" i="7"/>
  <c r="Y495" i="7"/>
  <c r="X495" i="7"/>
  <c r="AB494" i="7"/>
  <c r="AC494" i="7" s="1"/>
  <c r="AA494" i="7"/>
  <c r="Z494" i="7"/>
  <c r="Y494" i="7"/>
  <c r="X494" i="7"/>
  <c r="AB493" i="7"/>
  <c r="AC493" i="7" s="1"/>
  <c r="AA493" i="7"/>
  <c r="Z493" i="7"/>
  <c r="Y493" i="7"/>
  <c r="X493" i="7"/>
  <c r="AB492" i="7"/>
  <c r="AC492" i="7" s="1"/>
  <c r="AA492" i="7"/>
  <c r="Z492" i="7"/>
  <c r="Y492" i="7"/>
  <c r="X492" i="7"/>
  <c r="AB491" i="7"/>
  <c r="AC491" i="7" s="1"/>
  <c r="AA491" i="7"/>
  <c r="Z491" i="7"/>
  <c r="Y491" i="7"/>
  <c r="X491" i="7"/>
  <c r="AB490" i="7"/>
  <c r="AC490" i="7" s="1"/>
  <c r="AA490" i="7"/>
  <c r="Z490" i="7"/>
  <c r="Y490" i="7"/>
  <c r="X490" i="7"/>
  <c r="AB489" i="7"/>
  <c r="AC489" i="7" s="1"/>
  <c r="AA489" i="7"/>
  <c r="Z489" i="7"/>
  <c r="Y489" i="7"/>
  <c r="X489" i="7"/>
  <c r="AB488" i="7"/>
  <c r="AC488" i="7" s="1"/>
  <c r="AA488" i="7"/>
  <c r="Z488" i="7"/>
  <c r="Y488" i="7"/>
  <c r="X488" i="7"/>
  <c r="AB487" i="7"/>
  <c r="AC487" i="7" s="1"/>
  <c r="Z487" i="7"/>
  <c r="Y487" i="7"/>
  <c r="X487" i="7"/>
  <c r="AA486" i="7"/>
  <c r="AB485" i="7"/>
  <c r="AC485" i="7" s="1"/>
  <c r="AA485" i="7"/>
  <c r="Z485" i="7"/>
  <c r="Y485" i="7"/>
  <c r="X485" i="7"/>
  <c r="AB484" i="7"/>
  <c r="AC484" i="7" s="1"/>
  <c r="AA484" i="7"/>
  <c r="Z484" i="7"/>
  <c r="Y484" i="7"/>
  <c r="X484" i="7"/>
  <c r="AB483" i="7"/>
  <c r="AC483" i="7" s="1"/>
  <c r="AA483" i="7"/>
  <c r="Z483" i="7"/>
  <c r="Y483" i="7"/>
  <c r="X483" i="7"/>
  <c r="AB482" i="7"/>
  <c r="AC482" i="7" s="1"/>
  <c r="AA482" i="7"/>
  <c r="Z482" i="7"/>
  <c r="Y482" i="7"/>
  <c r="X482" i="7"/>
  <c r="AB481" i="7"/>
  <c r="AC481" i="7" s="1"/>
  <c r="AA481" i="7"/>
  <c r="Z481" i="7"/>
  <c r="Y481" i="7"/>
  <c r="X481" i="7"/>
  <c r="AB480" i="7"/>
  <c r="AC480" i="7" s="1"/>
  <c r="AA480" i="7"/>
  <c r="Z480" i="7"/>
  <c r="Y480" i="7"/>
  <c r="X480" i="7"/>
  <c r="AB479" i="7"/>
  <c r="AC479" i="7" s="1"/>
  <c r="AA479" i="7"/>
  <c r="Z479" i="7"/>
  <c r="Y479" i="7"/>
  <c r="X479" i="7"/>
  <c r="AB478" i="7"/>
  <c r="AC478" i="7" s="1"/>
  <c r="AA478" i="7"/>
  <c r="Z478" i="7"/>
  <c r="Y478" i="7"/>
  <c r="X478" i="7"/>
  <c r="AB477" i="7"/>
  <c r="AC477" i="7" s="1"/>
  <c r="Z477" i="7"/>
  <c r="Y477" i="7"/>
  <c r="X477" i="7"/>
  <c r="AA476" i="7"/>
  <c r="AB475" i="7"/>
  <c r="AC475" i="7" s="1"/>
  <c r="AA475" i="7"/>
  <c r="Z475" i="7"/>
  <c r="Y475" i="7"/>
  <c r="X475" i="7"/>
  <c r="AB474" i="7"/>
  <c r="AC474" i="7" s="1"/>
  <c r="AA474" i="7"/>
  <c r="Z474" i="7"/>
  <c r="Y474" i="7"/>
  <c r="X474" i="7"/>
  <c r="AB473" i="7"/>
  <c r="AC473" i="7" s="1"/>
  <c r="AA473" i="7"/>
  <c r="Z473" i="7"/>
  <c r="Y473" i="7"/>
  <c r="X473" i="7"/>
  <c r="AB472" i="7"/>
  <c r="AC472" i="7" s="1"/>
  <c r="AA472" i="7"/>
  <c r="Z472" i="7"/>
  <c r="Y472" i="7"/>
  <c r="X472" i="7"/>
  <c r="AB471" i="7"/>
  <c r="AC471" i="7" s="1"/>
  <c r="AA471" i="7"/>
  <c r="Z471" i="7"/>
  <c r="Y471" i="7"/>
  <c r="X471" i="7"/>
  <c r="AB470" i="7"/>
  <c r="AC470" i="7" s="1"/>
  <c r="AA470" i="7"/>
  <c r="Z470" i="7"/>
  <c r="Y470" i="7"/>
  <c r="X470" i="7"/>
  <c r="AB469" i="7"/>
  <c r="AC469" i="7" s="1"/>
  <c r="AA469" i="7"/>
  <c r="Z469" i="7"/>
  <c r="Y469" i="7"/>
  <c r="X469" i="7"/>
  <c r="AB468" i="7"/>
  <c r="AC468" i="7" s="1"/>
  <c r="AA468" i="7"/>
  <c r="Z468" i="7"/>
  <c r="Y468" i="7"/>
  <c r="X468" i="7"/>
  <c r="AB467" i="7"/>
  <c r="AC467" i="7" s="1"/>
  <c r="Z467" i="7"/>
  <c r="Y467" i="7"/>
  <c r="X467" i="7"/>
  <c r="AA466" i="7"/>
  <c r="AB465" i="7"/>
  <c r="AC465" i="7" s="1"/>
  <c r="AA465" i="7"/>
  <c r="Z465" i="7"/>
  <c r="Y465" i="7"/>
  <c r="X465" i="7"/>
  <c r="AB464" i="7"/>
  <c r="AC464" i="7" s="1"/>
  <c r="AA464" i="7"/>
  <c r="Z464" i="7"/>
  <c r="Y464" i="7"/>
  <c r="X464" i="7"/>
  <c r="AB463" i="7"/>
  <c r="AC463" i="7" s="1"/>
  <c r="AA463" i="7"/>
  <c r="Z463" i="7"/>
  <c r="Y463" i="7"/>
  <c r="X463" i="7"/>
  <c r="AB462" i="7"/>
  <c r="AC462" i="7" s="1"/>
  <c r="AA462" i="7"/>
  <c r="Z462" i="7"/>
  <c r="Y462" i="7"/>
  <c r="X462" i="7"/>
  <c r="AB461" i="7"/>
  <c r="AC461" i="7" s="1"/>
  <c r="AA461" i="7"/>
  <c r="Z461" i="7"/>
  <c r="Y461" i="7"/>
  <c r="X461" i="7"/>
  <c r="AB460" i="7"/>
  <c r="AC460" i="7" s="1"/>
  <c r="AA460" i="7"/>
  <c r="Z460" i="7"/>
  <c r="Y460" i="7"/>
  <c r="X460" i="7"/>
  <c r="AB459" i="7"/>
  <c r="AC459" i="7" s="1"/>
  <c r="AA459" i="7"/>
  <c r="Z459" i="7"/>
  <c r="Y459" i="7"/>
  <c r="X459" i="7"/>
  <c r="AB458" i="7"/>
  <c r="AC458" i="7" s="1"/>
  <c r="AA458" i="7"/>
  <c r="Z458" i="7"/>
  <c r="Y458" i="7"/>
  <c r="X458" i="7"/>
  <c r="AB457" i="7"/>
  <c r="AC457" i="7" s="1"/>
  <c r="Z457" i="7"/>
  <c r="Y457" i="7"/>
  <c r="X457" i="7"/>
  <c r="AA456" i="7"/>
  <c r="AB455" i="7"/>
  <c r="AC455" i="7" s="1"/>
  <c r="AA455" i="7"/>
  <c r="Z455" i="7"/>
  <c r="Y455" i="7"/>
  <c r="X455" i="7"/>
  <c r="AB454" i="7"/>
  <c r="AC454" i="7" s="1"/>
  <c r="AA454" i="7"/>
  <c r="Z454" i="7"/>
  <c r="Y454" i="7"/>
  <c r="X454" i="7"/>
  <c r="AB453" i="7"/>
  <c r="AC453" i="7" s="1"/>
  <c r="AA453" i="7"/>
  <c r="Z453" i="7"/>
  <c r="Y453" i="7"/>
  <c r="X453" i="7"/>
  <c r="AB452" i="7"/>
  <c r="AC452" i="7" s="1"/>
  <c r="AA452" i="7"/>
  <c r="Z452" i="7"/>
  <c r="Y452" i="7"/>
  <c r="X452" i="7"/>
  <c r="AB451" i="7"/>
  <c r="AC451" i="7" s="1"/>
  <c r="AA451" i="7"/>
  <c r="Z451" i="7"/>
  <c r="Y451" i="7"/>
  <c r="X451" i="7"/>
  <c r="AB450" i="7"/>
  <c r="AC450" i="7" s="1"/>
  <c r="AA450" i="7"/>
  <c r="Z450" i="7"/>
  <c r="Y450" i="7"/>
  <c r="X450" i="7"/>
  <c r="AB449" i="7"/>
  <c r="AC449" i="7" s="1"/>
  <c r="AA449" i="7"/>
  <c r="Z449" i="7"/>
  <c r="Y449" i="7"/>
  <c r="X449" i="7"/>
  <c r="AB448" i="7"/>
  <c r="AC448" i="7" s="1"/>
  <c r="AA448" i="7"/>
  <c r="Z448" i="7"/>
  <c r="Y448" i="7"/>
  <c r="X448" i="7"/>
  <c r="AB447" i="7"/>
  <c r="AC447" i="7" s="1"/>
  <c r="Z447" i="7"/>
  <c r="Y447" i="7"/>
  <c r="X447" i="7"/>
  <c r="AA446" i="7"/>
  <c r="AB445" i="7"/>
  <c r="AC445" i="7" s="1"/>
  <c r="AA445" i="7"/>
  <c r="Z445" i="7"/>
  <c r="Y445" i="7"/>
  <c r="X445" i="7"/>
  <c r="AB444" i="7"/>
  <c r="AC444" i="7" s="1"/>
  <c r="AA444" i="7"/>
  <c r="Z444" i="7"/>
  <c r="Y444" i="7"/>
  <c r="X444" i="7"/>
  <c r="AB443" i="7"/>
  <c r="AC443" i="7" s="1"/>
  <c r="AA443" i="7"/>
  <c r="Z443" i="7"/>
  <c r="Y443" i="7"/>
  <c r="X443" i="7"/>
  <c r="AB442" i="7"/>
  <c r="AC442" i="7" s="1"/>
  <c r="AA442" i="7"/>
  <c r="Z442" i="7"/>
  <c r="Y442" i="7"/>
  <c r="X442" i="7"/>
  <c r="AB441" i="7"/>
  <c r="AC441" i="7" s="1"/>
  <c r="AA441" i="7"/>
  <c r="Z441" i="7"/>
  <c r="Y441" i="7"/>
  <c r="X441" i="7"/>
  <c r="AB440" i="7"/>
  <c r="AC440" i="7" s="1"/>
  <c r="AA440" i="7"/>
  <c r="Z440" i="7"/>
  <c r="Y440" i="7"/>
  <c r="X440" i="7"/>
  <c r="AB439" i="7"/>
  <c r="AC439" i="7" s="1"/>
  <c r="AA439" i="7"/>
  <c r="Z439" i="7"/>
  <c r="Y439" i="7"/>
  <c r="X439" i="7"/>
  <c r="AB438" i="7"/>
  <c r="AC438" i="7" s="1"/>
  <c r="AA438" i="7"/>
  <c r="Z438" i="7"/>
  <c r="Y438" i="7"/>
  <c r="X438" i="7"/>
  <c r="AB437" i="7"/>
  <c r="AC437" i="7" s="1"/>
  <c r="Z437" i="7"/>
  <c r="Y437" i="7"/>
  <c r="X437" i="7"/>
  <c r="AA436" i="7"/>
  <c r="AB435" i="7"/>
  <c r="AC435" i="7" s="1"/>
  <c r="AA435" i="7"/>
  <c r="Z435" i="7"/>
  <c r="Y435" i="7"/>
  <c r="X435" i="7"/>
  <c r="AB434" i="7"/>
  <c r="AC434" i="7" s="1"/>
  <c r="AA434" i="7"/>
  <c r="Z434" i="7"/>
  <c r="Y434" i="7"/>
  <c r="X434" i="7"/>
  <c r="AB433" i="7"/>
  <c r="AC433" i="7" s="1"/>
  <c r="AA433" i="7"/>
  <c r="Z433" i="7"/>
  <c r="Y433" i="7"/>
  <c r="X433" i="7"/>
  <c r="AB432" i="7"/>
  <c r="AC432" i="7" s="1"/>
  <c r="AA432" i="7"/>
  <c r="Z432" i="7"/>
  <c r="Y432" i="7"/>
  <c r="X432" i="7"/>
  <c r="AB431" i="7"/>
  <c r="AC431" i="7" s="1"/>
  <c r="AA431" i="7"/>
  <c r="Z431" i="7"/>
  <c r="Y431" i="7"/>
  <c r="X431" i="7"/>
  <c r="AB430" i="7"/>
  <c r="AC430" i="7" s="1"/>
  <c r="AA430" i="7"/>
  <c r="Z430" i="7"/>
  <c r="Y430" i="7"/>
  <c r="X430" i="7"/>
  <c r="AB429" i="7"/>
  <c r="AC429" i="7" s="1"/>
  <c r="AA429" i="7"/>
  <c r="Z429" i="7"/>
  <c r="Y429" i="7"/>
  <c r="X429" i="7"/>
  <c r="AB428" i="7"/>
  <c r="AC428" i="7" s="1"/>
  <c r="AA428" i="7"/>
  <c r="Z428" i="7"/>
  <c r="Y428" i="7"/>
  <c r="X428" i="7"/>
  <c r="AB427" i="7"/>
  <c r="AC427" i="7" s="1"/>
  <c r="Z427" i="7"/>
  <c r="Y427" i="7"/>
  <c r="X427" i="7"/>
  <c r="AA426" i="7"/>
  <c r="AB425" i="7"/>
  <c r="AC425" i="7" s="1"/>
  <c r="AA425" i="7"/>
  <c r="Z425" i="7"/>
  <c r="Y425" i="7"/>
  <c r="X425" i="7"/>
  <c r="AB424" i="7"/>
  <c r="AC424" i="7" s="1"/>
  <c r="AA424" i="7"/>
  <c r="Z424" i="7"/>
  <c r="Y424" i="7"/>
  <c r="X424" i="7"/>
  <c r="AB423" i="7"/>
  <c r="AC423" i="7" s="1"/>
  <c r="AA423" i="7"/>
  <c r="Z423" i="7"/>
  <c r="Y423" i="7"/>
  <c r="X423" i="7"/>
  <c r="AB422" i="7"/>
  <c r="AC422" i="7" s="1"/>
  <c r="AA422" i="7"/>
  <c r="Z422" i="7"/>
  <c r="Y422" i="7"/>
  <c r="X422" i="7"/>
  <c r="AB421" i="7"/>
  <c r="AC421" i="7" s="1"/>
  <c r="AA421" i="7"/>
  <c r="Z421" i="7"/>
  <c r="Y421" i="7"/>
  <c r="X421" i="7"/>
  <c r="AB420" i="7"/>
  <c r="AC420" i="7" s="1"/>
  <c r="AA420" i="7"/>
  <c r="Z420" i="7"/>
  <c r="Y420" i="7"/>
  <c r="X420" i="7"/>
  <c r="AB419" i="7"/>
  <c r="AC419" i="7" s="1"/>
  <c r="AA419" i="7"/>
  <c r="Z419" i="7"/>
  <c r="Y419" i="7"/>
  <c r="X419" i="7"/>
  <c r="AB418" i="7"/>
  <c r="AC418" i="7" s="1"/>
  <c r="AA418" i="7"/>
  <c r="Z418" i="7"/>
  <c r="Y418" i="7"/>
  <c r="X418" i="7"/>
  <c r="AB417" i="7"/>
  <c r="AC417" i="7" s="1"/>
  <c r="Z417" i="7"/>
  <c r="Y417" i="7"/>
  <c r="X417" i="7"/>
  <c r="AA416" i="7"/>
  <c r="AB415" i="7"/>
  <c r="AC415" i="7" s="1"/>
  <c r="AA415" i="7"/>
  <c r="Z415" i="7"/>
  <c r="Y415" i="7"/>
  <c r="X415" i="7"/>
  <c r="AB414" i="7"/>
  <c r="AC414" i="7" s="1"/>
  <c r="AA414" i="7"/>
  <c r="Z414" i="7"/>
  <c r="Y414" i="7"/>
  <c r="X414" i="7"/>
  <c r="AB413" i="7"/>
  <c r="AC413" i="7" s="1"/>
  <c r="AA413" i="7"/>
  <c r="Z413" i="7"/>
  <c r="Y413" i="7"/>
  <c r="X413" i="7"/>
  <c r="AB412" i="7"/>
  <c r="AC412" i="7" s="1"/>
  <c r="AA412" i="7"/>
  <c r="Z412" i="7"/>
  <c r="Y412" i="7"/>
  <c r="X412" i="7"/>
  <c r="AB411" i="7"/>
  <c r="AC411" i="7" s="1"/>
  <c r="AA411" i="7"/>
  <c r="Z411" i="7"/>
  <c r="Y411" i="7"/>
  <c r="X411" i="7"/>
  <c r="AB410" i="7"/>
  <c r="AC410" i="7" s="1"/>
  <c r="AA410" i="7"/>
  <c r="Z410" i="7"/>
  <c r="Y410" i="7"/>
  <c r="X410" i="7"/>
  <c r="AB409" i="7"/>
  <c r="AC409" i="7" s="1"/>
  <c r="AA409" i="7"/>
  <c r="Z409" i="7"/>
  <c r="Y409" i="7"/>
  <c r="X409" i="7"/>
  <c r="AB408" i="7"/>
  <c r="AC408" i="7" s="1"/>
  <c r="AA408" i="7"/>
  <c r="Z408" i="7"/>
  <c r="Y408" i="7"/>
  <c r="X408" i="7"/>
  <c r="AB407" i="7"/>
  <c r="AC407" i="7" s="1"/>
  <c r="Z407" i="7"/>
  <c r="Y407" i="7"/>
  <c r="X407" i="7"/>
  <c r="AA396" i="7"/>
  <c r="AB395" i="7"/>
  <c r="AC395" i="7" s="1"/>
  <c r="AA395" i="7"/>
  <c r="Z395" i="7"/>
  <c r="Y395" i="7"/>
  <c r="X395" i="7"/>
  <c r="AB394" i="7"/>
  <c r="AC394" i="7" s="1"/>
  <c r="AA394" i="7"/>
  <c r="Z394" i="7"/>
  <c r="Y394" i="7"/>
  <c r="X394" i="7"/>
  <c r="AB393" i="7"/>
  <c r="AC393" i="7" s="1"/>
  <c r="AA393" i="7"/>
  <c r="Z393" i="7"/>
  <c r="Y393" i="7"/>
  <c r="X393" i="7"/>
  <c r="AB392" i="7"/>
  <c r="AC392" i="7" s="1"/>
  <c r="AA392" i="7"/>
  <c r="Z392" i="7"/>
  <c r="Y392" i="7"/>
  <c r="X392" i="7"/>
  <c r="AB391" i="7"/>
  <c r="AC391" i="7" s="1"/>
  <c r="AA391" i="7"/>
  <c r="Z391" i="7"/>
  <c r="Y391" i="7"/>
  <c r="X391" i="7"/>
  <c r="AB390" i="7"/>
  <c r="AC390" i="7" s="1"/>
  <c r="AA390" i="7"/>
  <c r="Z390" i="7"/>
  <c r="Y390" i="7"/>
  <c r="X390" i="7"/>
  <c r="AB389" i="7"/>
  <c r="AC389" i="7" s="1"/>
  <c r="AA389" i="7"/>
  <c r="Z389" i="7"/>
  <c r="Y389" i="7"/>
  <c r="X389" i="7"/>
  <c r="AB388" i="7"/>
  <c r="AC388" i="7" s="1"/>
  <c r="AA388" i="7"/>
  <c r="Z388" i="7"/>
  <c r="Y388" i="7"/>
  <c r="X388" i="7"/>
  <c r="AB387" i="7"/>
  <c r="AC387" i="7" s="1"/>
  <c r="Z387" i="7"/>
  <c r="Y387" i="7"/>
  <c r="X387" i="7"/>
  <c r="AA386" i="7"/>
  <c r="AB385" i="7"/>
  <c r="AC385" i="7" s="1"/>
  <c r="AA385" i="7"/>
  <c r="Z385" i="7"/>
  <c r="Y385" i="7"/>
  <c r="X385" i="7"/>
  <c r="AB384" i="7"/>
  <c r="AC384" i="7" s="1"/>
  <c r="AA384" i="7"/>
  <c r="Z384" i="7"/>
  <c r="Y384" i="7"/>
  <c r="X384" i="7"/>
  <c r="AB383" i="7"/>
  <c r="AC383" i="7" s="1"/>
  <c r="AA383" i="7"/>
  <c r="Z383" i="7"/>
  <c r="Y383" i="7"/>
  <c r="X383" i="7"/>
  <c r="AB382" i="7"/>
  <c r="AC382" i="7" s="1"/>
  <c r="AA382" i="7"/>
  <c r="Z382" i="7"/>
  <c r="Y382" i="7"/>
  <c r="X382" i="7"/>
  <c r="AB381" i="7"/>
  <c r="AC381" i="7" s="1"/>
  <c r="AA381" i="7"/>
  <c r="Z381" i="7"/>
  <c r="Y381" i="7"/>
  <c r="X381" i="7"/>
  <c r="AB380" i="7"/>
  <c r="AC380" i="7" s="1"/>
  <c r="AA380" i="7"/>
  <c r="Z380" i="7"/>
  <c r="Y380" i="7"/>
  <c r="X380" i="7"/>
  <c r="AB379" i="7"/>
  <c r="AC379" i="7" s="1"/>
  <c r="AA379" i="7"/>
  <c r="Z379" i="7"/>
  <c r="Y379" i="7"/>
  <c r="X379" i="7"/>
  <c r="AB378" i="7"/>
  <c r="AC378" i="7" s="1"/>
  <c r="AA378" i="7"/>
  <c r="Z378" i="7"/>
  <c r="Y378" i="7"/>
  <c r="X378" i="7"/>
  <c r="AB377" i="7"/>
  <c r="AC377" i="7" s="1"/>
  <c r="Z377" i="7"/>
  <c r="Y377" i="7"/>
  <c r="X377" i="7"/>
  <c r="AA376" i="7"/>
  <c r="AB375" i="7"/>
  <c r="AC375" i="7" s="1"/>
  <c r="AA375" i="7"/>
  <c r="Z375" i="7"/>
  <c r="Y375" i="7"/>
  <c r="X375" i="7"/>
  <c r="AB374" i="7"/>
  <c r="AC374" i="7" s="1"/>
  <c r="AA374" i="7"/>
  <c r="Z374" i="7"/>
  <c r="Y374" i="7"/>
  <c r="X374" i="7"/>
  <c r="AB373" i="7"/>
  <c r="AC373" i="7" s="1"/>
  <c r="AA373" i="7"/>
  <c r="Z373" i="7"/>
  <c r="Y373" i="7"/>
  <c r="X373" i="7"/>
  <c r="AB372" i="7"/>
  <c r="AC372" i="7" s="1"/>
  <c r="AA372" i="7"/>
  <c r="Z372" i="7"/>
  <c r="Y372" i="7"/>
  <c r="X372" i="7"/>
  <c r="AB371" i="7"/>
  <c r="AC371" i="7" s="1"/>
  <c r="AA371" i="7"/>
  <c r="Z371" i="7"/>
  <c r="Y371" i="7"/>
  <c r="X371" i="7"/>
  <c r="AB370" i="7"/>
  <c r="AC370" i="7" s="1"/>
  <c r="AA370" i="7"/>
  <c r="Z370" i="7"/>
  <c r="Y370" i="7"/>
  <c r="X370" i="7"/>
  <c r="AB369" i="7"/>
  <c r="AC369" i="7" s="1"/>
  <c r="AA369" i="7"/>
  <c r="Z369" i="7"/>
  <c r="Y369" i="7"/>
  <c r="X369" i="7"/>
  <c r="AB368" i="7"/>
  <c r="AC368" i="7" s="1"/>
  <c r="AA368" i="7"/>
  <c r="Z368" i="7"/>
  <c r="Y368" i="7"/>
  <c r="X368" i="7"/>
  <c r="AB367" i="7"/>
  <c r="AC367" i="7" s="1"/>
  <c r="Z367" i="7"/>
  <c r="Y367" i="7"/>
  <c r="X367" i="7"/>
  <c r="AA366" i="7"/>
  <c r="AB365" i="7"/>
  <c r="AC365" i="7" s="1"/>
  <c r="AA365" i="7"/>
  <c r="Z365" i="7"/>
  <c r="Y365" i="7"/>
  <c r="X365" i="7"/>
  <c r="AB364" i="7"/>
  <c r="AC364" i="7" s="1"/>
  <c r="AA364" i="7"/>
  <c r="Z364" i="7"/>
  <c r="Y364" i="7"/>
  <c r="X364" i="7"/>
  <c r="AB363" i="7"/>
  <c r="AC363" i="7" s="1"/>
  <c r="AA363" i="7"/>
  <c r="Z363" i="7"/>
  <c r="Y363" i="7"/>
  <c r="X363" i="7"/>
  <c r="AB362" i="7"/>
  <c r="AC362" i="7" s="1"/>
  <c r="AA362" i="7"/>
  <c r="Z362" i="7"/>
  <c r="Y362" i="7"/>
  <c r="X362" i="7"/>
  <c r="AB361" i="7"/>
  <c r="AC361" i="7" s="1"/>
  <c r="AA361" i="7"/>
  <c r="Z361" i="7"/>
  <c r="Y361" i="7"/>
  <c r="X361" i="7"/>
  <c r="AB360" i="7"/>
  <c r="AC360" i="7" s="1"/>
  <c r="AA360" i="7"/>
  <c r="Z360" i="7"/>
  <c r="Y360" i="7"/>
  <c r="X360" i="7"/>
  <c r="AB359" i="7"/>
  <c r="AC359" i="7" s="1"/>
  <c r="AA359" i="7"/>
  <c r="Z359" i="7"/>
  <c r="Y359" i="7"/>
  <c r="X359" i="7"/>
  <c r="AB358" i="7"/>
  <c r="AC358" i="7" s="1"/>
  <c r="AA358" i="7"/>
  <c r="Z358" i="7"/>
  <c r="Y358" i="7"/>
  <c r="X358" i="7"/>
  <c r="AB357" i="7"/>
  <c r="AC357" i="7" s="1"/>
  <c r="Z357" i="7"/>
  <c r="Y357" i="7"/>
  <c r="X357" i="7"/>
  <c r="AA356" i="7"/>
  <c r="AB355" i="7"/>
  <c r="AC355" i="7" s="1"/>
  <c r="AA355" i="7"/>
  <c r="Z355" i="7"/>
  <c r="Y355" i="7"/>
  <c r="X355" i="7"/>
  <c r="AA354" i="7"/>
  <c r="Z354" i="7"/>
  <c r="Y354" i="7"/>
  <c r="X354" i="7"/>
  <c r="AB353" i="7"/>
  <c r="AC353" i="7" s="1"/>
  <c r="AA353" i="7"/>
  <c r="Z353" i="7"/>
  <c r="Y353" i="7"/>
  <c r="X353" i="7"/>
  <c r="AB352" i="7"/>
  <c r="AC352" i="7" s="1"/>
  <c r="AA352" i="7"/>
  <c r="Z352" i="7"/>
  <c r="Y352" i="7"/>
  <c r="X352" i="7"/>
  <c r="AB351" i="7"/>
  <c r="AC351" i="7" s="1"/>
  <c r="AA351" i="7"/>
  <c r="Z351" i="7"/>
  <c r="Y351" i="7"/>
  <c r="X351" i="7"/>
  <c r="AB350" i="7"/>
  <c r="AC350" i="7" s="1"/>
  <c r="AA350" i="7"/>
  <c r="Z350" i="7"/>
  <c r="Y350" i="7"/>
  <c r="X350" i="7"/>
  <c r="AB349" i="7"/>
  <c r="AC349" i="7" s="1"/>
  <c r="AA349" i="7"/>
  <c r="Z349" i="7"/>
  <c r="Y349" i="7"/>
  <c r="X349" i="7"/>
  <c r="AB348" i="7"/>
  <c r="AC348" i="7" s="1"/>
  <c r="AA348" i="7"/>
  <c r="Z348" i="7"/>
  <c r="Y348" i="7"/>
  <c r="X348" i="7"/>
  <c r="AB347" i="7"/>
  <c r="AC347" i="7" s="1"/>
  <c r="Z347" i="7"/>
  <c r="Y347" i="7"/>
  <c r="X347" i="7"/>
  <c r="AA346" i="7"/>
  <c r="AB345" i="7"/>
  <c r="AC345" i="7" s="1"/>
  <c r="AA345" i="7"/>
  <c r="Z345" i="7"/>
  <c r="Y345" i="7"/>
  <c r="X345" i="7"/>
  <c r="AB344" i="7"/>
  <c r="AC344" i="7" s="1"/>
  <c r="AA344" i="7"/>
  <c r="Z344" i="7"/>
  <c r="Y344" i="7"/>
  <c r="X344" i="7"/>
  <c r="AB343" i="7"/>
  <c r="AC343" i="7" s="1"/>
  <c r="AA343" i="7"/>
  <c r="Z343" i="7"/>
  <c r="Y343" i="7"/>
  <c r="X343" i="7"/>
  <c r="AB342" i="7"/>
  <c r="AC342" i="7" s="1"/>
  <c r="AA342" i="7"/>
  <c r="Z342" i="7"/>
  <c r="Y342" i="7"/>
  <c r="X342" i="7"/>
  <c r="AB341" i="7"/>
  <c r="AC341" i="7" s="1"/>
  <c r="AA341" i="7"/>
  <c r="Z341" i="7"/>
  <c r="Y341" i="7"/>
  <c r="X341" i="7"/>
  <c r="AB340" i="7"/>
  <c r="AC340" i="7" s="1"/>
  <c r="AA340" i="7"/>
  <c r="Z340" i="7"/>
  <c r="Y340" i="7"/>
  <c r="X340" i="7"/>
  <c r="AB339" i="7"/>
  <c r="AC339" i="7" s="1"/>
  <c r="AA339" i="7"/>
  <c r="Z339" i="7"/>
  <c r="Y339" i="7"/>
  <c r="X339" i="7"/>
  <c r="AB338" i="7"/>
  <c r="AC338" i="7" s="1"/>
  <c r="AA338" i="7"/>
  <c r="Z338" i="7"/>
  <c r="Y338" i="7"/>
  <c r="X338" i="7"/>
  <c r="AB337" i="7"/>
  <c r="AC337" i="7" s="1"/>
  <c r="Z337" i="7"/>
  <c r="Y337" i="7"/>
  <c r="X337" i="7"/>
  <c r="AA336" i="7"/>
  <c r="AB335" i="7"/>
  <c r="AC335" i="7" s="1"/>
  <c r="AA335" i="7"/>
  <c r="Z335" i="7"/>
  <c r="Y335" i="7"/>
  <c r="X335" i="7"/>
  <c r="AB334" i="7"/>
  <c r="AC334" i="7" s="1"/>
  <c r="AA334" i="7"/>
  <c r="Z334" i="7"/>
  <c r="Y334" i="7"/>
  <c r="X334" i="7"/>
  <c r="AB333" i="7"/>
  <c r="AC333" i="7" s="1"/>
  <c r="AA333" i="7"/>
  <c r="Z333" i="7"/>
  <c r="Y333" i="7"/>
  <c r="X333" i="7"/>
  <c r="AB332" i="7"/>
  <c r="AC332" i="7" s="1"/>
  <c r="AA332" i="7"/>
  <c r="Z332" i="7"/>
  <c r="Y332" i="7"/>
  <c r="X332" i="7"/>
  <c r="AB331" i="7"/>
  <c r="AC331" i="7" s="1"/>
  <c r="AA331" i="7"/>
  <c r="Z331" i="7"/>
  <c r="Y331" i="7"/>
  <c r="X331" i="7"/>
  <c r="AB330" i="7"/>
  <c r="AC330" i="7" s="1"/>
  <c r="AA330" i="7"/>
  <c r="Z330" i="7"/>
  <c r="Y330" i="7"/>
  <c r="X330" i="7"/>
  <c r="AB329" i="7"/>
  <c r="AC329" i="7" s="1"/>
  <c r="AA329" i="7"/>
  <c r="Z329" i="7"/>
  <c r="Y329" i="7"/>
  <c r="X329" i="7"/>
  <c r="AB328" i="7"/>
  <c r="AC328" i="7" s="1"/>
  <c r="AA328" i="7"/>
  <c r="Z328" i="7"/>
  <c r="Y328" i="7"/>
  <c r="X328" i="7"/>
  <c r="AB327" i="7"/>
  <c r="AC327" i="7" s="1"/>
  <c r="Z327" i="7"/>
  <c r="Y327" i="7"/>
  <c r="X327" i="7"/>
  <c r="AA326" i="7"/>
  <c r="AB325" i="7"/>
  <c r="AC325" i="7" s="1"/>
  <c r="AA325" i="7"/>
  <c r="Z325" i="7"/>
  <c r="Y325" i="7"/>
  <c r="X325" i="7"/>
  <c r="AB324" i="7"/>
  <c r="AC324" i="7" s="1"/>
  <c r="AA324" i="7"/>
  <c r="Z324" i="7"/>
  <c r="Y324" i="7"/>
  <c r="X324" i="7"/>
  <c r="AB323" i="7"/>
  <c r="AC323" i="7" s="1"/>
  <c r="AA323" i="7"/>
  <c r="Z323" i="7"/>
  <c r="Y323" i="7"/>
  <c r="X323" i="7"/>
  <c r="AB322" i="7"/>
  <c r="AC322" i="7" s="1"/>
  <c r="AA322" i="7"/>
  <c r="Z322" i="7"/>
  <c r="Y322" i="7"/>
  <c r="X322" i="7"/>
  <c r="AB321" i="7"/>
  <c r="AC321" i="7" s="1"/>
  <c r="AA321" i="7"/>
  <c r="Z321" i="7"/>
  <c r="Y321" i="7"/>
  <c r="X321" i="7"/>
  <c r="AB320" i="7"/>
  <c r="AC320" i="7" s="1"/>
  <c r="AA320" i="7"/>
  <c r="Z320" i="7"/>
  <c r="Y320" i="7"/>
  <c r="X320" i="7"/>
  <c r="AB319" i="7"/>
  <c r="AC319" i="7" s="1"/>
  <c r="AA319" i="7"/>
  <c r="Z319" i="7"/>
  <c r="Y319" i="7"/>
  <c r="X319" i="7"/>
  <c r="AB318" i="7"/>
  <c r="AC318" i="7" s="1"/>
  <c r="AA318" i="7"/>
  <c r="Z318" i="7"/>
  <c r="Y318" i="7"/>
  <c r="X318" i="7"/>
  <c r="AB317" i="7"/>
  <c r="AC317" i="7" s="1"/>
  <c r="Z317" i="7"/>
  <c r="Y317" i="7"/>
  <c r="X317" i="7"/>
  <c r="AA316" i="7"/>
  <c r="AB315" i="7"/>
  <c r="AC315" i="7" s="1"/>
  <c r="AA315" i="7"/>
  <c r="Z315" i="7"/>
  <c r="Y315" i="7"/>
  <c r="X315" i="7"/>
  <c r="AB314" i="7"/>
  <c r="AC314" i="7" s="1"/>
  <c r="AA314" i="7"/>
  <c r="Z314" i="7"/>
  <c r="Y314" i="7"/>
  <c r="X314" i="7"/>
  <c r="AB313" i="7"/>
  <c r="AC313" i="7" s="1"/>
  <c r="AA313" i="7"/>
  <c r="Z313" i="7"/>
  <c r="Y313" i="7"/>
  <c r="X313" i="7"/>
  <c r="AB312" i="7"/>
  <c r="AC312" i="7" s="1"/>
  <c r="AA312" i="7"/>
  <c r="Z312" i="7"/>
  <c r="Y312" i="7"/>
  <c r="X312" i="7"/>
  <c r="AB311" i="7"/>
  <c r="AC311" i="7" s="1"/>
  <c r="AA311" i="7"/>
  <c r="Z311" i="7"/>
  <c r="Y311" i="7"/>
  <c r="X311" i="7"/>
  <c r="AB310" i="7"/>
  <c r="AC310" i="7" s="1"/>
  <c r="AA310" i="7"/>
  <c r="Z310" i="7"/>
  <c r="Y310" i="7"/>
  <c r="X310" i="7"/>
  <c r="AB309" i="7"/>
  <c r="AC309" i="7" s="1"/>
  <c r="AA309" i="7"/>
  <c r="Z309" i="7"/>
  <c r="Y309" i="7"/>
  <c r="X309" i="7"/>
  <c r="AB308" i="7"/>
  <c r="AC308" i="7" s="1"/>
  <c r="AA308" i="7"/>
  <c r="Z308" i="7"/>
  <c r="Y308" i="7"/>
  <c r="X308" i="7"/>
  <c r="AB307" i="7"/>
  <c r="AC307" i="7" s="1"/>
  <c r="Z307" i="7"/>
  <c r="Y307" i="7"/>
  <c r="X307" i="7"/>
  <c r="AA296" i="7"/>
  <c r="AB295" i="7"/>
  <c r="AC295" i="7" s="1"/>
  <c r="AA295" i="7"/>
  <c r="Z295" i="7"/>
  <c r="Y295" i="7"/>
  <c r="X295" i="7"/>
  <c r="AB294" i="7"/>
  <c r="AC294" i="7" s="1"/>
  <c r="AA294" i="7"/>
  <c r="Z294" i="7"/>
  <c r="Y294" i="7"/>
  <c r="X294" i="7"/>
  <c r="AB293" i="7"/>
  <c r="AC293" i="7" s="1"/>
  <c r="AA293" i="7"/>
  <c r="Z293" i="7"/>
  <c r="Y293" i="7"/>
  <c r="X293" i="7"/>
  <c r="AB292" i="7"/>
  <c r="AC292" i="7" s="1"/>
  <c r="AA292" i="7"/>
  <c r="Z292" i="7"/>
  <c r="Y292" i="7"/>
  <c r="X292" i="7"/>
  <c r="AB291" i="7"/>
  <c r="AC291" i="7" s="1"/>
  <c r="AA291" i="7"/>
  <c r="Z291" i="7"/>
  <c r="Y291" i="7"/>
  <c r="X291" i="7"/>
  <c r="AB290" i="7"/>
  <c r="AC290" i="7" s="1"/>
  <c r="AA290" i="7"/>
  <c r="Z290" i="7"/>
  <c r="Y290" i="7"/>
  <c r="X290" i="7"/>
  <c r="AB289" i="7"/>
  <c r="AC289" i="7" s="1"/>
  <c r="AA289" i="7"/>
  <c r="Z289" i="7"/>
  <c r="Y289" i="7"/>
  <c r="X289" i="7"/>
  <c r="AB288" i="7"/>
  <c r="AC288" i="7" s="1"/>
  <c r="AA288" i="7"/>
  <c r="Z288" i="7"/>
  <c r="Y288" i="7"/>
  <c r="X288" i="7"/>
  <c r="AB287" i="7"/>
  <c r="AC287" i="7" s="1"/>
  <c r="Z287" i="7"/>
  <c r="Y287" i="7"/>
  <c r="X287" i="7"/>
  <c r="AA286" i="7"/>
  <c r="AB285" i="7"/>
  <c r="AC285" i="7" s="1"/>
  <c r="AA285" i="7"/>
  <c r="Z285" i="7"/>
  <c r="Y285" i="7"/>
  <c r="X285" i="7"/>
  <c r="AB284" i="7"/>
  <c r="AC284" i="7" s="1"/>
  <c r="AA284" i="7"/>
  <c r="Z284" i="7"/>
  <c r="Y284" i="7"/>
  <c r="X284" i="7"/>
  <c r="AB283" i="7"/>
  <c r="AC283" i="7" s="1"/>
  <c r="AA283" i="7"/>
  <c r="Z283" i="7"/>
  <c r="Y283" i="7"/>
  <c r="X283" i="7"/>
  <c r="AB282" i="7"/>
  <c r="AC282" i="7" s="1"/>
  <c r="AA282" i="7"/>
  <c r="Z282" i="7"/>
  <c r="Y282" i="7"/>
  <c r="X282" i="7"/>
  <c r="AB281" i="7"/>
  <c r="AC281" i="7" s="1"/>
  <c r="AA281" i="7"/>
  <c r="Z281" i="7"/>
  <c r="Y281" i="7"/>
  <c r="X281" i="7"/>
  <c r="AB280" i="7"/>
  <c r="AC280" i="7" s="1"/>
  <c r="AA280" i="7"/>
  <c r="Z280" i="7"/>
  <c r="Y280" i="7"/>
  <c r="X280" i="7"/>
  <c r="AB279" i="7"/>
  <c r="AC279" i="7" s="1"/>
  <c r="AA279" i="7"/>
  <c r="Z279" i="7"/>
  <c r="Y279" i="7"/>
  <c r="X279" i="7"/>
  <c r="AB278" i="7"/>
  <c r="AC278" i="7" s="1"/>
  <c r="AA278" i="7"/>
  <c r="Z278" i="7"/>
  <c r="Y278" i="7"/>
  <c r="X278" i="7"/>
  <c r="AB277" i="7"/>
  <c r="AC277" i="7" s="1"/>
  <c r="Z277" i="7"/>
  <c r="Y277" i="7"/>
  <c r="X277" i="7"/>
  <c r="AA276" i="7"/>
  <c r="AB275" i="7"/>
  <c r="AC275" i="7" s="1"/>
  <c r="AA275" i="7"/>
  <c r="Z275" i="7"/>
  <c r="Y275" i="7"/>
  <c r="X275" i="7"/>
  <c r="AB274" i="7"/>
  <c r="AC274" i="7" s="1"/>
  <c r="AA274" i="7"/>
  <c r="Z274" i="7"/>
  <c r="Y274" i="7"/>
  <c r="X274" i="7"/>
  <c r="AB273" i="7"/>
  <c r="AC273" i="7" s="1"/>
  <c r="AA273" i="7"/>
  <c r="Z273" i="7"/>
  <c r="Y273" i="7"/>
  <c r="X273" i="7"/>
  <c r="AB272" i="7"/>
  <c r="AC272" i="7" s="1"/>
  <c r="AA272" i="7"/>
  <c r="Z272" i="7"/>
  <c r="Y272" i="7"/>
  <c r="X272" i="7"/>
  <c r="AB271" i="7"/>
  <c r="AC271" i="7" s="1"/>
  <c r="AA271" i="7"/>
  <c r="Z271" i="7"/>
  <c r="Y271" i="7"/>
  <c r="X271" i="7"/>
  <c r="AB270" i="7"/>
  <c r="AC270" i="7" s="1"/>
  <c r="AA270" i="7"/>
  <c r="Z270" i="7"/>
  <c r="Y270" i="7"/>
  <c r="X270" i="7"/>
  <c r="AB269" i="7"/>
  <c r="AC269" i="7" s="1"/>
  <c r="AA269" i="7"/>
  <c r="Z269" i="7"/>
  <c r="Y269" i="7"/>
  <c r="X269" i="7"/>
  <c r="AB268" i="7"/>
  <c r="AC268" i="7" s="1"/>
  <c r="AA268" i="7"/>
  <c r="Z268" i="7"/>
  <c r="Y268" i="7"/>
  <c r="X268" i="7"/>
  <c r="AB267" i="7"/>
  <c r="AC267" i="7" s="1"/>
  <c r="Z267" i="7"/>
  <c r="Y267" i="7"/>
  <c r="X267" i="7"/>
  <c r="AA266" i="7"/>
  <c r="AB265" i="7"/>
  <c r="AC265" i="7" s="1"/>
  <c r="AA265" i="7"/>
  <c r="Z265" i="7"/>
  <c r="Y265" i="7"/>
  <c r="X265" i="7"/>
  <c r="AB264" i="7"/>
  <c r="AC264" i="7" s="1"/>
  <c r="AA264" i="7"/>
  <c r="Z264" i="7"/>
  <c r="Y264" i="7"/>
  <c r="X264" i="7"/>
  <c r="AB263" i="7"/>
  <c r="AC263" i="7" s="1"/>
  <c r="AA263" i="7"/>
  <c r="Z263" i="7"/>
  <c r="Y263" i="7"/>
  <c r="X263" i="7"/>
  <c r="AB262" i="7"/>
  <c r="AC262" i="7" s="1"/>
  <c r="AA262" i="7"/>
  <c r="Z262" i="7"/>
  <c r="Y262" i="7"/>
  <c r="X262" i="7"/>
  <c r="AB261" i="7"/>
  <c r="AC261" i="7" s="1"/>
  <c r="AA261" i="7"/>
  <c r="Z261" i="7"/>
  <c r="Y261" i="7"/>
  <c r="X261" i="7"/>
  <c r="AB260" i="7"/>
  <c r="AC260" i="7" s="1"/>
  <c r="AA260" i="7"/>
  <c r="Z260" i="7"/>
  <c r="Y260" i="7"/>
  <c r="X260" i="7"/>
  <c r="AB259" i="7"/>
  <c r="AC259" i="7" s="1"/>
  <c r="AA259" i="7"/>
  <c r="Z259" i="7"/>
  <c r="Y259" i="7"/>
  <c r="X259" i="7"/>
  <c r="AB258" i="7"/>
  <c r="AC258" i="7" s="1"/>
  <c r="AA258" i="7"/>
  <c r="Z258" i="7"/>
  <c r="Y258" i="7"/>
  <c r="X258" i="7"/>
  <c r="AB257" i="7"/>
  <c r="AC257" i="7" s="1"/>
  <c r="Z257" i="7"/>
  <c r="Y257" i="7"/>
  <c r="X257" i="7"/>
  <c r="AA256" i="7"/>
  <c r="AB255" i="7"/>
  <c r="AC255" i="7" s="1"/>
  <c r="AA255" i="7"/>
  <c r="Z255" i="7"/>
  <c r="Y255" i="7"/>
  <c r="X255" i="7"/>
  <c r="AB254" i="7"/>
  <c r="AC254" i="7" s="1"/>
  <c r="AA254" i="7"/>
  <c r="Z254" i="7"/>
  <c r="Y254" i="7"/>
  <c r="X254" i="7"/>
  <c r="AB253" i="7"/>
  <c r="AC253" i="7" s="1"/>
  <c r="AA253" i="7"/>
  <c r="Z253" i="7"/>
  <c r="Y253" i="7"/>
  <c r="X253" i="7"/>
  <c r="AB252" i="7"/>
  <c r="AC252" i="7" s="1"/>
  <c r="AA252" i="7"/>
  <c r="Z252" i="7"/>
  <c r="Y252" i="7"/>
  <c r="X252" i="7"/>
  <c r="AB251" i="7"/>
  <c r="AC251" i="7" s="1"/>
  <c r="AA251" i="7"/>
  <c r="Z251" i="7"/>
  <c r="Y251" i="7"/>
  <c r="X251" i="7"/>
  <c r="AB250" i="7"/>
  <c r="AC250" i="7" s="1"/>
  <c r="AA250" i="7"/>
  <c r="Z250" i="7"/>
  <c r="Y250" i="7"/>
  <c r="X250" i="7"/>
  <c r="AB249" i="7"/>
  <c r="AC249" i="7" s="1"/>
  <c r="AA249" i="7"/>
  <c r="Z249" i="7"/>
  <c r="Y249" i="7"/>
  <c r="X249" i="7"/>
  <c r="AB248" i="7"/>
  <c r="AC248" i="7" s="1"/>
  <c r="AA248" i="7"/>
  <c r="Z248" i="7"/>
  <c r="Y248" i="7"/>
  <c r="X248" i="7"/>
  <c r="AB247" i="7"/>
  <c r="AC247" i="7" s="1"/>
  <c r="Z247" i="7"/>
  <c r="Y247" i="7"/>
  <c r="X247" i="7"/>
  <c r="AA246" i="7"/>
  <c r="AB245" i="7"/>
  <c r="AC245" i="7" s="1"/>
  <c r="AA245" i="7"/>
  <c r="Z245" i="7"/>
  <c r="Y245" i="7"/>
  <c r="X245" i="7"/>
  <c r="AB244" i="7"/>
  <c r="AC244" i="7" s="1"/>
  <c r="AA244" i="7"/>
  <c r="Z244" i="7"/>
  <c r="Y244" i="7"/>
  <c r="X244" i="7"/>
  <c r="AB243" i="7"/>
  <c r="AC243" i="7" s="1"/>
  <c r="AA243" i="7"/>
  <c r="Z243" i="7"/>
  <c r="Y243" i="7"/>
  <c r="X243" i="7"/>
  <c r="AB242" i="7"/>
  <c r="AC242" i="7" s="1"/>
  <c r="AA242" i="7"/>
  <c r="Z242" i="7"/>
  <c r="Y242" i="7"/>
  <c r="X242" i="7"/>
  <c r="AB241" i="7"/>
  <c r="AC241" i="7" s="1"/>
  <c r="AA241" i="7"/>
  <c r="Z241" i="7"/>
  <c r="Y241" i="7"/>
  <c r="X241" i="7"/>
  <c r="AB240" i="7"/>
  <c r="AC240" i="7" s="1"/>
  <c r="AA240" i="7"/>
  <c r="Z240" i="7"/>
  <c r="Y240" i="7"/>
  <c r="X240" i="7"/>
  <c r="AB239" i="7"/>
  <c r="AC239" i="7" s="1"/>
  <c r="AA239" i="7"/>
  <c r="Z239" i="7"/>
  <c r="Y239" i="7"/>
  <c r="X239" i="7"/>
  <c r="AB238" i="7"/>
  <c r="AC238" i="7" s="1"/>
  <c r="AA238" i="7"/>
  <c r="Z238" i="7"/>
  <c r="Y238" i="7"/>
  <c r="X238" i="7"/>
  <c r="AB237" i="7"/>
  <c r="AC237" i="7" s="1"/>
  <c r="Z237" i="7"/>
  <c r="Y237" i="7"/>
  <c r="X237" i="7"/>
  <c r="AA236" i="7"/>
  <c r="AB235" i="7"/>
  <c r="AC235" i="7" s="1"/>
  <c r="AA235" i="7"/>
  <c r="Z235" i="7"/>
  <c r="Y235" i="7"/>
  <c r="X235" i="7"/>
  <c r="AB234" i="7"/>
  <c r="AC234" i="7" s="1"/>
  <c r="AA234" i="7"/>
  <c r="Z234" i="7"/>
  <c r="Y234" i="7"/>
  <c r="X234" i="7"/>
  <c r="AB233" i="7"/>
  <c r="AC233" i="7" s="1"/>
  <c r="AA233" i="7"/>
  <c r="Z233" i="7"/>
  <c r="Y233" i="7"/>
  <c r="X233" i="7"/>
  <c r="AB232" i="7"/>
  <c r="AC232" i="7" s="1"/>
  <c r="AA232" i="7"/>
  <c r="Z232" i="7"/>
  <c r="Y232" i="7"/>
  <c r="X232" i="7"/>
  <c r="AB231" i="7"/>
  <c r="AC231" i="7" s="1"/>
  <c r="AA231" i="7"/>
  <c r="Z231" i="7"/>
  <c r="Y231" i="7"/>
  <c r="X231" i="7"/>
  <c r="AB230" i="7"/>
  <c r="AC230" i="7" s="1"/>
  <c r="AA230" i="7"/>
  <c r="Z230" i="7"/>
  <c r="Y230" i="7"/>
  <c r="X230" i="7"/>
  <c r="AB229" i="7"/>
  <c r="AC229" i="7" s="1"/>
  <c r="AA229" i="7"/>
  <c r="Z229" i="7"/>
  <c r="Y229" i="7"/>
  <c r="X229" i="7"/>
  <c r="AB228" i="7"/>
  <c r="AC228" i="7" s="1"/>
  <c r="AA228" i="7"/>
  <c r="Z228" i="7"/>
  <c r="Y228" i="7"/>
  <c r="X228" i="7"/>
  <c r="AB227" i="7"/>
  <c r="AC227" i="7" s="1"/>
  <c r="Z227" i="7"/>
  <c r="Y227" i="7"/>
  <c r="X227" i="7"/>
  <c r="AA226" i="7"/>
  <c r="AB225" i="7"/>
  <c r="AC225" i="7" s="1"/>
  <c r="AA225" i="7"/>
  <c r="Z225" i="7"/>
  <c r="Y225" i="7"/>
  <c r="X225" i="7"/>
  <c r="AB224" i="7"/>
  <c r="AC224" i="7" s="1"/>
  <c r="AA224" i="7"/>
  <c r="Z224" i="7"/>
  <c r="Y224" i="7"/>
  <c r="X224" i="7"/>
  <c r="AB223" i="7"/>
  <c r="AC223" i="7" s="1"/>
  <c r="AA223" i="7"/>
  <c r="Z223" i="7"/>
  <c r="Y223" i="7"/>
  <c r="X223" i="7"/>
  <c r="AB222" i="7"/>
  <c r="AC222" i="7" s="1"/>
  <c r="AA222" i="7"/>
  <c r="Z222" i="7"/>
  <c r="Y222" i="7"/>
  <c r="X222" i="7"/>
  <c r="AB221" i="7"/>
  <c r="AC221" i="7" s="1"/>
  <c r="AA221" i="7"/>
  <c r="Z221" i="7"/>
  <c r="Y221" i="7"/>
  <c r="X221" i="7"/>
  <c r="AB220" i="7"/>
  <c r="AC220" i="7" s="1"/>
  <c r="AA220" i="7"/>
  <c r="Z220" i="7"/>
  <c r="Y220" i="7"/>
  <c r="X220" i="7"/>
  <c r="AB219" i="7"/>
  <c r="AC219" i="7" s="1"/>
  <c r="AA219" i="7"/>
  <c r="Z219" i="7"/>
  <c r="Y219" i="7"/>
  <c r="X219" i="7"/>
  <c r="AB218" i="7"/>
  <c r="AC218" i="7" s="1"/>
  <c r="AA218" i="7"/>
  <c r="Z218" i="7"/>
  <c r="Y218" i="7"/>
  <c r="X218" i="7"/>
  <c r="AB217" i="7"/>
  <c r="AC217" i="7" s="1"/>
  <c r="Z217" i="7"/>
  <c r="Y217" i="7"/>
  <c r="X217" i="7"/>
  <c r="AA216" i="7"/>
  <c r="AB215" i="7"/>
  <c r="AC215" i="7" s="1"/>
  <c r="AA215" i="7"/>
  <c r="Z215" i="7"/>
  <c r="Y215" i="7"/>
  <c r="X215" i="7"/>
  <c r="AB214" i="7"/>
  <c r="AC214" i="7" s="1"/>
  <c r="AA214" i="7"/>
  <c r="Z214" i="7"/>
  <c r="Y214" i="7"/>
  <c r="X214" i="7"/>
  <c r="AB213" i="7"/>
  <c r="AC213" i="7" s="1"/>
  <c r="AA213" i="7"/>
  <c r="Z213" i="7"/>
  <c r="Y213" i="7"/>
  <c r="X213" i="7"/>
  <c r="AB212" i="7"/>
  <c r="AC212" i="7" s="1"/>
  <c r="AA212" i="7"/>
  <c r="Z212" i="7"/>
  <c r="Y212" i="7"/>
  <c r="X212" i="7"/>
  <c r="AB211" i="7"/>
  <c r="AC211" i="7" s="1"/>
  <c r="AA211" i="7"/>
  <c r="Z211" i="7"/>
  <c r="Y211" i="7"/>
  <c r="X211" i="7"/>
  <c r="AB210" i="7"/>
  <c r="AC210" i="7" s="1"/>
  <c r="AA210" i="7"/>
  <c r="Z210" i="7"/>
  <c r="Y210" i="7"/>
  <c r="X210" i="7"/>
  <c r="AB209" i="7"/>
  <c r="AC209" i="7" s="1"/>
  <c r="AA209" i="7"/>
  <c r="Z209" i="7"/>
  <c r="Y209" i="7"/>
  <c r="X209" i="7"/>
  <c r="AB208" i="7"/>
  <c r="AC208" i="7" s="1"/>
  <c r="AA208" i="7"/>
  <c r="Z208" i="7"/>
  <c r="Y208" i="7"/>
  <c r="X208" i="7"/>
  <c r="AB207" i="7"/>
  <c r="AC207" i="7" s="1"/>
  <c r="Z207" i="7"/>
  <c r="Y207" i="7"/>
  <c r="X207" i="7"/>
  <c r="AA196" i="7"/>
  <c r="AB195" i="7"/>
  <c r="AC195" i="7" s="1"/>
  <c r="AA195" i="7"/>
  <c r="Z195" i="7"/>
  <c r="Y195" i="7"/>
  <c r="X195" i="7"/>
  <c r="AB194" i="7"/>
  <c r="AC194" i="7" s="1"/>
  <c r="AA194" i="7"/>
  <c r="Z194" i="7"/>
  <c r="Y194" i="7"/>
  <c r="X194" i="7"/>
  <c r="AB193" i="7"/>
  <c r="AC193" i="7" s="1"/>
  <c r="AA193" i="7"/>
  <c r="Z193" i="7"/>
  <c r="Y193" i="7"/>
  <c r="X193" i="7"/>
  <c r="AB192" i="7"/>
  <c r="AC192" i="7" s="1"/>
  <c r="AA192" i="7"/>
  <c r="Z192" i="7"/>
  <c r="Y192" i="7"/>
  <c r="X192" i="7"/>
  <c r="AB191" i="7"/>
  <c r="AC191" i="7" s="1"/>
  <c r="AA191" i="7"/>
  <c r="Z191" i="7"/>
  <c r="Y191" i="7"/>
  <c r="X191" i="7"/>
  <c r="AB190" i="7"/>
  <c r="AC190" i="7" s="1"/>
  <c r="AA190" i="7"/>
  <c r="Z190" i="7"/>
  <c r="Y190" i="7"/>
  <c r="X190" i="7"/>
  <c r="AB189" i="7"/>
  <c r="AC189" i="7" s="1"/>
  <c r="AA189" i="7"/>
  <c r="Z189" i="7"/>
  <c r="Y189" i="7"/>
  <c r="X189" i="7"/>
  <c r="AB188" i="7"/>
  <c r="AC188" i="7" s="1"/>
  <c r="AA188" i="7"/>
  <c r="Z188" i="7"/>
  <c r="Y188" i="7"/>
  <c r="X188" i="7"/>
  <c r="AB187" i="7"/>
  <c r="AC187" i="7" s="1"/>
  <c r="Z187" i="7"/>
  <c r="Y187" i="7"/>
  <c r="X187" i="7"/>
  <c r="AA186" i="7"/>
  <c r="AB185" i="7"/>
  <c r="AC185" i="7" s="1"/>
  <c r="AA185" i="7"/>
  <c r="Z185" i="7"/>
  <c r="Y185" i="7"/>
  <c r="X185" i="7"/>
  <c r="AB184" i="7"/>
  <c r="AC184" i="7" s="1"/>
  <c r="AA184" i="7"/>
  <c r="Z184" i="7"/>
  <c r="Y184" i="7"/>
  <c r="X184" i="7"/>
  <c r="AB183" i="7"/>
  <c r="AC183" i="7" s="1"/>
  <c r="AA183" i="7"/>
  <c r="Z183" i="7"/>
  <c r="Y183" i="7"/>
  <c r="X183" i="7"/>
  <c r="AB182" i="7"/>
  <c r="AC182" i="7" s="1"/>
  <c r="AA182" i="7"/>
  <c r="Z182" i="7"/>
  <c r="Y182" i="7"/>
  <c r="X182" i="7"/>
  <c r="AB181" i="7"/>
  <c r="AC181" i="7" s="1"/>
  <c r="AA181" i="7"/>
  <c r="Z181" i="7"/>
  <c r="Y181" i="7"/>
  <c r="X181" i="7"/>
  <c r="AB180" i="7"/>
  <c r="AC180" i="7" s="1"/>
  <c r="AA180" i="7"/>
  <c r="Z180" i="7"/>
  <c r="Y180" i="7"/>
  <c r="X180" i="7"/>
  <c r="AB179" i="7"/>
  <c r="AC179" i="7" s="1"/>
  <c r="AA179" i="7"/>
  <c r="Z179" i="7"/>
  <c r="Y179" i="7"/>
  <c r="X179" i="7"/>
  <c r="AB178" i="7"/>
  <c r="AC178" i="7" s="1"/>
  <c r="AA178" i="7"/>
  <c r="Z178" i="7"/>
  <c r="Y178" i="7"/>
  <c r="X178" i="7"/>
  <c r="AB177" i="7"/>
  <c r="AC177" i="7" s="1"/>
  <c r="Z177" i="7"/>
  <c r="Y177" i="7"/>
  <c r="X177" i="7"/>
  <c r="AA176" i="7"/>
  <c r="AB175" i="7"/>
  <c r="AC175" i="7" s="1"/>
  <c r="AA175" i="7"/>
  <c r="Z175" i="7"/>
  <c r="Y175" i="7"/>
  <c r="X175" i="7"/>
  <c r="AB174" i="7"/>
  <c r="AC174" i="7" s="1"/>
  <c r="AA174" i="7"/>
  <c r="Z174" i="7"/>
  <c r="Y174" i="7"/>
  <c r="X174" i="7"/>
  <c r="AB173" i="7"/>
  <c r="AC173" i="7" s="1"/>
  <c r="AA173" i="7"/>
  <c r="Z173" i="7"/>
  <c r="Y173" i="7"/>
  <c r="X173" i="7"/>
  <c r="AB172" i="7"/>
  <c r="AC172" i="7" s="1"/>
  <c r="AA172" i="7"/>
  <c r="Z172" i="7"/>
  <c r="Y172" i="7"/>
  <c r="X172" i="7"/>
  <c r="AB171" i="7"/>
  <c r="AC171" i="7" s="1"/>
  <c r="AA171" i="7"/>
  <c r="Z171" i="7"/>
  <c r="Y171" i="7"/>
  <c r="X171" i="7"/>
  <c r="AB170" i="7"/>
  <c r="AC170" i="7" s="1"/>
  <c r="AA170" i="7"/>
  <c r="Z170" i="7"/>
  <c r="Y170" i="7"/>
  <c r="X170" i="7"/>
  <c r="AB169" i="7"/>
  <c r="AC169" i="7" s="1"/>
  <c r="AA169" i="7"/>
  <c r="Z169" i="7"/>
  <c r="Y169" i="7"/>
  <c r="X169" i="7"/>
  <c r="AB168" i="7"/>
  <c r="AC168" i="7" s="1"/>
  <c r="AA168" i="7"/>
  <c r="Z168" i="7"/>
  <c r="Y168" i="7"/>
  <c r="X168" i="7"/>
  <c r="AB167" i="7"/>
  <c r="AC167" i="7" s="1"/>
  <c r="Z167" i="7"/>
  <c r="Y167" i="7"/>
  <c r="X167" i="7"/>
  <c r="AA166" i="7"/>
  <c r="AB165" i="7"/>
  <c r="AC165" i="7" s="1"/>
  <c r="AA165" i="7"/>
  <c r="Z165" i="7"/>
  <c r="Y165" i="7"/>
  <c r="X165" i="7"/>
  <c r="AB164" i="7"/>
  <c r="AC164" i="7" s="1"/>
  <c r="AA164" i="7"/>
  <c r="Z164" i="7"/>
  <c r="Y164" i="7"/>
  <c r="X164" i="7"/>
  <c r="AB163" i="7"/>
  <c r="AC163" i="7" s="1"/>
  <c r="AA163" i="7"/>
  <c r="Z163" i="7"/>
  <c r="Y163" i="7"/>
  <c r="X163" i="7"/>
  <c r="AB162" i="7"/>
  <c r="AC162" i="7" s="1"/>
  <c r="AA162" i="7"/>
  <c r="Z162" i="7"/>
  <c r="Y162" i="7"/>
  <c r="X162" i="7"/>
  <c r="AB161" i="7"/>
  <c r="AC161" i="7" s="1"/>
  <c r="AA161" i="7"/>
  <c r="Z161" i="7"/>
  <c r="Y161" i="7"/>
  <c r="X161" i="7"/>
  <c r="AB160" i="7"/>
  <c r="AC160" i="7" s="1"/>
  <c r="AA160" i="7"/>
  <c r="Z160" i="7"/>
  <c r="Y160" i="7"/>
  <c r="X160" i="7"/>
  <c r="AB159" i="7"/>
  <c r="AC159" i="7" s="1"/>
  <c r="AA159" i="7"/>
  <c r="Z159" i="7"/>
  <c r="Y159" i="7"/>
  <c r="X159" i="7"/>
  <c r="AB158" i="7"/>
  <c r="AC158" i="7" s="1"/>
  <c r="AA158" i="7"/>
  <c r="Z158" i="7"/>
  <c r="Y158" i="7"/>
  <c r="X158" i="7"/>
  <c r="AB157" i="7"/>
  <c r="AC157" i="7" s="1"/>
  <c r="Z157" i="7"/>
  <c r="Y157" i="7"/>
  <c r="X157" i="7"/>
  <c r="AA156" i="7"/>
  <c r="AB155" i="7"/>
  <c r="AC155" i="7" s="1"/>
  <c r="AA155" i="7"/>
  <c r="Z155" i="7"/>
  <c r="Y155" i="7"/>
  <c r="X155" i="7"/>
  <c r="AB154" i="7"/>
  <c r="AC154" i="7" s="1"/>
  <c r="AA154" i="7"/>
  <c r="Z154" i="7"/>
  <c r="Y154" i="7"/>
  <c r="X154" i="7"/>
  <c r="AB153" i="7"/>
  <c r="AC153" i="7" s="1"/>
  <c r="AA153" i="7"/>
  <c r="Z153" i="7"/>
  <c r="Y153" i="7"/>
  <c r="X153" i="7"/>
  <c r="AB152" i="7"/>
  <c r="AC152" i="7" s="1"/>
  <c r="AA152" i="7"/>
  <c r="Z152" i="7"/>
  <c r="Y152" i="7"/>
  <c r="X152" i="7"/>
  <c r="AB151" i="7"/>
  <c r="AC151" i="7" s="1"/>
  <c r="AA151" i="7"/>
  <c r="Z151" i="7"/>
  <c r="Y151" i="7"/>
  <c r="X151" i="7"/>
  <c r="AB150" i="7"/>
  <c r="AC150" i="7" s="1"/>
  <c r="AA150" i="7"/>
  <c r="Z150" i="7"/>
  <c r="Y150" i="7"/>
  <c r="X150" i="7"/>
  <c r="AB149" i="7"/>
  <c r="AC149" i="7" s="1"/>
  <c r="AA149" i="7"/>
  <c r="Z149" i="7"/>
  <c r="Y149" i="7"/>
  <c r="X149" i="7"/>
  <c r="AB148" i="7"/>
  <c r="AC148" i="7" s="1"/>
  <c r="AA148" i="7"/>
  <c r="Z148" i="7"/>
  <c r="Y148" i="7"/>
  <c r="X148" i="7"/>
  <c r="AB147" i="7"/>
  <c r="AC147" i="7" s="1"/>
  <c r="Z147" i="7"/>
  <c r="Y147" i="7"/>
  <c r="X147" i="7"/>
  <c r="AB146" i="7"/>
  <c r="AC146" i="7" s="1"/>
  <c r="AA146" i="7"/>
  <c r="Z146" i="7"/>
  <c r="Y146" i="7"/>
  <c r="X146" i="7"/>
  <c r="AB145" i="7"/>
  <c r="AC145" i="7" s="1"/>
  <c r="AA145" i="7"/>
  <c r="Z145" i="7"/>
  <c r="Y145" i="7"/>
  <c r="X145" i="7"/>
  <c r="AB144" i="7"/>
  <c r="AC144" i="7" s="1"/>
  <c r="AA144" i="7"/>
  <c r="Z144" i="7"/>
  <c r="Y144" i="7"/>
  <c r="X144" i="7"/>
  <c r="AB143" i="7"/>
  <c r="AC143" i="7" s="1"/>
  <c r="AA143" i="7"/>
  <c r="Z143" i="7"/>
  <c r="Y143" i="7"/>
  <c r="X143" i="7"/>
  <c r="AB142" i="7"/>
  <c r="AC142" i="7" s="1"/>
  <c r="AA142" i="7"/>
  <c r="Z142" i="7"/>
  <c r="Y142" i="7"/>
  <c r="X142" i="7"/>
  <c r="AB141" i="7"/>
  <c r="AC141" i="7" s="1"/>
  <c r="AA141" i="7"/>
  <c r="Z141" i="7"/>
  <c r="Y141" i="7"/>
  <c r="X141" i="7"/>
  <c r="AB140" i="7"/>
  <c r="AC140" i="7" s="1"/>
  <c r="AA140" i="7"/>
  <c r="Z140" i="7"/>
  <c r="Y140" i="7"/>
  <c r="X140" i="7"/>
  <c r="AB139" i="7"/>
  <c r="AC139" i="7" s="1"/>
  <c r="AA139" i="7"/>
  <c r="Z139" i="7"/>
  <c r="Y139" i="7"/>
  <c r="X139" i="7"/>
  <c r="AB138" i="7"/>
  <c r="AC138" i="7" s="1"/>
  <c r="Z138" i="7"/>
  <c r="Y138" i="7"/>
  <c r="X138" i="7"/>
  <c r="AA137" i="7"/>
  <c r="AB136" i="7"/>
  <c r="AC136" i="7" s="1"/>
  <c r="AA136" i="7"/>
  <c r="Z136" i="7"/>
  <c r="Y136" i="7"/>
  <c r="X136" i="7"/>
  <c r="AB135" i="7"/>
  <c r="AC135" i="7" s="1"/>
  <c r="AA135" i="7"/>
  <c r="Z135" i="7"/>
  <c r="Y135" i="7"/>
  <c r="X135" i="7"/>
  <c r="AB134" i="7"/>
  <c r="AC134" i="7" s="1"/>
  <c r="AA134" i="7"/>
  <c r="Z134" i="7"/>
  <c r="Y134" i="7"/>
  <c r="X134" i="7"/>
  <c r="AB133" i="7"/>
  <c r="AC133" i="7" s="1"/>
  <c r="AA133" i="7"/>
  <c r="Z133" i="7"/>
  <c r="Y133" i="7"/>
  <c r="X133" i="7"/>
  <c r="AB132" i="7"/>
  <c r="AC132" i="7" s="1"/>
  <c r="AA132" i="7"/>
  <c r="Z132" i="7"/>
  <c r="Y132" i="7"/>
  <c r="X132" i="7"/>
  <c r="AB131" i="7"/>
  <c r="AC131" i="7" s="1"/>
  <c r="AA131" i="7"/>
  <c r="Z131" i="7"/>
  <c r="Y131" i="7"/>
  <c r="X131" i="7"/>
  <c r="AB130" i="7"/>
  <c r="AC130" i="7" s="1"/>
  <c r="AA130" i="7"/>
  <c r="Z130" i="7"/>
  <c r="Y130" i="7"/>
  <c r="X130" i="7"/>
  <c r="AB129" i="7"/>
  <c r="AC129" i="7" s="1"/>
  <c r="AA129" i="7"/>
  <c r="Z129" i="7"/>
  <c r="Y129" i="7"/>
  <c r="X129" i="7"/>
  <c r="AB128" i="7"/>
  <c r="AC128" i="7" s="1"/>
  <c r="Z128" i="7"/>
  <c r="Y128" i="7"/>
  <c r="X128" i="7"/>
  <c r="AA127" i="7"/>
  <c r="AB126" i="7"/>
  <c r="AC126" i="7" s="1"/>
  <c r="AA126" i="7"/>
  <c r="Z126" i="7"/>
  <c r="Y126" i="7"/>
  <c r="X126" i="7"/>
  <c r="AB125" i="7"/>
  <c r="AC125" i="7" s="1"/>
  <c r="AA125" i="7"/>
  <c r="Z125" i="7"/>
  <c r="Y125" i="7"/>
  <c r="X125" i="7"/>
  <c r="AB124" i="7"/>
  <c r="AC124" i="7" s="1"/>
  <c r="AA124" i="7"/>
  <c r="Z124" i="7"/>
  <c r="Y124" i="7"/>
  <c r="X124" i="7"/>
  <c r="AB123" i="7"/>
  <c r="AC123" i="7" s="1"/>
  <c r="AA123" i="7"/>
  <c r="Z123" i="7"/>
  <c r="Y123" i="7"/>
  <c r="X123" i="7"/>
  <c r="AB122" i="7"/>
  <c r="AC122" i="7" s="1"/>
  <c r="AA122" i="7"/>
  <c r="Z122" i="7"/>
  <c r="Y122" i="7"/>
  <c r="X122" i="7"/>
  <c r="AB121" i="7"/>
  <c r="AC121" i="7" s="1"/>
  <c r="AA121" i="7"/>
  <c r="Z121" i="7"/>
  <c r="Y121" i="7"/>
  <c r="X121" i="7"/>
  <c r="AB120" i="7"/>
  <c r="AC120" i="7" s="1"/>
  <c r="AA120" i="7"/>
  <c r="Z120" i="7"/>
  <c r="Y120" i="7"/>
  <c r="X120" i="7"/>
  <c r="AB119" i="7"/>
  <c r="AC119" i="7" s="1"/>
  <c r="AA119" i="7"/>
  <c r="Z119" i="7"/>
  <c r="Y119" i="7"/>
  <c r="X119" i="7"/>
  <c r="AB118" i="7"/>
  <c r="AC118" i="7" s="1"/>
  <c r="Z118" i="7"/>
  <c r="Y118" i="7"/>
  <c r="X118" i="7"/>
  <c r="AA117" i="7"/>
  <c r="AB116" i="7"/>
  <c r="AC116" i="7" s="1"/>
  <c r="AA116" i="7"/>
  <c r="Z116" i="7"/>
  <c r="Y116" i="7"/>
  <c r="X116" i="7"/>
  <c r="AB115" i="7"/>
  <c r="AC115" i="7" s="1"/>
  <c r="AA115" i="7"/>
  <c r="Z115" i="7"/>
  <c r="Y115" i="7"/>
  <c r="X115" i="7"/>
  <c r="AB114" i="7"/>
  <c r="AC114" i="7" s="1"/>
  <c r="AA114" i="7"/>
  <c r="Z114" i="7"/>
  <c r="Y114" i="7"/>
  <c r="X114" i="7"/>
  <c r="AB113" i="7"/>
  <c r="AC113" i="7" s="1"/>
  <c r="AA113" i="7"/>
  <c r="Z113" i="7"/>
  <c r="Y113" i="7"/>
  <c r="X113" i="7"/>
  <c r="AB112" i="7"/>
  <c r="AC112" i="7" s="1"/>
  <c r="AA112" i="7"/>
  <c r="Z112" i="7"/>
  <c r="Y112" i="7"/>
  <c r="X112" i="7"/>
  <c r="AB111" i="7"/>
  <c r="AC111" i="7" s="1"/>
  <c r="AA111" i="7"/>
  <c r="Z111" i="7"/>
  <c r="Y111" i="7"/>
  <c r="X111" i="7"/>
  <c r="AB110" i="7"/>
  <c r="AC110" i="7" s="1"/>
  <c r="AA110" i="7"/>
  <c r="Z110" i="7"/>
  <c r="Y110" i="7"/>
  <c r="X110" i="7"/>
  <c r="AB109" i="7"/>
  <c r="AC109" i="7" s="1"/>
  <c r="AA109" i="7"/>
  <c r="Z109" i="7"/>
  <c r="Y109" i="7"/>
  <c r="X109" i="7"/>
  <c r="AB108" i="7"/>
  <c r="AC108" i="7" s="1"/>
  <c r="Z108" i="7"/>
  <c r="Y108" i="7"/>
  <c r="X108" i="7"/>
  <c r="AA97" i="7"/>
  <c r="AB96" i="7"/>
  <c r="AC96" i="7" s="1"/>
  <c r="AA96" i="7"/>
  <c r="Z96" i="7"/>
  <c r="Y96" i="7"/>
  <c r="X96" i="7"/>
  <c r="AB95" i="7"/>
  <c r="AC95" i="7" s="1"/>
  <c r="AA95" i="7"/>
  <c r="Z95" i="7"/>
  <c r="Y95" i="7"/>
  <c r="X95" i="7"/>
  <c r="AB94" i="7"/>
  <c r="AC94" i="7" s="1"/>
  <c r="AA94" i="7"/>
  <c r="Z94" i="7"/>
  <c r="Y94" i="7"/>
  <c r="X94" i="7"/>
  <c r="AB93" i="7"/>
  <c r="AC93" i="7" s="1"/>
  <c r="AA93" i="7"/>
  <c r="Z93" i="7"/>
  <c r="Y93" i="7"/>
  <c r="X93" i="7"/>
  <c r="AB92" i="7"/>
  <c r="AC92" i="7" s="1"/>
  <c r="AA92" i="7"/>
  <c r="Z92" i="7"/>
  <c r="Y92" i="7"/>
  <c r="X92" i="7"/>
  <c r="AB91" i="7"/>
  <c r="AC91" i="7" s="1"/>
  <c r="AA91" i="7"/>
  <c r="Z91" i="7"/>
  <c r="Y91" i="7"/>
  <c r="X91" i="7"/>
  <c r="AB90" i="7"/>
  <c r="AC90" i="7" s="1"/>
  <c r="AA90" i="7"/>
  <c r="Z90" i="7"/>
  <c r="Y90" i="7"/>
  <c r="X90" i="7"/>
  <c r="AB89" i="7"/>
  <c r="AC89" i="7" s="1"/>
  <c r="AA89" i="7"/>
  <c r="Z89" i="7"/>
  <c r="Y89" i="7"/>
  <c r="X89" i="7"/>
  <c r="AB88" i="7"/>
  <c r="AC88" i="7" s="1"/>
  <c r="Z88" i="7"/>
  <c r="Y88" i="7"/>
  <c r="X88" i="7"/>
  <c r="AA87" i="7"/>
  <c r="AB86" i="7"/>
  <c r="AC86" i="7" s="1"/>
  <c r="AA86" i="7"/>
  <c r="Z86" i="7"/>
  <c r="Y86" i="7"/>
  <c r="X86" i="7"/>
  <c r="AB85" i="7"/>
  <c r="AC85" i="7" s="1"/>
  <c r="AA85" i="7"/>
  <c r="Z85" i="7"/>
  <c r="Y85" i="7"/>
  <c r="X85" i="7"/>
  <c r="AB84" i="7"/>
  <c r="AC84" i="7" s="1"/>
  <c r="AA84" i="7"/>
  <c r="Z84" i="7"/>
  <c r="Y84" i="7"/>
  <c r="X84" i="7"/>
  <c r="AB83" i="7"/>
  <c r="AC83" i="7" s="1"/>
  <c r="AA83" i="7"/>
  <c r="Z83" i="7"/>
  <c r="Y83" i="7"/>
  <c r="X83" i="7"/>
  <c r="AB82" i="7"/>
  <c r="AC82" i="7" s="1"/>
  <c r="AA82" i="7"/>
  <c r="Z82" i="7"/>
  <c r="Y82" i="7"/>
  <c r="X82" i="7"/>
  <c r="AB81" i="7"/>
  <c r="AC81" i="7" s="1"/>
  <c r="AA81" i="7"/>
  <c r="Z81" i="7"/>
  <c r="Y81" i="7"/>
  <c r="X81" i="7"/>
  <c r="AB80" i="7"/>
  <c r="AC80" i="7" s="1"/>
  <c r="AA80" i="7"/>
  <c r="Z80" i="7"/>
  <c r="Y80" i="7"/>
  <c r="X80" i="7"/>
  <c r="AB79" i="7"/>
  <c r="AC79" i="7" s="1"/>
  <c r="AA79" i="7"/>
  <c r="Z79" i="7"/>
  <c r="Y79" i="7"/>
  <c r="X79" i="7"/>
  <c r="AB78" i="7"/>
  <c r="AC78" i="7" s="1"/>
  <c r="Z78" i="7"/>
  <c r="Y78" i="7"/>
  <c r="X78" i="7"/>
  <c r="AA77" i="7"/>
  <c r="AB76" i="7"/>
  <c r="AC76" i="7" s="1"/>
  <c r="AA76" i="7"/>
  <c r="Z76" i="7"/>
  <c r="Y76" i="7"/>
  <c r="X76" i="7"/>
  <c r="AB75" i="7"/>
  <c r="AC75" i="7" s="1"/>
  <c r="AA75" i="7"/>
  <c r="Z75" i="7"/>
  <c r="Y75" i="7"/>
  <c r="X75" i="7"/>
  <c r="AB74" i="7"/>
  <c r="AC74" i="7" s="1"/>
  <c r="AA74" i="7"/>
  <c r="Z74" i="7"/>
  <c r="Y74" i="7"/>
  <c r="X74" i="7"/>
  <c r="AB73" i="7"/>
  <c r="AC73" i="7" s="1"/>
  <c r="AA73" i="7"/>
  <c r="Z73" i="7"/>
  <c r="Y73" i="7"/>
  <c r="X73" i="7"/>
  <c r="AB72" i="7"/>
  <c r="AC72" i="7" s="1"/>
  <c r="AA72" i="7"/>
  <c r="Z72" i="7"/>
  <c r="Y72" i="7"/>
  <c r="X72" i="7"/>
  <c r="AB71" i="7"/>
  <c r="AC71" i="7" s="1"/>
  <c r="AA71" i="7"/>
  <c r="Z71" i="7"/>
  <c r="Y71" i="7"/>
  <c r="X71" i="7"/>
  <c r="AB70" i="7"/>
  <c r="AC70" i="7" s="1"/>
  <c r="AA70" i="7"/>
  <c r="Z70" i="7"/>
  <c r="Y70" i="7"/>
  <c r="X70" i="7"/>
  <c r="AB69" i="7"/>
  <c r="AC69" i="7" s="1"/>
  <c r="AA69" i="7"/>
  <c r="Z69" i="7"/>
  <c r="Y69" i="7"/>
  <c r="X69" i="7"/>
  <c r="AB68" i="7"/>
  <c r="AC68" i="7" s="1"/>
  <c r="Z68" i="7"/>
  <c r="Y68" i="7"/>
  <c r="X68" i="7"/>
  <c r="AA67" i="7"/>
  <c r="AB66" i="7"/>
  <c r="AC66" i="7" s="1"/>
  <c r="AA66" i="7"/>
  <c r="Z66" i="7"/>
  <c r="Y66" i="7"/>
  <c r="X66" i="7"/>
  <c r="AB65" i="7"/>
  <c r="AC65" i="7" s="1"/>
  <c r="AA65" i="7"/>
  <c r="Z65" i="7"/>
  <c r="Y65" i="7"/>
  <c r="X65" i="7"/>
  <c r="AB64" i="7"/>
  <c r="AC64" i="7" s="1"/>
  <c r="AA64" i="7"/>
  <c r="Z64" i="7"/>
  <c r="Y64" i="7"/>
  <c r="X64" i="7"/>
  <c r="AB63" i="7"/>
  <c r="AC63" i="7" s="1"/>
  <c r="AA63" i="7"/>
  <c r="Z63" i="7"/>
  <c r="Y63" i="7"/>
  <c r="X63" i="7"/>
  <c r="AB62" i="7"/>
  <c r="AC62" i="7" s="1"/>
  <c r="AA62" i="7"/>
  <c r="Z62" i="7"/>
  <c r="Y62" i="7"/>
  <c r="X62" i="7"/>
  <c r="AB61" i="7"/>
  <c r="AC61" i="7" s="1"/>
  <c r="AA61" i="7"/>
  <c r="Z61" i="7"/>
  <c r="Y61" i="7"/>
  <c r="X61" i="7"/>
  <c r="AB60" i="7"/>
  <c r="AC60" i="7" s="1"/>
  <c r="AA60" i="7"/>
  <c r="Z60" i="7"/>
  <c r="Y60" i="7"/>
  <c r="X60" i="7"/>
  <c r="AB59" i="7"/>
  <c r="AC59" i="7" s="1"/>
  <c r="AA59" i="7"/>
  <c r="Z59" i="7"/>
  <c r="Y59" i="7"/>
  <c r="X59" i="7"/>
  <c r="AB58" i="7"/>
  <c r="AC58" i="7" s="1"/>
  <c r="Z58" i="7"/>
  <c r="Y58" i="7"/>
  <c r="X58" i="7"/>
  <c r="AA57" i="7"/>
  <c r="AB56" i="7"/>
  <c r="AC56" i="7" s="1"/>
  <c r="AA56" i="7"/>
  <c r="Z56" i="7"/>
  <c r="Y56" i="7"/>
  <c r="X56" i="7"/>
  <c r="AB55" i="7"/>
  <c r="AC55" i="7" s="1"/>
  <c r="AA55" i="7"/>
  <c r="Z55" i="7"/>
  <c r="Y55" i="7"/>
  <c r="X55" i="7"/>
  <c r="AB54" i="7"/>
  <c r="AC54" i="7" s="1"/>
  <c r="AA54" i="7"/>
  <c r="Z54" i="7"/>
  <c r="Y54" i="7"/>
  <c r="X54" i="7"/>
  <c r="AB53" i="7"/>
  <c r="AC53" i="7" s="1"/>
  <c r="AA53" i="7"/>
  <c r="Z53" i="7"/>
  <c r="Y53" i="7"/>
  <c r="X53" i="7"/>
  <c r="AB52" i="7"/>
  <c r="AC52" i="7" s="1"/>
  <c r="AA52" i="7"/>
  <c r="Z52" i="7"/>
  <c r="Y52" i="7"/>
  <c r="X52" i="7"/>
  <c r="AB51" i="7"/>
  <c r="AC51" i="7" s="1"/>
  <c r="AA51" i="7"/>
  <c r="Z51" i="7"/>
  <c r="Y51" i="7"/>
  <c r="X51" i="7"/>
  <c r="AB50" i="7"/>
  <c r="AC50" i="7" s="1"/>
  <c r="AA50" i="7"/>
  <c r="Z50" i="7"/>
  <c r="Y50" i="7"/>
  <c r="X50" i="7"/>
  <c r="AB49" i="7"/>
  <c r="AC49" i="7" s="1"/>
  <c r="AA49" i="7"/>
  <c r="Z49" i="7"/>
  <c r="Y49" i="7"/>
  <c r="X49" i="7"/>
  <c r="AB48" i="7"/>
  <c r="AC48" i="7" s="1"/>
  <c r="Z48" i="7"/>
  <c r="Y48" i="7"/>
  <c r="X48" i="7"/>
  <c r="AA47" i="7"/>
  <c r="AB46" i="7"/>
  <c r="AC46" i="7" s="1"/>
  <c r="AA46" i="7"/>
  <c r="Z46" i="7"/>
  <c r="Y46" i="7"/>
  <c r="X46" i="7"/>
  <c r="AB45" i="7"/>
  <c r="AC45" i="7" s="1"/>
  <c r="AA45" i="7"/>
  <c r="Z45" i="7"/>
  <c r="Y45" i="7"/>
  <c r="X45" i="7"/>
  <c r="AB44" i="7"/>
  <c r="AC44" i="7" s="1"/>
  <c r="AA44" i="7"/>
  <c r="Z44" i="7"/>
  <c r="Y44" i="7"/>
  <c r="X44" i="7"/>
  <c r="AB43" i="7"/>
  <c r="AC43" i="7" s="1"/>
  <c r="AA43" i="7"/>
  <c r="Z43" i="7"/>
  <c r="Y43" i="7"/>
  <c r="X43" i="7"/>
  <c r="AB42" i="7"/>
  <c r="AC42" i="7" s="1"/>
  <c r="AA42" i="7"/>
  <c r="Z42" i="7"/>
  <c r="Y42" i="7"/>
  <c r="X42" i="7"/>
  <c r="AB41" i="7"/>
  <c r="AC41" i="7" s="1"/>
  <c r="AA41" i="7"/>
  <c r="Z41" i="7"/>
  <c r="Y41" i="7"/>
  <c r="X41" i="7"/>
  <c r="AB40" i="7"/>
  <c r="AC40" i="7" s="1"/>
  <c r="AA40" i="7"/>
  <c r="Z40" i="7"/>
  <c r="Y40" i="7"/>
  <c r="X40" i="7"/>
  <c r="AB39" i="7"/>
  <c r="AC39" i="7" s="1"/>
  <c r="AA39" i="7"/>
  <c r="Z39" i="7"/>
  <c r="Y39" i="7"/>
  <c r="X39" i="7"/>
  <c r="AB38" i="7"/>
  <c r="AC38" i="7" s="1"/>
  <c r="Z38" i="7"/>
  <c r="Y38" i="7"/>
  <c r="X38" i="7"/>
  <c r="AA37" i="7"/>
  <c r="AB36" i="7"/>
  <c r="AC36" i="7" s="1"/>
  <c r="AA36" i="7"/>
  <c r="Z36" i="7"/>
  <c r="Y36" i="7"/>
  <c r="X36" i="7"/>
  <c r="AB35" i="7"/>
  <c r="AC35" i="7" s="1"/>
  <c r="AA35" i="7"/>
  <c r="Z35" i="7"/>
  <c r="Y35" i="7"/>
  <c r="X35" i="7"/>
  <c r="AB34" i="7"/>
  <c r="AC34" i="7" s="1"/>
  <c r="AA34" i="7"/>
  <c r="Z34" i="7"/>
  <c r="Y34" i="7"/>
  <c r="X34" i="7"/>
  <c r="AB33" i="7"/>
  <c r="AC33" i="7" s="1"/>
  <c r="AA33" i="7"/>
  <c r="Z33" i="7"/>
  <c r="Y33" i="7"/>
  <c r="X33" i="7"/>
  <c r="AB32" i="7"/>
  <c r="AC32" i="7" s="1"/>
  <c r="AA32" i="7"/>
  <c r="Z32" i="7"/>
  <c r="Y32" i="7"/>
  <c r="X32" i="7"/>
  <c r="AB31" i="7"/>
  <c r="AC31" i="7" s="1"/>
  <c r="AA31" i="7"/>
  <c r="Z31" i="7"/>
  <c r="Y31" i="7"/>
  <c r="X31" i="7"/>
  <c r="AB30" i="7"/>
  <c r="AC30" i="7" s="1"/>
  <c r="AA30" i="7"/>
  <c r="Z30" i="7"/>
  <c r="Y30" i="7"/>
  <c r="X30" i="7"/>
  <c r="AB29" i="7"/>
  <c r="AC29" i="7" s="1"/>
  <c r="AA29" i="7"/>
  <c r="Z29" i="7"/>
  <c r="Y29" i="7"/>
  <c r="X29" i="7"/>
  <c r="AB28" i="7"/>
  <c r="AC28" i="7" s="1"/>
  <c r="Z28" i="7"/>
  <c r="Y28" i="7"/>
  <c r="X28" i="7"/>
  <c r="AA27" i="7"/>
  <c r="AB26" i="7"/>
  <c r="AC26" i="7" s="1"/>
  <c r="AA26" i="7"/>
  <c r="Z26" i="7"/>
  <c r="Y26" i="7"/>
  <c r="X26" i="7"/>
  <c r="AB25" i="7"/>
  <c r="AC25" i="7" s="1"/>
  <c r="AA25" i="7"/>
  <c r="Z25" i="7"/>
  <c r="Y25" i="7"/>
  <c r="X25" i="7"/>
  <c r="AB24" i="7"/>
  <c r="AC24" i="7" s="1"/>
  <c r="AA24" i="7"/>
  <c r="Z24" i="7"/>
  <c r="Y24" i="7"/>
  <c r="X24" i="7"/>
  <c r="AB23" i="7"/>
  <c r="AC23" i="7" s="1"/>
  <c r="AA23" i="7"/>
  <c r="Z23" i="7"/>
  <c r="Y23" i="7"/>
  <c r="X23" i="7"/>
  <c r="AB22" i="7"/>
  <c r="AC22" i="7" s="1"/>
  <c r="AA22" i="7"/>
  <c r="Z22" i="7"/>
  <c r="Y22" i="7"/>
  <c r="X22" i="7"/>
  <c r="AB21" i="7"/>
  <c r="AC21" i="7" s="1"/>
  <c r="AA21" i="7"/>
  <c r="Z21" i="7"/>
  <c r="Y21" i="7"/>
  <c r="X21" i="7"/>
  <c r="AB20" i="7"/>
  <c r="AC20" i="7" s="1"/>
  <c r="AA20" i="7"/>
  <c r="Z20" i="7"/>
  <c r="Y20" i="7"/>
  <c r="X20" i="7"/>
  <c r="AB19" i="7"/>
  <c r="AC19" i="7" s="1"/>
  <c r="AA19" i="7"/>
  <c r="Z19" i="7"/>
  <c r="Y19" i="7"/>
  <c r="X19" i="7"/>
  <c r="AB18" i="7"/>
  <c r="AC18" i="7" s="1"/>
  <c r="Z18" i="7"/>
  <c r="Y18" i="7"/>
  <c r="X18" i="7"/>
  <c r="AA17" i="7"/>
  <c r="AB16" i="7"/>
  <c r="AC16" i="7" s="1"/>
  <c r="AA16" i="7"/>
  <c r="Z16" i="7"/>
  <c r="Y16" i="7"/>
  <c r="X16" i="7"/>
  <c r="AB15" i="7"/>
  <c r="AC15" i="7" s="1"/>
  <c r="AA15" i="7"/>
  <c r="Z15" i="7"/>
  <c r="Y15" i="7"/>
  <c r="X15" i="7"/>
  <c r="AB14" i="7"/>
  <c r="AC14" i="7" s="1"/>
  <c r="AA14" i="7"/>
  <c r="Z14" i="7"/>
  <c r="Y14" i="7"/>
  <c r="X14" i="7"/>
  <c r="AB13" i="7"/>
  <c r="AC13" i="7" s="1"/>
  <c r="AA13" i="7"/>
  <c r="Z13" i="7"/>
  <c r="Y13" i="7"/>
  <c r="X13" i="7"/>
  <c r="AB12" i="7"/>
  <c r="AC12" i="7" s="1"/>
  <c r="AA12" i="7"/>
  <c r="Z12" i="7"/>
  <c r="Y12" i="7"/>
  <c r="X12" i="7"/>
  <c r="AB11" i="7"/>
  <c r="AC11" i="7" s="1"/>
  <c r="AA11" i="7"/>
  <c r="Z11" i="7"/>
  <c r="Y11" i="7"/>
  <c r="X11" i="7"/>
  <c r="AB10" i="7"/>
  <c r="AC10" i="7" s="1"/>
  <c r="AA10" i="7"/>
  <c r="Z10" i="7"/>
  <c r="Y10" i="7"/>
  <c r="X10" i="7"/>
  <c r="AB9" i="7"/>
  <c r="AC9" i="7" s="1"/>
  <c r="AA9" i="7"/>
  <c r="Z9" i="7"/>
  <c r="Y9" i="7"/>
  <c r="X9" i="7"/>
  <c r="AB8" i="7"/>
  <c r="AC8" i="7" s="1"/>
  <c r="Z8" i="7"/>
  <c r="Y8" i="7"/>
  <c r="X8" i="7"/>
  <c r="AA7" i="7"/>
  <c r="AB6" i="7"/>
  <c r="AC6" i="7" s="1"/>
  <c r="AA6" i="7"/>
  <c r="Z6" i="7"/>
  <c r="Y6" i="7"/>
  <c r="X6" i="7"/>
  <c r="AB5" i="7"/>
  <c r="AC5" i="7" s="1"/>
  <c r="AA5" i="7"/>
  <c r="Z5" i="7"/>
  <c r="Y5" i="7"/>
  <c r="X5" i="7"/>
  <c r="AB4" i="7"/>
  <c r="AC4" i="7" s="1"/>
  <c r="AA4" i="7"/>
  <c r="Z4" i="7"/>
  <c r="Y4" i="7"/>
  <c r="X4" i="7"/>
  <c r="AB3" i="7"/>
  <c r="AC3" i="7" s="1"/>
  <c r="AA3" i="7"/>
  <c r="Z3" i="7"/>
  <c r="Y3" i="7"/>
  <c r="X3" i="7"/>
  <c r="AB2" i="7"/>
  <c r="AC2" i="7" s="1"/>
  <c r="AA2" i="7"/>
  <c r="Z2" i="7"/>
  <c r="Y2" i="7"/>
  <c r="X2" i="7"/>
  <c r="B6" i="6"/>
  <c r="B5" i="6"/>
  <c r="B4" i="6"/>
  <c r="B7" i="5" a="1"/>
  <c r="B6" i="5"/>
  <c r="B5" i="5"/>
  <c r="B4" i="5"/>
  <c r="B9" i="3"/>
  <c r="B8" i="3"/>
  <c r="B7" i="3"/>
  <c r="B6" i="3"/>
  <c r="B5" i="3"/>
  <c r="B4" i="3"/>
  <c r="B8" i="4"/>
  <c r="B6" i="4"/>
  <c r="B7" i="4"/>
  <c r="B5" i="4"/>
  <c r="B4" i="4"/>
  <c r="B11" i="2"/>
  <c r="B9" i="2"/>
  <c r="B7" i="2"/>
  <c r="B5" i="2"/>
  <c r="AE501" i="2"/>
  <c r="AF501" i="2" s="1"/>
  <c r="AD501" i="2"/>
  <c r="AC501" i="2"/>
  <c r="AB501" i="2"/>
  <c r="AA501" i="2"/>
  <c r="Z501" i="2"/>
  <c r="AE500" i="2"/>
  <c r="AF500" i="2" s="1"/>
  <c r="AD500" i="2"/>
  <c r="AC500" i="2"/>
  <c r="AB500" i="2"/>
  <c r="AA500" i="2"/>
  <c r="Z500" i="2"/>
  <c r="AE499" i="2"/>
  <c r="AF499" i="2" s="1"/>
  <c r="AD499" i="2"/>
  <c r="AC499" i="2"/>
  <c r="AB499" i="2"/>
  <c r="AA499" i="2"/>
  <c r="Z499" i="2"/>
  <c r="AE498" i="2"/>
  <c r="AF498" i="2" s="1"/>
  <c r="AD498" i="2"/>
  <c r="AC498" i="2"/>
  <c r="AB498" i="2"/>
  <c r="AA498" i="2"/>
  <c r="Z498" i="2"/>
  <c r="AE497" i="2"/>
  <c r="AF497" i="2" s="1"/>
  <c r="AD497" i="2"/>
  <c r="AC497" i="2"/>
  <c r="AB497" i="2"/>
  <c r="AA497" i="2"/>
  <c r="Z497" i="2"/>
  <c r="AE496" i="2"/>
  <c r="AF496" i="2" s="1"/>
  <c r="AD496" i="2"/>
  <c r="AC496" i="2"/>
  <c r="AB496" i="2"/>
  <c r="AA496" i="2"/>
  <c r="Z496" i="2"/>
  <c r="AE495" i="2"/>
  <c r="AF495" i="2" s="1"/>
  <c r="AD495" i="2"/>
  <c r="AC495" i="2"/>
  <c r="AB495" i="2"/>
  <c r="AA495" i="2"/>
  <c r="Z495" i="2"/>
  <c r="AE494" i="2"/>
  <c r="AF494" i="2" s="1"/>
  <c r="AD494" i="2"/>
  <c r="AC494" i="2"/>
  <c r="AB494" i="2"/>
  <c r="AA494" i="2"/>
  <c r="Z494" i="2"/>
  <c r="AE493" i="2"/>
  <c r="AF493" i="2" s="1"/>
  <c r="AD493" i="2"/>
  <c r="AC493" i="2"/>
  <c r="AB493" i="2"/>
  <c r="AA493" i="2"/>
  <c r="Z493" i="2"/>
  <c r="AE492" i="2"/>
  <c r="AF492" i="2" s="1"/>
  <c r="AD492" i="2"/>
  <c r="AC492" i="2"/>
  <c r="AB492" i="2"/>
  <c r="AA492" i="2"/>
  <c r="Z492" i="2"/>
  <c r="AE491" i="2"/>
  <c r="AF491" i="2" s="1"/>
  <c r="AD491" i="2"/>
  <c r="AC491" i="2"/>
  <c r="AB491" i="2"/>
  <c r="AA491" i="2"/>
  <c r="Z491" i="2"/>
  <c r="AE490" i="2"/>
  <c r="AF490" i="2" s="1"/>
  <c r="AD490" i="2"/>
  <c r="AC490" i="2"/>
  <c r="AB490" i="2"/>
  <c r="AA490" i="2"/>
  <c r="Z490" i="2"/>
  <c r="AE489" i="2"/>
  <c r="AF489" i="2" s="1"/>
  <c r="AD489" i="2"/>
  <c r="AC489" i="2"/>
  <c r="AB489" i="2"/>
  <c r="AA489" i="2"/>
  <c r="Z489" i="2"/>
  <c r="AE488" i="2"/>
  <c r="AF488" i="2" s="1"/>
  <c r="AD488" i="2"/>
  <c r="AC488" i="2"/>
  <c r="AB488" i="2"/>
  <c r="AA488" i="2"/>
  <c r="Z488" i="2"/>
  <c r="AE487" i="2"/>
  <c r="AF487" i="2" s="1"/>
  <c r="AD487" i="2"/>
  <c r="AC487" i="2"/>
  <c r="AB487" i="2"/>
  <c r="AA487" i="2"/>
  <c r="Z487" i="2"/>
  <c r="AE486" i="2"/>
  <c r="AF486" i="2" s="1"/>
  <c r="AD486" i="2"/>
  <c r="AC486" i="2"/>
  <c r="AB486" i="2"/>
  <c r="AA486" i="2"/>
  <c r="Z486" i="2"/>
  <c r="AE485" i="2"/>
  <c r="AF485" i="2" s="1"/>
  <c r="AD485" i="2"/>
  <c r="AC485" i="2"/>
  <c r="AB485" i="2"/>
  <c r="AA485" i="2"/>
  <c r="Z485" i="2"/>
  <c r="AE484" i="2"/>
  <c r="AF484" i="2" s="1"/>
  <c r="AD484" i="2"/>
  <c r="AC484" i="2"/>
  <c r="AB484" i="2"/>
  <c r="AA484" i="2"/>
  <c r="Z484" i="2"/>
  <c r="AE483" i="2"/>
  <c r="AF483" i="2" s="1"/>
  <c r="AD483" i="2"/>
  <c r="AC483" i="2"/>
  <c r="AB483" i="2"/>
  <c r="AA483" i="2"/>
  <c r="Z483" i="2"/>
  <c r="AE482" i="2"/>
  <c r="AF482" i="2" s="1"/>
  <c r="AD482" i="2"/>
  <c r="AC482" i="2"/>
  <c r="AB482" i="2"/>
  <c r="AA482" i="2"/>
  <c r="Z482" i="2"/>
  <c r="AE481" i="2"/>
  <c r="AF481" i="2" s="1"/>
  <c r="AD481" i="2"/>
  <c r="AC481" i="2"/>
  <c r="AB481" i="2"/>
  <c r="AA481" i="2"/>
  <c r="Z481" i="2"/>
  <c r="AE480" i="2"/>
  <c r="AF480" i="2" s="1"/>
  <c r="AD480" i="2"/>
  <c r="AC480" i="2"/>
  <c r="AB480" i="2"/>
  <c r="AA480" i="2"/>
  <c r="Z480" i="2"/>
  <c r="AE479" i="2"/>
  <c r="AF479" i="2" s="1"/>
  <c r="AD479" i="2"/>
  <c r="AC479" i="2"/>
  <c r="AB479" i="2"/>
  <c r="AA479" i="2"/>
  <c r="Z479" i="2"/>
  <c r="AE478" i="2"/>
  <c r="AF478" i="2" s="1"/>
  <c r="AD478" i="2"/>
  <c r="AC478" i="2"/>
  <c r="AB478" i="2"/>
  <c r="AA478" i="2"/>
  <c r="Z478" i="2"/>
  <c r="AE477" i="2"/>
  <c r="AF477" i="2" s="1"/>
  <c r="AD477" i="2"/>
  <c r="AC477" i="2"/>
  <c r="AB477" i="2"/>
  <c r="AA477" i="2"/>
  <c r="Z477" i="2"/>
  <c r="AE476" i="2"/>
  <c r="AF476" i="2" s="1"/>
  <c r="AD476" i="2"/>
  <c r="AC476" i="2"/>
  <c r="AB476" i="2"/>
  <c r="AA476" i="2"/>
  <c r="Z476" i="2"/>
  <c r="AE475" i="2"/>
  <c r="AF475" i="2" s="1"/>
  <c r="AD475" i="2"/>
  <c r="AC475" i="2"/>
  <c r="AB475" i="2"/>
  <c r="AA475" i="2"/>
  <c r="Z475" i="2"/>
  <c r="AE474" i="2"/>
  <c r="AF474" i="2" s="1"/>
  <c r="AD474" i="2"/>
  <c r="AC474" i="2"/>
  <c r="AB474" i="2"/>
  <c r="AA474" i="2"/>
  <c r="Z474" i="2"/>
  <c r="AE473" i="2"/>
  <c r="AF473" i="2" s="1"/>
  <c r="AD473" i="2"/>
  <c r="AC473" i="2"/>
  <c r="AB473" i="2"/>
  <c r="AA473" i="2"/>
  <c r="Z473" i="2"/>
  <c r="AE472" i="2"/>
  <c r="AF472" i="2" s="1"/>
  <c r="AD472" i="2"/>
  <c r="AC472" i="2"/>
  <c r="AB472" i="2"/>
  <c r="AA472" i="2"/>
  <c r="Z472" i="2"/>
  <c r="AE471" i="2"/>
  <c r="AF471" i="2" s="1"/>
  <c r="AD471" i="2"/>
  <c r="AC471" i="2"/>
  <c r="AB471" i="2"/>
  <c r="AA471" i="2"/>
  <c r="Z471" i="2"/>
  <c r="AE470" i="2"/>
  <c r="AF470" i="2" s="1"/>
  <c r="AD470" i="2"/>
  <c r="AC470" i="2"/>
  <c r="AB470" i="2"/>
  <c r="AA470" i="2"/>
  <c r="Z470" i="2"/>
  <c r="AE469" i="2"/>
  <c r="AF469" i="2" s="1"/>
  <c r="AD469" i="2"/>
  <c r="AC469" i="2"/>
  <c r="AB469" i="2"/>
  <c r="AA469" i="2"/>
  <c r="Z469" i="2"/>
  <c r="AE468" i="2"/>
  <c r="AF468" i="2" s="1"/>
  <c r="AD468" i="2"/>
  <c r="AC468" i="2"/>
  <c r="AB468" i="2"/>
  <c r="AA468" i="2"/>
  <c r="Z468" i="2"/>
  <c r="AE467" i="2"/>
  <c r="AF467" i="2" s="1"/>
  <c r="AD467" i="2"/>
  <c r="AC467" i="2"/>
  <c r="AB467" i="2"/>
  <c r="AA467" i="2"/>
  <c r="Z467" i="2"/>
  <c r="AE466" i="2"/>
  <c r="AF466" i="2" s="1"/>
  <c r="AD466" i="2"/>
  <c r="AC466" i="2"/>
  <c r="AB466" i="2"/>
  <c r="AA466" i="2"/>
  <c r="Z466" i="2"/>
  <c r="AE465" i="2"/>
  <c r="AF465" i="2" s="1"/>
  <c r="AD465" i="2"/>
  <c r="AC465" i="2"/>
  <c r="AB465" i="2"/>
  <c r="AA465" i="2"/>
  <c r="Z465" i="2"/>
  <c r="AE464" i="2"/>
  <c r="AF464" i="2" s="1"/>
  <c r="AD464" i="2"/>
  <c r="AC464" i="2"/>
  <c r="AB464" i="2"/>
  <c r="AA464" i="2"/>
  <c r="Z464" i="2"/>
  <c r="AE463" i="2"/>
  <c r="AF463" i="2" s="1"/>
  <c r="AD463" i="2"/>
  <c r="AC463" i="2"/>
  <c r="AB463" i="2"/>
  <c r="AA463" i="2"/>
  <c r="Z463" i="2"/>
  <c r="AE462" i="2"/>
  <c r="AF462" i="2" s="1"/>
  <c r="AD462" i="2"/>
  <c r="AC462" i="2"/>
  <c r="AB462" i="2"/>
  <c r="AA462" i="2"/>
  <c r="Z462" i="2"/>
  <c r="AE461" i="2"/>
  <c r="AF461" i="2" s="1"/>
  <c r="AD461" i="2"/>
  <c r="AC461" i="2"/>
  <c r="AB461" i="2"/>
  <c r="AA461" i="2"/>
  <c r="Z461" i="2"/>
  <c r="AE460" i="2"/>
  <c r="AF460" i="2" s="1"/>
  <c r="AD460" i="2"/>
  <c r="AC460" i="2"/>
  <c r="AB460" i="2"/>
  <c r="AA460" i="2"/>
  <c r="Z460" i="2"/>
  <c r="AE459" i="2"/>
  <c r="AF459" i="2" s="1"/>
  <c r="AD459" i="2"/>
  <c r="AC459" i="2"/>
  <c r="AB459" i="2"/>
  <c r="AA459" i="2"/>
  <c r="Z459" i="2"/>
  <c r="AE458" i="2"/>
  <c r="AF458" i="2" s="1"/>
  <c r="AD458" i="2"/>
  <c r="AC458" i="2"/>
  <c r="AB458" i="2"/>
  <c r="AA458" i="2"/>
  <c r="Z458" i="2"/>
  <c r="AE457" i="2"/>
  <c r="AF457" i="2" s="1"/>
  <c r="AD457" i="2"/>
  <c r="AC457" i="2"/>
  <c r="AB457" i="2"/>
  <c r="AA457" i="2"/>
  <c r="Z457" i="2"/>
  <c r="AE456" i="2"/>
  <c r="AF456" i="2" s="1"/>
  <c r="AD456" i="2"/>
  <c r="AC456" i="2"/>
  <c r="AB456" i="2"/>
  <c r="AA456" i="2"/>
  <c r="Z456" i="2"/>
  <c r="AE455" i="2"/>
  <c r="AF455" i="2" s="1"/>
  <c r="AD455" i="2"/>
  <c r="AC455" i="2"/>
  <c r="AB455" i="2"/>
  <c r="AA455" i="2"/>
  <c r="Z455" i="2"/>
  <c r="AE454" i="2"/>
  <c r="AF454" i="2" s="1"/>
  <c r="AD454" i="2"/>
  <c r="AC454" i="2"/>
  <c r="AB454" i="2"/>
  <c r="AA454" i="2"/>
  <c r="Z454" i="2"/>
  <c r="AE453" i="2"/>
  <c r="AF453" i="2" s="1"/>
  <c r="AD453" i="2"/>
  <c r="AC453" i="2"/>
  <c r="AB453" i="2"/>
  <c r="AA453" i="2"/>
  <c r="Z453" i="2"/>
  <c r="AE452" i="2"/>
  <c r="AF452" i="2" s="1"/>
  <c r="AD452" i="2"/>
  <c r="AC452" i="2"/>
  <c r="AB452" i="2"/>
  <c r="AA452" i="2"/>
  <c r="Z452" i="2"/>
  <c r="AE451" i="2"/>
  <c r="AF451" i="2" s="1"/>
  <c r="AD451" i="2"/>
  <c r="AC451" i="2"/>
  <c r="AB451" i="2"/>
  <c r="AA451" i="2"/>
  <c r="Z451" i="2"/>
  <c r="AE450" i="2"/>
  <c r="AF450" i="2" s="1"/>
  <c r="AD450" i="2"/>
  <c r="AC450" i="2"/>
  <c r="AB450" i="2"/>
  <c r="AA450" i="2"/>
  <c r="Z450" i="2"/>
  <c r="AE449" i="2"/>
  <c r="AF449" i="2" s="1"/>
  <c r="AD449" i="2"/>
  <c r="AC449" i="2"/>
  <c r="AB449" i="2"/>
  <c r="AA449" i="2"/>
  <c r="Z449" i="2"/>
  <c r="AE448" i="2"/>
  <c r="AF448" i="2" s="1"/>
  <c r="AD448" i="2"/>
  <c r="AC448" i="2"/>
  <c r="AB448" i="2"/>
  <c r="AA448" i="2"/>
  <c r="Z448" i="2"/>
  <c r="AE447" i="2"/>
  <c r="AF447" i="2" s="1"/>
  <c r="AD447" i="2"/>
  <c r="AC447" i="2"/>
  <c r="AB447" i="2"/>
  <c r="AA447" i="2"/>
  <c r="Z447" i="2"/>
  <c r="AE446" i="2"/>
  <c r="AF446" i="2" s="1"/>
  <c r="AD446" i="2"/>
  <c r="AC446" i="2"/>
  <c r="AB446" i="2"/>
  <c r="AA446" i="2"/>
  <c r="Z446" i="2"/>
  <c r="AE445" i="2"/>
  <c r="AF445" i="2" s="1"/>
  <c r="AD445" i="2"/>
  <c r="AC445" i="2"/>
  <c r="AB445" i="2"/>
  <c r="AA445" i="2"/>
  <c r="Z445" i="2"/>
  <c r="AE444" i="2"/>
  <c r="AF444" i="2" s="1"/>
  <c r="AD444" i="2"/>
  <c r="AC444" i="2"/>
  <c r="AB444" i="2"/>
  <c r="AA444" i="2"/>
  <c r="Z444" i="2"/>
  <c r="AE443" i="2"/>
  <c r="AF443" i="2" s="1"/>
  <c r="AD443" i="2"/>
  <c r="AC443" i="2"/>
  <c r="AB443" i="2"/>
  <c r="AA443" i="2"/>
  <c r="Z443" i="2"/>
  <c r="AE442" i="2"/>
  <c r="AF442" i="2" s="1"/>
  <c r="AD442" i="2"/>
  <c r="AC442" i="2"/>
  <c r="AB442" i="2"/>
  <c r="AA442" i="2"/>
  <c r="Z442" i="2"/>
  <c r="AE441" i="2"/>
  <c r="AF441" i="2" s="1"/>
  <c r="AD441" i="2"/>
  <c r="AC441" i="2"/>
  <c r="AB441" i="2"/>
  <c r="AA441" i="2"/>
  <c r="Z441" i="2"/>
  <c r="AE440" i="2"/>
  <c r="AF440" i="2" s="1"/>
  <c r="AD440" i="2"/>
  <c r="AC440" i="2"/>
  <c r="AB440" i="2"/>
  <c r="AA440" i="2"/>
  <c r="Z440" i="2"/>
  <c r="AE439" i="2"/>
  <c r="AF439" i="2" s="1"/>
  <c r="AD439" i="2"/>
  <c r="AC439" i="2"/>
  <c r="AB439" i="2"/>
  <c r="AA439" i="2"/>
  <c r="Z439" i="2"/>
  <c r="AE438" i="2"/>
  <c r="AF438" i="2" s="1"/>
  <c r="AD438" i="2"/>
  <c r="AC438" i="2"/>
  <c r="AB438" i="2"/>
  <c r="AA438" i="2"/>
  <c r="Z438" i="2"/>
  <c r="AE437" i="2"/>
  <c r="AF437" i="2" s="1"/>
  <c r="AD437" i="2"/>
  <c r="AC437" i="2"/>
  <c r="AB437" i="2"/>
  <c r="AA437" i="2"/>
  <c r="Z437" i="2"/>
  <c r="AE436" i="2"/>
  <c r="AF436" i="2" s="1"/>
  <c r="AD436" i="2"/>
  <c r="AC436" i="2"/>
  <c r="AB436" i="2"/>
  <c r="AA436" i="2"/>
  <c r="Z436" i="2"/>
  <c r="AE435" i="2"/>
  <c r="AF435" i="2" s="1"/>
  <c r="AD435" i="2"/>
  <c r="AC435" i="2"/>
  <c r="AB435" i="2"/>
  <c r="AA435" i="2"/>
  <c r="Z435" i="2"/>
  <c r="AF434" i="2"/>
  <c r="AE434" i="2"/>
  <c r="AD434" i="2"/>
  <c r="AC434" i="2"/>
  <c r="AB434" i="2"/>
  <c r="AA434" i="2"/>
  <c r="Z434" i="2"/>
  <c r="AE433" i="2"/>
  <c r="AF433" i="2" s="1"/>
  <c r="AD433" i="2"/>
  <c r="AC433" i="2"/>
  <c r="AB433" i="2"/>
  <c r="AA433" i="2"/>
  <c r="Z433" i="2"/>
  <c r="AE432" i="2"/>
  <c r="AF432" i="2" s="1"/>
  <c r="AD432" i="2"/>
  <c r="AC432" i="2"/>
  <c r="AB432" i="2"/>
  <c r="AA432" i="2"/>
  <c r="Z432" i="2"/>
  <c r="AE431" i="2"/>
  <c r="AF431" i="2" s="1"/>
  <c r="AD431" i="2"/>
  <c r="AC431" i="2"/>
  <c r="AB431" i="2"/>
  <c r="AA431" i="2"/>
  <c r="Z431" i="2"/>
  <c r="AE430" i="2"/>
  <c r="AF430" i="2" s="1"/>
  <c r="AD430" i="2"/>
  <c r="AC430" i="2"/>
  <c r="AB430" i="2"/>
  <c r="AA430" i="2"/>
  <c r="Z430" i="2"/>
  <c r="AE429" i="2"/>
  <c r="AF429" i="2" s="1"/>
  <c r="AD429" i="2"/>
  <c r="AC429" i="2"/>
  <c r="AB429" i="2"/>
  <c r="AA429" i="2"/>
  <c r="Z429" i="2"/>
  <c r="AE428" i="2"/>
  <c r="AF428" i="2" s="1"/>
  <c r="AD428" i="2"/>
  <c r="AC428" i="2"/>
  <c r="AB428" i="2"/>
  <c r="AA428" i="2"/>
  <c r="Z428" i="2"/>
  <c r="AE427" i="2"/>
  <c r="AF427" i="2" s="1"/>
  <c r="AD427" i="2"/>
  <c r="AC427" i="2"/>
  <c r="AB427" i="2"/>
  <c r="AA427" i="2"/>
  <c r="Z427" i="2"/>
  <c r="AE426" i="2"/>
  <c r="AF426" i="2" s="1"/>
  <c r="AD426" i="2"/>
  <c r="AC426" i="2"/>
  <c r="AB426" i="2"/>
  <c r="AA426" i="2"/>
  <c r="Z426" i="2"/>
  <c r="AE425" i="2"/>
  <c r="AF425" i="2" s="1"/>
  <c r="AD425" i="2"/>
  <c r="AC425" i="2"/>
  <c r="AB425" i="2"/>
  <c r="AA425" i="2"/>
  <c r="Z425" i="2"/>
  <c r="AE424" i="2"/>
  <c r="AF424" i="2" s="1"/>
  <c r="AD424" i="2"/>
  <c r="AC424" i="2"/>
  <c r="AB424" i="2"/>
  <c r="AA424" i="2"/>
  <c r="Z424" i="2"/>
  <c r="AE423" i="2"/>
  <c r="AF423" i="2" s="1"/>
  <c r="AD423" i="2"/>
  <c r="AC423" i="2"/>
  <c r="AB423" i="2"/>
  <c r="AA423" i="2"/>
  <c r="Z423" i="2"/>
  <c r="AE422" i="2"/>
  <c r="AF422" i="2" s="1"/>
  <c r="AD422" i="2"/>
  <c r="AC422" i="2"/>
  <c r="AB422" i="2"/>
  <c r="AA422" i="2"/>
  <c r="Z422" i="2"/>
  <c r="AE421" i="2"/>
  <c r="AF421" i="2" s="1"/>
  <c r="AD421" i="2"/>
  <c r="AC421" i="2"/>
  <c r="AB421" i="2"/>
  <c r="AA421" i="2"/>
  <c r="Z421" i="2"/>
  <c r="AE420" i="2"/>
  <c r="AF420" i="2" s="1"/>
  <c r="AD420" i="2"/>
  <c r="AC420" i="2"/>
  <c r="AB420" i="2"/>
  <c r="AA420" i="2"/>
  <c r="Z420" i="2"/>
  <c r="AE419" i="2"/>
  <c r="AF419" i="2" s="1"/>
  <c r="AD419" i="2"/>
  <c r="AC419" i="2"/>
  <c r="AB419" i="2"/>
  <c r="AA419" i="2"/>
  <c r="Z419" i="2"/>
  <c r="AE418" i="2"/>
  <c r="AF418" i="2" s="1"/>
  <c r="AD418" i="2"/>
  <c r="AC418" i="2"/>
  <c r="AB418" i="2"/>
  <c r="AA418" i="2"/>
  <c r="Z418" i="2"/>
  <c r="AE417" i="2"/>
  <c r="AF417" i="2" s="1"/>
  <c r="AD417" i="2"/>
  <c r="AC417" i="2"/>
  <c r="AB417" i="2"/>
  <c r="AA417" i="2"/>
  <c r="Z417" i="2"/>
  <c r="AE416" i="2"/>
  <c r="AF416" i="2" s="1"/>
  <c r="AD416" i="2"/>
  <c r="AC416" i="2"/>
  <c r="AB416" i="2"/>
  <c r="AA416" i="2"/>
  <c r="Z416" i="2"/>
  <c r="AE415" i="2"/>
  <c r="AF415" i="2" s="1"/>
  <c r="AD415" i="2"/>
  <c r="AC415" i="2"/>
  <c r="AB415" i="2"/>
  <c r="AA415" i="2"/>
  <c r="Z415" i="2"/>
  <c r="AE414" i="2"/>
  <c r="AF414" i="2" s="1"/>
  <c r="AD414" i="2"/>
  <c r="AC414" i="2"/>
  <c r="AB414" i="2"/>
  <c r="AA414" i="2"/>
  <c r="Z414" i="2"/>
  <c r="AE413" i="2"/>
  <c r="AF413" i="2" s="1"/>
  <c r="AD413" i="2"/>
  <c r="AC413" i="2"/>
  <c r="AB413" i="2"/>
  <c r="AA413" i="2"/>
  <c r="Z413" i="2"/>
  <c r="AE412" i="2"/>
  <c r="AF412" i="2" s="1"/>
  <c r="AD412" i="2"/>
  <c r="AC412" i="2"/>
  <c r="AB412" i="2"/>
  <c r="AA412" i="2"/>
  <c r="Z412" i="2"/>
  <c r="AE411" i="2"/>
  <c r="AF411" i="2" s="1"/>
  <c r="AD411" i="2"/>
  <c r="AC411" i="2"/>
  <c r="AB411" i="2"/>
  <c r="AA411" i="2"/>
  <c r="Z411" i="2"/>
  <c r="AE410" i="2"/>
  <c r="AF410" i="2" s="1"/>
  <c r="AD410" i="2"/>
  <c r="AC410" i="2"/>
  <c r="AB410" i="2"/>
  <c r="AA410" i="2"/>
  <c r="Z410" i="2"/>
  <c r="AE409" i="2"/>
  <c r="AF409" i="2" s="1"/>
  <c r="AD409" i="2"/>
  <c r="AC409" i="2"/>
  <c r="AB409" i="2"/>
  <c r="AA409" i="2"/>
  <c r="Z409" i="2"/>
  <c r="AE408" i="2"/>
  <c r="AF408" i="2" s="1"/>
  <c r="AD408" i="2"/>
  <c r="AC408" i="2"/>
  <c r="AB408" i="2"/>
  <c r="AA408" i="2"/>
  <c r="Z408" i="2"/>
  <c r="AE407" i="2"/>
  <c r="AF407" i="2" s="1"/>
  <c r="AD407" i="2"/>
  <c r="AC407" i="2"/>
  <c r="AB407" i="2"/>
  <c r="AA407" i="2"/>
  <c r="Z407" i="2"/>
  <c r="AE406" i="2"/>
  <c r="AF406" i="2" s="1"/>
  <c r="AD406" i="2"/>
  <c r="AC406" i="2"/>
  <c r="AB406" i="2"/>
  <c r="AA406" i="2"/>
  <c r="Z406" i="2"/>
  <c r="AE405" i="2"/>
  <c r="AF405" i="2" s="1"/>
  <c r="AD405" i="2"/>
  <c r="AC405" i="2"/>
  <c r="AB405" i="2"/>
  <c r="AA405" i="2"/>
  <c r="Z405" i="2"/>
  <c r="AE404" i="2"/>
  <c r="AF404" i="2" s="1"/>
  <c r="AD404" i="2"/>
  <c r="AC404" i="2"/>
  <c r="AB404" i="2"/>
  <c r="AA404" i="2"/>
  <c r="Z404" i="2"/>
  <c r="AE403" i="2"/>
  <c r="AF403" i="2" s="1"/>
  <c r="AD403" i="2"/>
  <c r="AC403" i="2"/>
  <c r="AB403" i="2"/>
  <c r="AA403" i="2"/>
  <c r="Z403" i="2"/>
  <c r="AE402" i="2"/>
  <c r="AF402" i="2" s="1"/>
  <c r="AD402" i="2"/>
  <c r="AC402" i="2"/>
  <c r="AB402" i="2"/>
  <c r="AA402" i="2"/>
  <c r="Z402" i="2"/>
  <c r="AE401" i="2"/>
  <c r="AF401" i="2" s="1"/>
  <c r="AD401" i="2"/>
  <c r="AC401" i="2"/>
  <c r="AB401" i="2"/>
  <c r="AA401" i="2"/>
  <c r="Z401" i="2"/>
  <c r="AE400" i="2"/>
  <c r="AF400" i="2" s="1"/>
  <c r="AD400" i="2"/>
  <c r="AC400" i="2"/>
  <c r="AB400" i="2"/>
  <c r="AA400" i="2"/>
  <c r="Z400" i="2"/>
  <c r="AE399" i="2"/>
  <c r="AF399" i="2" s="1"/>
  <c r="AD399" i="2"/>
  <c r="AC399" i="2"/>
  <c r="AB399" i="2"/>
  <c r="AA399" i="2"/>
  <c r="Z399" i="2"/>
  <c r="AE398" i="2"/>
  <c r="AF398" i="2" s="1"/>
  <c r="AD398" i="2"/>
  <c r="AC398" i="2"/>
  <c r="AB398" i="2"/>
  <c r="AA398" i="2"/>
  <c r="Z398" i="2"/>
  <c r="AE397" i="2"/>
  <c r="AF397" i="2" s="1"/>
  <c r="AD397" i="2"/>
  <c r="AC397" i="2"/>
  <c r="AB397" i="2"/>
  <c r="AA397" i="2"/>
  <c r="Z397" i="2"/>
  <c r="AE396" i="2"/>
  <c r="AF396" i="2" s="1"/>
  <c r="AD396" i="2"/>
  <c r="AC396" i="2"/>
  <c r="AB396" i="2"/>
  <c r="AA396" i="2"/>
  <c r="Z396" i="2"/>
  <c r="AE395" i="2"/>
  <c r="AF395" i="2" s="1"/>
  <c r="AD395" i="2"/>
  <c r="AC395" i="2"/>
  <c r="AB395" i="2"/>
  <c r="AA395" i="2"/>
  <c r="Z395" i="2"/>
  <c r="AE394" i="2"/>
  <c r="AF394" i="2" s="1"/>
  <c r="AD394" i="2"/>
  <c r="AC394" i="2"/>
  <c r="AB394" i="2"/>
  <c r="AA394" i="2"/>
  <c r="Z394" i="2"/>
  <c r="AE393" i="2"/>
  <c r="AF393" i="2" s="1"/>
  <c r="AD393" i="2"/>
  <c r="AC393" i="2"/>
  <c r="AB393" i="2"/>
  <c r="AA393" i="2"/>
  <c r="Z393" i="2"/>
  <c r="AE392" i="2"/>
  <c r="AF392" i="2" s="1"/>
  <c r="AD392" i="2"/>
  <c r="AC392" i="2"/>
  <c r="AB392" i="2"/>
  <c r="AA392" i="2"/>
  <c r="Z392" i="2"/>
  <c r="AE391" i="2"/>
  <c r="AF391" i="2" s="1"/>
  <c r="AD391" i="2"/>
  <c r="AC391" i="2"/>
  <c r="AB391" i="2"/>
  <c r="AA391" i="2"/>
  <c r="Z391" i="2"/>
  <c r="AE390" i="2"/>
  <c r="AF390" i="2" s="1"/>
  <c r="AD390" i="2"/>
  <c r="AC390" i="2"/>
  <c r="AB390" i="2"/>
  <c r="AA390" i="2"/>
  <c r="Z390" i="2"/>
  <c r="AE389" i="2"/>
  <c r="AF389" i="2" s="1"/>
  <c r="AD389" i="2"/>
  <c r="AC389" i="2"/>
  <c r="AB389" i="2"/>
  <c r="AA389" i="2"/>
  <c r="Z389" i="2"/>
  <c r="AE388" i="2"/>
  <c r="AF388" i="2" s="1"/>
  <c r="AD388" i="2"/>
  <c r="AC388" i="2"/>
  <c r="AB388" i="2"/>
  <c r="AA388" i="2"/>
  <c r="Z388" i="2"/>
  <c r="AE387" i="2"/>
  <c r="AF387" i="2" s="1"/>
  <c r="AD387" i="2"/>
  <c r="AC387" i="2"/>
  <c r="AB387" i="2"/>
  <c r="AA387" i="2"/>
  <c r="Z387" i="2"/>
  <c r="AE386" i="2"/>
  <c r="AF386" i="2" s="1"/>
  <c r="AD386" i="2"/>
  <c r="AC386" i="2"/>
  <c r="AB386" i="2"/>
  <c r="AA386" i="2"/>
  <c r="Z386" i="2"/>
  <c r="AE385" i="2"/>
  <c r="AF385" i="2" s="1"/>
  <c r="AD385" i="2"/>
  <c r="AC385" i="2"/>
  <c r="AB385" i="2"/>
  <c r="AA385" i="2"/>
  <c r="Z385" i="2"/>
  <c r="AE384" i="2"/>
  <c r="AF384" i="2" s="1"/>
  <c r="AD384" i="2"/>
  <c r="AC384" i="2"/>
  <c r="AB384" i="2"/>
  <c r="AA384" i="2"/>
  <c r="Z384" i="2"/>
  <c r="AE383" i="2"/>
  <c r="AF383" i="2" s="1"/>
  <c r="AD383" i="2"/>
  <c r="AC383" i="2"/>
  <c r="AB383" i="2"/>
  <c r="AA383" i="2"/>
  <c r="Z383" i="2"/>
  <c r="AE382" i="2"/>
  <c r="AF382" i="2" s="1"/>
  <c r="AD382" i="2"/>
  <c r="AC382" i="2"/>
  <c r="AB382" i="2"/>
  <c r="AA382" i="2"/>
  <c r="Z382" i="2"/>
  <c r="AE381" i="2"/>
  <c r="AF381" i="2" s="1"/>
  <c r="AD381" i="2"/>
  <c r="AC381" i="2"/>
  <c r="AB381" i="2"/>
  <c r="AA381" i="2"/>
  <c r="Z381" i="2"/>
  <c r="AE380" i="2"/>
  <c r="AF380" i="2" s="1"/>
  <c r="AD380" i="2"/>
  <c r="AC380" i="2"/>
  <c r="AB380" i="2"/>
  <c r="AA380" i="2"/>
  <c r="Z380" i="2"/>
  <c r="AE379" i="2"/>
  <c r="AF379" i="2" s="1"/>
  <c r="AD379" i="2"/>
  <c r="AC379" i="2"/>
  <c r="AB379" i="2"/>
  <c r="AA379" i="2"/>
  <c r="Z379" i="2"/>
  <c r="AE378" i="2"/>
  <c r="AF378" i="2" s="1"/>
  <c r="AD378" i="2"/>
  <c r="AC378" i="2"/>
  <c r="AB378" i="2"/>
  <c r="AA378" i="2"/>
  <c r="Z378" i="2"/>
  <c r="AE377" i="2"/>
  <c r="AF377" i="2" s="1"/>
  <c r="AD377" i="2"/>
  <c r="AC377" i="2"/>
  <c r="AB377" i="2"/>
  <c r="AA377" i="2"/>
  <c r="Z377" i="2"/>
  <c r="AE376" i="2"/>
  <c r="AF376" i="2" s="1"/>
  <c r="AD376" i="2"/>
  <c r="AC376" i="2"/>
  <c r="AB376" i="2"/>
  <c r="AA376" i="2"/>
  <c r="Z376" i="2"/>
  <c r="AE375" i="2"/>
  <c r="AF375" i="2" s="1"/>
  <c r="AD375" i="2"/>
  <c r="AC375" i="2"/>
  <c r="AB375" i="2"/>
  <c r="AA375" i="2"/>
  <c r="Z375" i="2"/>
  <c r="AE374" i="2"/>
  <c r="AF374" i="2" s="1"/>
  <c r="AD374" i="2"/>
  <c r="AC374" i="2"/>
  <c r="AB374" i="2"/>
  <c r="AA374" i="2"/>
  <c r="Z374" i="2"/>
  <c r="AE373" i="2"/>
  <c r="AF373" i="2" s="1"/>
  <c r="AD373" i="2"/>
  <c r="AC373" i="2"/>
  <c r="AB373" i="2"/>
  <c r="AA373" i="2"/>
  <c r="Z373" i="2"/>
  <c r="AE372" i="2"/>
  <c r="AF372" i="2" s="1"/>
  <c r="AD372" i="2"/>
  <c r="AC372" i="2"/>
  <c r="AB372" i="2"/>
  <c r="AA372" i="2"/>
  <c r="Z372" i="2"/>
  <c r="AE371" i="2"/>
  <c r="AF371" i="2" s="1"/>
  <c r="AD371" i="2"/>
  <c r="AC371" i="2"/>
  <c r="AB371" i="2"/>
  <c r="AA371" i="2"/>
  <c r="Z371" i="2"/>
  <c r="AE370" i="2"/>
  <c r="AF370" i="2" s="1"/>
  <c r="AD370" i="2"/>
  <c r="AC370" i="2"/>
  <c r="AB370" i="2"/>
  <c r="AA370" i="2"/>
  <c r="Z370" i="2"/>
  <c r="AE369" i="2"/>
  <c r="AF369" i="2" s="1"/>
  <c r="AD369" i="2"/>
  <c r="AC369" i="2"/>
  <c r="AB369" i="2"/>
  <c r="AA369" i="2"/>
  <c r="Z369" i="2"/>
  <c r="AE368" i="2"/>
  <c r="AF368" i="2" s="1"/>
  <c r="AD368" i="2"/>
  <c r="AC368" i="2"/>
  <c r="AB368" i="2"/>
  <c r="AA368" i="2"/>
  <c r="Z368" i="2"/>
  <c r="AE367" i="2"/>
  <c r="AF367" i="2" s="1"/>
  <c r="AD367" i="2"/>
  <c r="AC367" i="2"/>
  <c r="AB367" i="2"/>
  <c r="AA367" i="2"/>
  <c r="Z367" i="2"/>
  <c r="AE366" i="2"/>
  <c r="AF366" i="2" s="1"/>
  <c r="AD366" i="2"/>
  <c r="AC366" i="2"/>
  <c r="AB366" i="2"/>
  <c r="AA366" i="2"/>
  <c r="Z366" i="2"/>
  <c r="AE365" i="2"/>
  <c r="AF365" i="2" s="1"/>
  <c r="AD365" i="2"/>
  <c r="AC365" i="2"/>
  <c r="AB365" i="2"/>
  <c r="AA365" i="2"/>
  <c r="Z365" i="2"/>
  <c r="AE364" i="2"/>
  <c r="AF364" i="2" s="1"/>
  <c r="AD364" i="2"/>
  <c r="AC364" i="2"/>
  <c r="AB364" i="2"/>
  <c r="AA364" i="2"/>
  <c r="Z364" i="2"/>
  <c r="AE363" i="2"/>
  <c r="AF363" i="2" s="1"/>
  <c r="AD363" i="2"/>
  <c r="AC363" i="2"/>
  <c r="AB363" i="2"/>
  <c r="AA363" i="2"/>
  <c r="Z363" i="2"/>
  <c r="AE362" i="2"/>
  <c r="AF362" i="2" s="1"/>
  <c r="AD362" i="2"/>
  <c r="AC362" i="2"/>
  <c r="AB362" i="2"/>
  <c r="AA362" i="2"/>
  <c r="Z362" i="2"/>
  <c r="AE361" i="2"/>
  <c r="AF361" i="2" s="1"/>
  <c r="AD361" i="2"/>
  <c r="AC361" i="2"/>
  <c r="AB361" i="2"/>
  <c r="AA361" i="2"/>
  <c r="Z361" i="2"/>
  <c r="AE360" i="2"/>
  <c r="AF360" i="2" s="1"/>
  <c r="AD360" i="2"/>
  <c r="AC360" i="2"/>
  <c r="AB360" i="2"/>
  <c r="AA360" i="2"/>
  <c r="Z360" i="2"/>
  <c r="AE359" i="2"/>
  <c r="AF359" i="2" s="1"/>
  <c r="AD359" i="2"/>
  <c r="AC359" i="2"/>
  <c r="AB359" i="2"/>
  <c r="AA359" i="2"/>
  <c r="Z359" i="2"/>
  <c r="AE358" i="2"/>
  <c r="AF358" i="2" s="1"/>
  <c r="AD358" i="2"/>
  <c r="AC358" i="2"/>
  <c r="AB358" i="2"/>
  <c r="AA358" i="2"/>
  <c r="Z358" i="2"/>
  <c r="AE357" i="2"/>
  <c r="AF357" i="2" s="1"/>
  <c r="AD357" i="2"/>
  <c r="AC357" i="2"/>
  <c r="AB357" i="2"/>
  <c r="AA357" i="2"/>
  <c r="Z357" i="2"/>
  <c r="AE356" i="2"/>
  <c r="AF356" i="2" s="1"/>
  <c r="AD356" i="2"/>
  <c r="AC356" i="2"/>
  <c r="AB356" i="2"/>
  <c r="AA356" i="2"/>
  <c r="Z356" i="2"/>
  <c r="AE355" i="2"/>
  <c r="AF355" i="2" s="1"/>
  <c r="AD355" i="2"/>
  <c r="AC355" i="2"/>
  <c r="AB355" i="2"/>
  <c r="AA355" i="2"/>
  <c r="Z355" i="2"/>
  <c r="AE354" i="2"/>
  <c r="AF354" i="2" s="1"/>
  <c r="AD354" i="2"/>
  <c r="AC354" i="2"/>
  <c r="AB354" i="2"/>
  <c r="AA354" i="2"/>
  <c r="Z354" i="2"/>
  <c r="AE353" i="2"/>
  <c r="AF353" i="2" s="1"/>
  <c r="AD353" i="2"/>
  <c r="AC353" i="2"/>
  <c r="AB353" i="2"/>
  <c r="AA353" i="2"/>
  <c r="Z353" i="2"/>
  <c r="AE352" i="2"/>
  <c r="AF352" i="2" s="1"/>
  <c r="AD352" i="2"/>
  <c r="AC352" i="2"/>
  <c r="AB352" i="2"/>
  <c r="AA352" i="2"/>
  <c r="Z352" i="2"/>
  <c r="AE351" i="2"/>
  <c r="AF351" i="2" s="1"/>
  <c r="AD351" i="2"/>
  <c r="AC351" i="2"/>
  <c r="AB351" i="2"/>
  <c r="AA351" i="2"/>
  <c r="Z351" i="2"/>
  <c r="AE350" i="2"/>
  <c r="AF350" i="2" s="1"/>
  <c r="AD350" i="2"/>
  <c r="AC350" i="2"/>
  <c r="AB350" i="2"/>
  <c r="AA350" i="2"/>
  <c r="Z350" i="2"/>
  <c r="AE349" i="2"/>
  <c r="AF349" i="2" s="1"/>
  <c r="AD349" i="2"/>
  <c r="AC349" i="2"/>
  <c r="AB349" i="2"/>
  <c r="AA349" i="2"/>
  <c r="Z349" i="2"/>
  <c r="AE348" i="2"/>
  <c r="AF348" i="2" s="1"/>
  <c r="AD348" i="2"/>
  <c r="AC348" i="2"/>
  <c r="AB348" i="2"/>
  <c r="AA348" i="2"/>
  <c r="Z348" i="2"/>
  <c r="AE347" i="2"/>
  <c r="AF347" i="2" s="1"/>
  <c r="AD347" i="2"/>
  <c r="AC347" i="2"/>
  <c r="AB347" i="2"/>
  <c r="AA347" i="2"/>
  <c r="Z347" i="2"/>
  <c r="AE346" i="2"/>
  <c r="AF346" i="2" s="1"/>
  <c r="AD346" i="2"/>
  <c r="AC346" i="2"/>
  <c r="AB346" i="2"/>
  <c r="AA346" i="2"/>
  <c r="Z346" i="2"/>
  <c r="AE345" i="2"/>
  <c r="AF345" i="2" s="1"/>
  <c r="AD345" i="2"/>
  <c r="AC345" i="2"/>
  <c r="AB345" i="2"/>
  <c r="AA345" i="2"/>
  <c r="Z345" i="2"/>
  <c r="AE344" i="2"/>
  <c r="AF344" i="2" s="1"/>
  <c r="AD344" i="2"/>
  <c r="AC344" i="2"/>
  <c r="AB344" i="2"/>
  <c r="AA344" i="2"/>
  <c r="Z344" i="2"/>
  <c r="AE343" i="2"/>
  <c r="AF343" i="2" s="1"/>
  <c r="AD343" i="2"/>
  <c r="AC343" i="2"/>
  <c r="AB343" i="2"/>
  <c r="AA343" i="2"/>
  <c r="Z343" i="2"/>
  <c r="AE342" i="2"/>
  <c r="AF342" i="2" s="1"/>
  <c r="AD342" i="2"/>
  <c r="AC342" i="2"/>
  <c r="AB342" i="2"/>
  <c r="AA342" i="2"/>
  <c r="Z342" i="2"/>
  <c r="AE341" i="2"/>
  <c r="AF341" i="2" s="1"/>
  <c r="AD341" i="2"/>
  <c r="AC341" i="2"/>
  <c r="AB341" i="2"/>
  <c r="AA341" i="2"/>
  <c r="Z341" i="2"/>
  <c r="AE340" i="2"/>
  <c r="AF340" i="2" s="1"/>
  <c r="AD340" i="2"/>
  <c r="AC340" i="2"/>
  <c r="AB340" i="2"/>
  <c r="AA340" i="2"/>
  <c r="Z340" i="2"/>
  <c r="AE339" i="2"/>
  <c r="AF339" i="2" s="1"/>
  <c r="AD339" i="2"/>
  <c r="AC339" i="2"/>
  <c r="AB339" i="2"/>
  <c r="AA339" i="2"/>
  <c r="Z339" i="2"/>
  <c r="AE338" i="2"/>
  <c r="AF338" i="2" s="1"/>
  <c r="AD338" i="2"/>
  <c r="AC338" i="2"/>
  <c r="AB338" i="2"/>
  <c r="AA338" i="2"/>
  <c r="Z338" i="2"/>
  <c r="AE337" i="2"/>
  <c r="AF337" i="2" s="1"/>
  <c r="AD337" i="2"/>
  <c r="AC337" i="2"/>
  <c r="AB337" i="2"/>
  <c r="AA337" i="2"/>
  <c r="Z337" i="2"/>
  <c r="AE336" i="2"/>
  <c r="AF336" i="2" s="1"/>
  <c r="AD336" i="2"/>
  <c r="AC336" i="2"/>
  <c r="AB336" i="2"/>
  <c r="AA336" i="2"/>
  <c r="Z336" i="2"/>
  <c r="AE335" i="2"/>
  <c r="AF335" i="2" s="1"/>
  <c r="AD335" i="2"/>
  <c r="AC335" i="2"/>
  <c r="AB335" i="2"/>
  <c r="AA335" i="2"/>
  <c r="Z335" i="2"/>
  <c r="AE334" i="2"/>
  <c r="AF334" i="2" s="1"/>
  <c r="AD334" i="2"/>
  <c r="AC334" i="2"/>
  <c r="AB334" i="2"/>
  <c r="AA334" i="2"/>
  <c r="Z334" i="2"/>
  <c r="AE333" i="2"/>
  <c r="AF333" i="2" s="1"/>
  <c r="AD333" i="2"/>
  <c r="AC333" i="2"/>
  <c r="AB333" i="2"/>
  <c r="AA333" i="2"/>
  <c r="Z333" i="2"/>
  <c r="AE332" i="2"/>
  <c r="AF332" i="2" s="1"/>
  <c r="AD332" i="2"/>
  <c r="AC332" i="2"/>
  <c r="AB332" i="2"/>
  <c r="AA332" i="2"/>
  <c r="Z332" i="2"/>
  <c r="AE331" i="2"/>
  <c r="AF331" i="2" s="1"/>
  <c r="AD331" i="2"/>
  <c r="AC331" i="2"/>
  <c r="AB331" i="2"/>
  <c r="AA331" i="2"/>
  <c r="Z331" i="2"/>
  <c r="AE330" i="2"/>
  <c r="AF330" i="2" s="1"/>
  <c r="AD330" i="2"/>
  <c r="AC330" i="2"/>
  <c r="AB330" i="2"/>
  <c r="AA330" i="2"/>
  <c r="Z330" i="2"/>
  <c r="AE329" i="2"/>
  <c r="AF329" i="2" s="1"/>
  <c r="AD329" i="2"/>
  <c r="AC329" i="2"/>
  <c r="AB329" i="2"/>
  <c r="AA329" i="2"/>
  <c r="Z329" i="2"/>
  <c r="AE328" i="2"/>
  <c r="AF328" i="2" s="1"/>
  <c r="AD328" i="2"/>
  <c r="AC328" i="2"/>
  <c r="AB328" i="2"/>
  <c r="AA328" i="2"/>
  <c r="Z328" i="2"/>
  <c r="AE327" i="2"/>
  <c r="AF327" i="2" s="1"/>
  <c r="AD327" i="2"/>
  <c r="AC327" i="2"/>
  <c r="AB327" i="2"/>
  <c r="AA327" i="2"/>
  <c r="Z327" i="2"/>
  <c r="AE326" i="2"/>
  <c r="AF326" i="2" s="1"/>
  <c r="AD326" i="2"/>
  <c r="AC326" i="2"/>
  <c r="AB326" i="2"/>
  <c r="AA326" i="2"/>
  <c r="Z326" i="2"/>
  <c r="AE325" i="2"/>
  <c r="AF325" i="2" s="1"/>
  <c r="AD325" i="2"/>
  <c r="AC325" i="2"/>
  <c r="AB325" i="2"/>
  <c r="AA325" i="2"/>
  <c r="Z325" i="2"/>
  <c r="AE324" i="2"/>
  <c r="AF324" i="2" s="1"/>
  <c r="AD324" i="2"/>
  <c r="AC324" i="2"/>
  <c r="AB324" i="2"/>
  <c r="AA324" i="2"/>
  <c r="Z324" i="2"/>
  <c r="AE323" i="2"/>
  <c r="AF323" i="2" s="1"/>
  <c r="AD323" i="2"/>
  <c r="AC323" i="2"/>
  <c r="AB323" i="2"/>
  <c r="AA323" i="2"/>
  <c r="Z323" i="2"/>
  <c r="AE322" i="2"/>
  <c r="AF322" i="2" s="1"/>
  <c r="AD322" i="2"/>
  <c r="AC322" i="2"/>
  <c r="AB322" i="2"/>
  <c r="AA322" i="2"/>
  <c r="Z322" i="2"/>
  <c r="AE321" i="2"/>
  <c r="AF321" i="2" s="1"/>
  <c r="AD321" i="2"/>
  <c r="AC321" i="2"/>
  <c r="AB321" i="2"/>
  <c r="AA321" i="2"/>
  <c r="Z321" i="2"/>
  <c r="AE320" i="2"/>
  <c r="AF320" i="2" s="1"/>
  <c r="AD320" i="2"/>
  <c r="AC320" i="2"/>
  <c r="AB320" i="2"/>
  <c r="AA320" i="2"/>
  <c r="Z320" i="2"/>
  <c r="AE319" i="2"/>
  <c r="AF319" i="2" s="1"/>
  <c r="AD319" i="2"/>
  <c r="AC319" i="2"/>
  <c r="AB319" i="2"/>
  <c r="AA319" i="2"/>
  <c r="Z319" i="2"/>
  <c r="AE318" i="2"/>
  <c r="AF318" i="2" s="1"/>
  <c r="AD318" i="2"/>
  <c r="AC318" i="2"/>
  <c r="AB318" i="2"/>
  <c r="AA318" i="2"/>
  <c r="Z318" i="2"/>
  <c r="AE317" i="2"/>
  <c r="AF317" i="2" s="1"/>
  <c r="AD317" i="2"/>
  <c r="AC317" i="2"/>
  <c r="AB317" i="2"/>
  <c r="AA317" i="2"/>
  <c r="Z317" i="2"/>
  <c r="AE316" i="2"/>
  <c r="AF316" i="2" s="1"/>
  <c r="AD316" i="2"/>
  <c r="AC316" i="2"/>
  <c r="AB316" i="2"/>
  <c r="AA316" i="2"/>
  <c r="Z316" i="2"/>
  <c r="AE315" i="2"/>
  <c r="AF315" i="2" s="1"/>
  <c r="AD315" i="2"/>
  <c r="AC315" i="2"/>
  <c r="AB315" i="2"/>
  <c r="AA315" i="2"/>
  <c r="Z315" i="2"/>
  <c r="AE314" i="2"/>
  <c r="AF314" i="2" s="1"/>
  <c r="AD314" i="2"/>
  <c r="AC314" i="2"/>
  <c r="AB314" i="2"/>
  <c r="AA314" i="2"/>
  <c r="Z314" i="2"/>
  <c r="AE313" i="2"/>
  <c r="AF313" i="2" s="1"/>
  <c r="AD313" i="2"/>
  <c r="AC313" i="2"/>
  <c r="AB313" i="2"/>
  <c r="AA313" i="2"/>
  <c r="Z313" i="2"/>
  <c r="AE312" i="2"/>
  <c r="AF312" i="2" s="1"/>
  <c r="AD312" i="2"/>
  <c r="AC312" i="2"/>
  <c r="AB312" i="2"/>
  <c r="AA312" i="2"/>
  <c r="Z312" i="2"/>
  <c r="AE311" i="2"/>
  <c r="AF311" i="2" s="1"/>
  <c r="AD311" i="2"/>
  <c r="AC311" i="2"/>
  <c r="AB311" i="2"/>
  <c r="AA311" i="2"/>
  <c r="Z311" i="2"/>
  <c r="AE310" i="2"/>
  <c r="AF310" i="2" s="1"/>
  <c r="AD310" i="2"/>
  <c r="AC310" i="2"/>
  <c r="AB310" i="2"/>
  <c r="AA310" i="2"/>
  <c r="Z310" i="2"/>
  <c r="AE309" i="2"/>
  <c r="AF309" i="2" s="1"/>
  <c r="AD309" i="2"/>
  <c r="AC309" i="2"/>
  <c r="AB309" i="2"/>
  <c r="AA309" i="2"/>
  <c r="Z309" i="2"/>
  <c r="AE308" i="2"/>
  <c r="AF308" i="2" s="1"/>
  <c r="AD308" i="2"/>
  <c r="AC308" i="2"/>
  <c r="AB308" i="2"/>
  <c r="AA308" i="2"/>
  <c r="Z308" i="2"/>
  <c r="AE307" i="2"/>
  <c r="AF307" i="2" s="1"/>
  <c r="AD307" i="2"/>
  <c r="AC307" i="2"/>
  <c r="AB307" i="2"/>
  <c r="AA307" i="2"/>
  <c r="Z307" i="2"/>
  <c r="AE306" i="2"/>
  <c r="AF306" i="2" s="1"/>
  <c r="AD306" i="2"/>
  <c r="AC306" i="2"/>
  <c r="AB306" i="2"/>
  <c r="AA306" i="2"/>
  <c r="Z306" i="2"/>
  <c r="AE305" i="2"/>
  <c r="AF305" i="2" s="1"/>
  <c r="AD305" i="2"/>
  <c r="AC305" i="2"/>
  <c r="AB305" i="2"/>
  <c r="AA305" i="2"/>
  <c r="Z305" i="2"/>
  <c r="AE304" i="2"/>
  <c r="AF304" i="2" s="1"/>
  <c r="AD304" i="2"/>
  <c r="AC304" i="2"/>
  <c r="AB304" i="2"/>
  <c r="AA304" i="2"/>
  <c r="Z304" i="2"/>
  <c r="AE303" i="2"/>
  <c r="AF303" i="2" s="1"/>
  <c r="AD303" i="2"/>
  <c r="AC303" i="2"/>
  <c r="AB303" i="2"/>
  <c r="AA303" i="2"/>
  <c r="Z303" i="2"/>
  <c r="AE302" i="2"/>
  <c r="AF302" i="2" s="1"/>
  <c r="AD302" i="2"/>
  <c r="AC302" i="2"/>
  <c r="AB302" i="2"/>
  <c r="AA302" i="2"/>
  <c r="Z302" i="2"/>
  <c r="AE301" i="2"/>
  <c r="AF301" i="2" s="1"/>
  <c r="AD301" i="2"/>
  <c r="AC301" i="2"/>
  <c r="AB301" i="2"/>
  <c r="AA301" i="2"/>
  <c r="Z301" i="2"/>
  <c r="AE300" i="2"/>
  <c r="AF300" i="2" s="1"/>
  <c r="AD300" i="2"/>
  <c r="AC300" i="2"/>
  <c r="AB300" i="2"/>
  <c r="AA300" i="2"/>
  <c r="Z300" i="2"/>
  <c r="AE299" i="2"/>
  <c r="AF299" i="2" s="1"/>
  <c r="AD299" i="2"/>
  <c r="AC299" i="2"/>
  <c r="AB299" i="2"/>
  <c r="AA299" i="2"/>
  <c r="Z299" i="2"/>
  <c r="AE298" i="2"/>
  <c r="AF298" i="2" s="1"/>
  <c r="AD298" i="2"/>
  <c r="AC298" i="2"/>
  <c r="AB298" i="2"/>
  <c r="AA298" i="2"/>
  <c r="Z298" i="2"/>
  <c r="AE297" i="2"/>
  <c r="AF297" i="2" s="1"/>
  <c r="AD297" i="2"/>
  <c r="AC297" i="2"/>
  <c r="AB297" i="2"/>
  <c r="AA297" i="2"/>
  <c r="Z297" i="2"/>
  <c r="AE296" i="2"/>
  <c r="AF296" i="2" s="1"/>
  <c r="AD296" i="2"/>
  <c r="AC296" i="2"/>
  <c r="AB296" i="2"/>
  <c r="AA296" i="2"/>
  <c r="Z296" i="2"/>
  <c r="AE295" i="2"/>
  <c r="AF295" i="2" s="1"/>
  <c r="AD295" i="2"/>
  <c r="AC295" i="2"/>
  <c r="AB295" i="2"/>
  <c r="AA295" i="2"/>
  <c r="Z295" i="2"/>
  <c r="AE294" i="2"/>
  <c r="AF294" i="2" s="1"/>
  <c r="AD294" i="2"/>
  <c r="AC294" i="2"/>
  <c r="AB294" i="2"/>
  <c r="AA294" i="2"/>
  <c r="Z294" i="2"/>
  <c r="AE293" i="2"/>
  <c r="AF293" i="2" s="1"/>
  <c r="AD293" i="2"/>
  <c r="AC293" i="2"/>
  <c r="AB293" i="2"/>
  <c r="AA293" i="2"/>
  <c r="Z293" i="2"/>
  <c r="AE292" i="2"/>
  <c r="AF292" i="2" s="1"/>
  <c r="AD292" i="2"/>
  <c r="AC292" i="2"/>
  <c r="AB292" i="2"/>
  <c r="AA292" i="2"/>
  <c r="Z292" i="2"/>
  <c r="AE291" i="2"/>
  <c r="AF291" i="2" s="1"/>
  <c r="AD291" i="2"/>
  <c r="AC291" i="2"/>
  <c r="AB291" i="2"/>
  <c r="AA291" i="2"/>
  <c r="Z291" i="2"/>
  <c r="AE290" i="2"/>
  <c r="AF290" i="2" s="1"/>
  <c r="AD290" i="2"/>
  <c r="AC290" i="2"/>
  <c r="AB290" i="2"/>
  <c r="AA290" i="2"/>
  <c r="Z290" i="2"/>
  <c r="AE289" i="2"/>
  <c r="AF289" i="2" s="1"/>
  <c r="AD289" i="2"/>
  <c r="AC289" i="2"/>
  <c r="AB289" i="2"/>
  <c r="AA289" i="2"/>
  <c r="Z289" i="2"/>
  <c r="AE288" i="2"/>
  <c r="AF288" i="2" s="1"/>
  <c r="AD288" i="2"/>
  <c r="AC288" i="2"/>
  <c r="AB288" i="2"/>
  <c r="AA288" i="2"/>
  <c r="Z288" i="2"/>
  <c r="AE287" i="2"/>
  <c r="AF287" i="2" s="1"/>
  <c r="AD287" i="2"/>
  <c r="AC287" i="2"/>
  <c r="AB287" i="2"/>
  <c r="AA287" i="2"/>
  <c r="Z287" i="2"/>
  <c r="AE286" i="2"/>
  <c r="AF286" i="2" s="1"/>
  <c r="AD286" i="2"/>
  <c r="AC286" i="2"/>
  <c r="AB286" i="2"/>
  <c r="AA286" i="2"/>
  <c r="Z286" i="2"/>
  <c r="AE285" i="2"/>
  <c r="AF285" i="2" s="1"/>
  <c r="AD285" i="2"/>
  <c r="AC285" i="2"/>
  <c r="AB285" i="2"/>
  <c r="AA285" i="2"/>
  <c r="Z285" i="2"/>
  <c r="AE284" i="2"/>
  <c r="AF284" i="2" s="1"/>
  <c r="AD284" i="2"/>
  <c r="AC284" i="2"/>
  <c r="AB284" i="2"/>
  <c r="AA284" i="2"/>
  <c r="Z284" i="2"/>
  <c r="AE283" i="2"/>
  <c r="AF283" i="2" s="1"/>
  <c r="AD283" i="2"/>
  <c r="AC283" i="2"/>
  <c r="AB283" i="2"/>
  <c r="AA283" i="2"/>
  <c r="Z283" i="2"/>
  <c r="AE282" i="2"/>
  <c r="AF282" i="2" s="1"/>
  <c r="AD282" i="2"/>
  <c r="AC282" i="2"/>
  <c r="AB282" i="2"/>
  <c r="AA282" i="2"/>
  <c r="Z282" i="2"/>
  <c r="AE281" i="2"/>
  <c r="AF281" i="2" s="1"/>
  <c r="AD281" i="2"/>
  <c r="AC281" i="2"/>
  <c r="AB281" i="2"/>
  <c r="AA281" i="2"/>
  <c r="Z281" i="2"/>
  <c r="AE280" i="2"/>
  <c r="AF280" i="2" s="1"/>
  <c r="AD280" i="2"/>
  <c r="AC280" i="2"/>
  <c r="AB280" i="2"/>
  <c r="AA280" i="2"/>
  <c r="Z280" i="2"/>
  <c r="AE279" i="2"/>
  <c r="AF279" i="2" s="1"/>
  <c r="AD279" i="2"/>
  <c r="AC279" i="2"/>
  <c r="AB279" i="2"/>
  <c r="AA279" i="2"/>
  <c r="Z279" i="2"/>
  <c r="AE278" i="2"/>
  <c r="AF278" i="2" s="1"/>
  <c r="AD278" i="2"/>
  <c r="AC278" i="2"/>
  <c r="AB278" i="2"/>
  <c r="AA278" i="2"/>
  <c r="Z278" i="2"/>
  <c r="AE277" i="2"/>
  <c r="AF277" i="2" s="1"/>
  <c r="AD277" i="2"/>
  <c r="AC277" i="2"/>
  <c r="AB277" i="2"/>
  <c r="AA277" i="2"/>
  <c r="Z277" i="2"/>
  <c r="AE276" i="2"/>
  <c r="AF276" i="2" s="1"/>
  <c r="AD276" i="2"/>
  <c r="AC276" i="2"/>
  <c r="AB276" i="2"/>
  <c r="AA276" i="2"/>
  <c r="Z276" i="2"/>
  <c r="AE275" i="2"/>
  <c r="AF275" i="2" s="1"/>
  <c r="AD275" i="2"/>
  <c r="AC275" i="2"/>
  <c r="AB275" i="2"/>
  <c r="AA275" i="2"/>
  <c r="Z275" i="2"/>
  <c r="AE274" i="2"/>
  <c r="AF274" i="2" s="1"/>
  <c r="AD274" i="2"/>
  <c r="AC274" i="2"/>
  <c r="AB274" i="2"/>
  <c r="AA274" i="2"/>
  <c r="Z274" i="2"/>
  <c r="AE273" i="2"/>
  <c r="AF273" i="2" s="1"/>
  <c r="AD273" i="2"/>
  <c r="AC273" i="2"/>
  <c r="AB273" i="2"/>
  <c r="AA273" i="2"/>
  <c r="Z273" i="2"/>
  <c r="AE272" i="2"/>
  <c r="AF272" i="2" s="1"/>
  <c r="AD272" i="2"/>
  <c r="AC272" i="2"/>
  <c r="AB272" i="2"/>
  <c r="AA272" i="2"/>
  <c r="Z272" i="2"/>
  <c r="AE271" i="2"/>
  <c r="AF271" i="2" s="1"/>
  <c r="AD271" i="2"/>
  <c r="AC271" i="2"/>
  <c r="AB271" i="2"/>
  <c r="AA271" i="2"/>
  <c r="Z271" i="2"/>
  <c r="AE270" i="2"/>
  <c r="AF270" i="2" s="1"/>
  <c r="AD270" i="2"/>
  <c r="AC270" i="2"/>
  <c r="AB270" i="2"/>
  <c r="AA270" i="2"/>
  <c r="Z270" i="2"/>
  <c r="AE269" i="2"/>
  <c r="AF269" i="2" s="1"/>
  <c r="AD269" i="2"/>
  <c r="AC269" i="2"/>
  <c r="AB269" i="2"/>
  <c r="AA269" i="2"/>
  <c r="Z269" i="2"/>
  <c r="AE268" i="2"/>
  <c r="AF268" i="2" s="1"/>
  <c r="AD268" i="2"/>
  <c r="AC268" i="2"/>
  <c r="AB268" i="2"/>
  <c r="AA268" i="2"/>
  <c r="Z268" i="2"/>
  <c r="AE267" i="2"/>
  <c r="AF267" i="2" s="1"/>
  <c r="AD267" i="2"/>
  <c r="AC267" i="2"/>
  <c r="AB267" i="2"/>
  <c r="AA267" i="2"/>
  <c r="Z267" i="2"/>
  <c r="AE266" i="2"/>
  <c r="AF266" i="2" s="1"/>
  <c r="AD266" i="2"/>
  <c r="AC266" i="2"/>
  <c r="AB266" i="2"/>
  <c r="AA266" i="2"/>
  <c r="Z266" i="2"/>
  <c r="AE265" i="2"/>
  <c r="AF265" i="2" s="1"/>
  <c r="AD265" i="2"/>
  <c r="AC265" i="2"/>
  <c r="AB265" i="2"/>
  <c r="AA265" i="2"/>
  <c r="Z265" i="2"/>
  <c r="AE264" i="2"/>
  <c r="AF264" i="2" s="1"/>
  <c r="AD264" i="2"/>
  <c r="AC264" i="2"/>
  <c r="AB264" i="2"/>
  <c r="AA264" i="2"/>
  <c r="Z264" i="2"/>
  <c r="AE263" i="2"/>
  <c r="AF263" i="2" s="1"/>
  <c r="AD263" i="2"/>
  <c r="AC263" i="2"/>
  <c r="AB263" i="2"/>
  <c r="AA263" i="2"/>
  <c r="Z263" i="2"/>
  <c r="AE262" i="2"/>
  <c r="AF262" i="2" s="1"/>
  <c r="AD262" i="2"/>
  <c r="AC262" i="2"/>
  <c r="AB262" i="2"/>
  <c r="AA262" i="2"/>
  <c r="Z262" i="2"/>
  <c r="AE261" i="2"/>
  <c r="AF261" i="2" s="1"/>
  <c r="AD261" i="2"/>
  <c r="AC261" i="2"/>
  <c r="AB261" i="2"/>
  <c r="AA261" i="2"/>
  <c r="Z261" i="2"/>
  <c r="AE260" i="2"/>
  <c r="AF260" i="2" s="1"/>
  <c r="AD260" i="2"/>
  <c r="AC260" i="2"/>
  <c r="AB260" i="2"/>
  <c r="AA260" i="2"/>
  <c r="Z260" i="2"/>
  <c r="AE259" i="2"/>
  <c r="AF259" i="2" s="1"/>
  <c r="AD259" i="2"/>
  <c r="AC259" i="2"/>
  <c r="AB259" i="2"/>
  <c r="AA259" i="2"/>
  <c r="Z259" i="2"/>
  <c r="AE258" i="2"/>
  <c r="AF258" i="2" s="1"/>
  <c r="AD258" i="2"/>
  <c r="AC258" i="2"/>
  <c r="AB258" i="2"/>
  <c r="AA258" i="2"/>
  <c r="Z258" i="2"/>
  <c r="AE257" i="2"/>
  <c r="AF257" i="2" s="1"/>
  <c r="AD257" i="2"/>
  <c r="AC257" i="2"/>
  <c r="AB257" i="2"/>
  <c r="AA257" i="2"/>
  <c r="Z257" i="2"/>
  <c r="AE256" i="2"/>
  <c r="AF256" i="2" s="1"/>
  <c r="AD256" i="2"/>
  <c r="AC256" i="2"/>
  <c r="AB256" i="2"/>
  <c r="AA256" i="2"/>
  <c r="Z256" i="2"/>
  <c r="AE255" i="2"/>
  <c r="AF255" i="2" s="1"/>
  <c r="AD255" i="2"/>
  <c r="AC255" i="2"/>
  <c r="AB255" i="2"/>
  <c r="AA255" i="2"/>
  <c r="Z255" i="2"/>
  <c r="AE254" i="2"/>
  <c r="AF254" i="2" s="1"/>
  <c r="AD254" i="2"/>
  <c r="AC254" i="2"/>
  <c r="AB254" i="2"/>
  <c r="AA254" i="2"/>
  <c r="Z254" i="2"/>
  <c r="AE253" i="2"/>
  <c r="AF253" i="2" s="1"/>
  <c r="AD253" i="2"/>
  <c r="AC253" i="2"/>
  <c r="AB253" i="2"/>
  <c r="AA253" i="2"/>
  <c r="Z253" i="2"/>
  <c r="AE252" i="2"/>
  <c r="AF252" i="2" s="1"/>
  <c r="AD252" i="2"/>
  <c r="AC252" i="2"/>
  <c r="AB252" i="2"/>
  <c r="AA252" i="2"/>
  <c r="Z252" i="2"/>
  <c r="AE251" i="2"/>
  <c r="AF251" i="2" s="1"/>
  <c r="AD251" i="2"/>
  <c r="AC251" i="2"/>
  <c r="AB251" i="2"/>
  <c r="AA251" i="2"/>
  <c r="Z251" i="2"/>
  <c r="AE250" i="2"/>
  <c r="AF250" i="2" s="1"/>
  <c r="AD250" i="2"/>
  <c r="AC250" i="2"/>
  <c r="AB250" i="2"/>
  <c r="AA250" i="2"/>
  <c r="Z250" i="2"/>
  <c r="AE249" i="2"/>
  <c r="AF249" i="2" s="1"/>
  <c r="AD249" i="2"/>
  <c r="AC249" i="2"/>
  <c r="AB249" i="2"/>
  <c r="AA249" i="2"/>
  <c r="Z249" i="2"/>
  <c r="AE248" i="2"/>
  <c r="AF248" i="2" s="1"/>
  <c r="AD248" i="2"/>
  <c r="AC248" i="2"/>
  <c r="AB248" i="2"/>
  <c r="AA248" i="2"/>
  <c r="Z248" i="2"/>
  <c r="AE247" i="2"/>
  <c r="AF247" i="2" s="1"/>
  <c r="AD247" i="2"/>
  <c r="AC247" i="2"/>
  <c r="AB247" i="2"/>
  <c r="AA247" i="2"/>
  <c r="Z247" i="2"/>
  <c r="AE246" i="2"/>
  <c r="AF246" i="2" s="1"/>
  <c r="AD246" i="2"/>
  <c r="AC246" i="2"/>
  <c r="AB246" i="2"/>
  <c r="AA246" i="2"/>
  <c r="Z246" i="2"/>
  <c r="AE245" i="2"/>
  <c r="AF245" i="2" s="1"/>
  <c r="AD245" i="2"/>
  <c r="AC245" i="2"/>
  <c r="AB245" i="2"/>
  <c r="AA245" i="2"/>
  <c r="Z245" i="2"/>
  <c r="AE244" i="2"/>
  <c r="AF244" i="2" s="1"/>
  <c r="AD244" i="2"/>
  <c r="AC244" i="2"/>
  <c r="AB244" i="2"/>
  <c r="AA244" i="2"/>
  <c r="Z244" i="2"/>
  <c r="AE243" i="2"/>
  <c r="AF243" i="2" s="1"/>
  <c r="AD243" i="2"/>
  <c r="AC243" i="2"/>
  <c r="AB243" i="2"/>
  <c r="AA243" i="2"/>
  <c r="Z243" i="2"/>
  <c r="AE242" i="2"/>
  <c r="AF242" i="2" s="1"/>
  <c r="AD242" i="2"/>
  <c r="AC242" i="2"/>
  <c r="AB242" i="2"/>
  <c r="AA242" i="2"/>
  <c r="Z242" i="2"/>
  <c r="AE241" i="2"/>
  <c r="AF241" i="2" s="1"/>
  <c r="AD241" i="2"/>
  <c r="AC241" i="2"/>
  <c r="AB241" i="2"/>
  <c r="AA241" i="2"/>
  <c r="Z241" i="2"/>
  <c r="AE240" i="2"/>
  <c r="AF240" i="2" s="1"/>
  <c r="AD240" i="2"/>
  <c r="AC240" i="2"/>
  <c r="AB240" i="2"/>
  <c r="AA240" i="2"/>
  <c r="Z240" i="2"/>
  <c r="AE239" i="2"/>
  <c r="AF239" i="2" s="1"/>
  <c r="AD239" i="2"/>
  <c r="AC239" i="2"/>
  <c r="AB239" i="2"/>
  <c r="AA239" i="2"/>
  <c r="Z239" i="2"/>
  <c r="AE238" i="2"/>
  <c r="AF238" i="2" s="1"/>
  <c r="AD238" i="2"/>
  <c r="AC238" i="2"/>
  <c r="AB238" i="2"/>
  <c r="AA238" i="2"/>
  <c r="Z238" i="2"/>
  <c r="AE237" i="2"/>
  <c r="AF237" i="2" s="1"/>
  <c r="AD237" i="2"/>
  <c r="AC237" i="2"/>
  <c r="AB237" i="2"/>
  <c r="AA237" i="2"/>
  <c r="Z237" i="2"/>
  <c r="AE236" i="2"/>
  <c r="AF236" i="2" s="1"/>
  <c r="AD236" i="2"/>
  <c r="AC236" i="2"/>
  <c r="AB236" i="2"/>
  <c r="AA236" i="2"/>
  <c r="Z236" i="2"/>
  <c r="AE235" i="2"/>
  <c r="AF235" i="2" s="1"/>
  <c r="AD235" i="2"/>
  <c r="AC235" i="2"/>
  <c r="AB235" i="2"/>
  <c r="AA235" i="2"/>
  <c r="Z235" i="2"/>
  <c r="AE234" i="2"/>
  <c r="AF234" i="2" s="1"/>
  <c r="AD234" i="2"/>
  <c r="AC234" i="2"/>
  <c r="AB234" i="2"/>
  <c r="AA234" i="2"/>
  <c r="Z234" i="2"/>
  <c r="AE233" i="2"/>
  <c r="AF233" i="2" s="1"/>
  <c r="AD233" i="2"/>
  <c r="AC233" i="2"/>
  <c r="AB233" i="2"/>
  <c r="AA233" i="2"/>
  <c r="Z233" i="2"/>
  <c r="AE232" i="2"/>
  <c r="AF232" i="2" s="1"/>
  <c r="AD232" i="2"/>
  <c r="AC232" i="2"/>
  <c r="AB232" i="2"/>
  <c r="AA232" i="2"/>
  <c r="Z232" i="2"/>
  <c r="AE231" i="2"/>
  <c r="AF231" i="2" s="1"/>
  <c r="AD231" i="2"/>
  <c r="AC231" i="2"/>
  <c r="AB231" i="2"/>
  <c r="AA231" i="2"/>
  <c r="Z231" i="2"/>
  <c r="AE230" i="2"/>
  <c r="AF230" i="2" s="1"/>
  <c r="AD230" i="2"/>
  <c r="AC230" i="2"/>
  <c r="AB230" i="2"/>
  <c r="AA230" i="2"/>
  <c r="Z230" i="2"/>
  <c r="AE229" i="2"/>
  <c r="AF229" i="2" s="1"/>
  <c r="AD229" i="2"/>
  <c r="AC229" i="2"/>
  <c r="AB229" i="2"/>
  <c r="AA229" i="2"/>
  <c r="Z229" i="2"/>
  <c r="AE228" i="2"/>
  <c r="AF228" i="2" s="1"/>
  <c r="AD228" i="2"/>
  <c r="AC228" i="2"/>
  <c r="AB228" i="2"/>
  <c r="AA228" i="2"/>
  <c r="Z228" i="2"/>
  <c r="AE227" i="2"/>
  <c r="AF227" i="2" s="1"/>
  <c r="AD227" i="2"/>
  <c r="AC227" i="2"/>
  <c r="AB227" i="2"/>
  <c r="AA227" i="2"/>
  <c r="Z227" i="2"/>
  <c r="AE226" i="2"/>
  <c r="AF226" i="2" s="1"/>
  <c r="AD226" i="2"/>
  <c r="AC226" i="2"/>
  <c r="AB226" i="2"/>
  <c r="AA226" i="2"/>
  <c r="Z226" i="2"/>
  <c r="AE225" i="2"/>
  <c r="AF225" i="2" s="1"/>
  <c r="AD225" i="2"/>
  <c r="AC225" i="2"/>
  <c r="AB225" i="2"/>
  <c r="AA225" i="2"/>
  <c r="Z225" i="2"/>
  <c r="AE224" i="2"/>
  <c r="AF224" i="2" s="1"/>
  <c r="AD224" i="2"/>
  <c r="AC224" i="2"/>
  <c r="AB224" i="2"/>
  <c r="AA224" i="2"/>
  <c r="Z224" i="2"/>
  <c r="AE223" i="2"/>
  <c r="AF223" i="2" s="1"/>
  <c r="AD223" i="2"/>
  <c r="AC223" i="2"/>
  <c r="AB223" i="2"/>
  <c r="AA223" i="2"/>
  <c r="Z223" i="2"/>
  <c r="AE222" i="2"/>
  <c r="AF222" i="2" s="1"/>
  <c r="AD222" i="2"/>
  <c r="AC222" i="2"/>
  <c r="AB222" i="2"/>
  <c r="AA222" i="2"/>
  <c r="Z222" i="2"/>
  <c r="AE221" i="2"/>
  <c r="AF221" i="2" s="1"/>
  <c r="AD221" i="2"/>
  <c r="AC221" i="2"/>
  <c r="AB221" i="2"/>
  <c r="AA221" i="2"/>
  <c r="Z221" i="2"/>
  <c r="AE220" i="2"/>
  <c r="AF220" i="2" s="1"/>
  <c r="AD220" i="2"/>
  <c r="AC220" i="2"/>
  <c r="AB220" i="2"/>
  <c r="AA220" i="2"/>
  <c r="Z220" i="2"/>
  <c r="AE219" i="2"/>
  <c r="AF219" i="2" s="1"/>
  <c r="AD219" i="2"/>
  <c r="AC219" i="2"/>
  <c r="AB219" i="2"/>
  <c r="AA219" i="2"/>
  <c r="Z219" i="2"/>
  <c r="AE218" i="2"/>
  <c r="AF218" i="2" s="1"/>
  <c r="AD218" i="2"/>
  <c r="AC218" i="2"/>
  <c r="AB218" i="2"/>
  <c r="AA218" i="2"/>
  <c r="Z218" i="2"/>
  <c r="AE217" i="2"/>
  <c r="AF217" i="2" s="1"/>
  <c r="AD217" i="2"/>
  <c r="AC217" i="2"/>
  <c r="AB217" i="2"/>
  <c r="AA217" i="2"/>
  <c r="Z217" i="2"/>
  <c r="AE216" i="2"/>
  <c r="AF216" i="2" s="1"/>
  <c r="AD216" i="2"/>
  <c r="AC216" i="2"/>
  <c r="AB216" i="2"/>
  <c r="AA216" i="2"/>
  <c r="Z216" i="2"/>
  <c r="AE215" i="2"/>
  <c r="AF215" i="2" s="1"/>
  <c r="AD215" i="2"/>
  <c r="AC215" i="2"/>
  <c r="AB215" i="2"/>
  <c r="AA215" i="2"/>
  <c r="Z215" i="2"/>
  <c r="AE214" i="2"/>
  <c r="AF214" i="2" s="1"/>
  <c r="AD214" i="2"/>
  <c r="AC214" i="2"/>
  <c r="AB214" i="2"/>
  <c r="AA214" i="2"/>
  <c r="Z214" i="2"/>
  <c r="AE213" i="2"/>
  <c r="AF213" i="2" s="1"/>
  <c r="AD213" i="2"/>
  <c r="AC213" i="2"/>
  <c r="AB213" i="2"/>
  <c r="AA213" i="2"/>
  <c r="Z213" i="2"/>
  <c r="AE212" i="2"/>
  <c r="AF212" i="2" s="1"/>
  <c r="AD212" i="2"/>
  <c r="AC212" i="2"/>
  <c r="AB212" i="2"/>
  <c r="AA212" i="2"/>
  <c r="Z212" i="2"/>
  <c r="AE211" i="2"/>
  <c r="AF211" i="2" s="1"/>
  <c r="AD211" i="2"/>
  <c r="AC211" i="2"/>
  <c r="AB211" i="2"/>
  <c r="AA211" i="2"/>
  <c r="Z211" i="2"/>
  <c r="AE210" i="2"/>
  <c r="AF210" i="2" s="1"/>
  <c r="AD210" i="2"/>
  <c r="AC210" i="2"/>
  <c r="AB210" i="2"/>
  <c r="AA210" i="2"/>
  <c r="Z210" i="2"/>
  <c r="AE209" i="2"/>
  <c r="AF209" i="2" s="1"/>
  <c r="AD209" i="2"/>
  <c r="AC209" i="2"/>
  <c r="AB209" i="2"/>
  <c r="AA209" i="2"/>
  <c r="Z209" i="2"/>
  <c r="AE208" i="2"/>
  <c r="AF208" i="2" s="1"/>
  <c r="AD208" i="2"/>
  <c r="AC208" i="2"/>
  <c r="AB208" i="2"/>
  <c r="AA208" i="2"/>
  <c r="Z208" i="2"/>
  <c r="AE207" i="2"/>
  <c r="AF207" i="2" s="1"/>
  <c r="AD207" i="2"/>
  <c r="AC207" i="2"/>
  <c r="AB207" i="2"/>
  <c r="AA207" i="2"/>
  <c r="Z207" i="2"/>
  <c r="AE206" i="2"/>
  <c r="AF206" i="2" s="1"/>
  <c r="AD206" i="2"/>
  <c r="AC206" i="2"/>
  <c r="AB206" i="2"/>
  <c r="AA206" i="2"/>
  <c r="Z206" i="2"/>
  <c r="AE205" i="2"/>
  <c r="AF205" i="2" s="1"/>
  <c r="AD205" i="2"/>
  <c r="AC205" i="2"/>
  <c r="AB205" i="2"/>
  <c r="AA205" i="2"/>
  <c r="Z205" i="2"/>
  <c r="AE204" i="2"/>
  <c r="AF204" i="2" s="1"/>
  <c r="AD204" i="2"/>
  <c r="AC204" i="2"/>
  <c r="AB204" i="2"/>
  <c r="AA204" i="2"/>
  <c r="Z204" i="2"/>
  <c r="AE203" i="2"/>
  <c r="AF203" i="2" s="1"/>
  <c r="AD203" i="2"/>
  <c r="AC203" i="2"/>
  <c r="AB203" i="2"/>
  <c r="AA203" i="2"/>
  <c r="Z203" i="2"/>
  <c r="AE202" i="2"/>
  <c r="AF202" i="2" s="1"/>
  <c r="AD202" i="2"/>
  <c r="AC202" i="2"/>
  <c r="AB202" i="2"/>
  <c r="AA202" i="2"/>
  <c r="Z202" i="2"/>
  <c r="AE201" i="2"/>
  <c r="AF201" i="2" s="1"/>
  <c r="AD201" i="2"/>
  <c r="AC201" i="2"/>
  <c r="AB201" i="2"/>
  <c r="AA201" i="2"/>
  <c r="Z201" i="2"/>
  <c r="AE200" i="2"/>
  <c r="AF200" i="2" s="1"/>
  <c r="AD200" i="2"/>
  <c r="AC200" i="2"/>
  <c r="AB200" i="2"/>
  <c r="AA200" i="2"/>
  <c r="Z200" i="2"/>
  <c r="AE199" i="2"/>
  <c r="AF199" i="2" s="1"/>
  <c r="AD199" i="2"/>
  <c r="AC199" i="2"/>
  <c r="AB199" i="2"/>
  <c r="AA199" i="2"/>
  <c r="Z199" i="2"/>
  <c r="AE198" i="2"/>
  <c r="AF198" i="2" s="1"/>
  <c r="AD198" i="2"/>
  <c r="AC198" i="2"/>
  <c r="AB198" i="2"/>
  <c r="AA198" i="2"/>
  <c r="Z198" i="2"/>
  <c r="AE197" i="2"/>
  <c r="AF197" i="2" s="1"/>
  <c r="AD197" i="2"/>
  <c r="AC197" i="2"/>
  <c r="AB197" i="2"/>
  <c r="AA197" i="2"/>
  <c r="Z197" i="2"/>
  <c r="AE196" i="2"/>
  <c r="AF196" i="2" s="1"/>
  <c r="AD196" i="2"/>
  <c r="AC196" i="2"/>
  <c r="AB196" i="2"/>
  <c r="AA196" i="2"/>
  <c r="Z196" i="2"/>
  <c r="AE195" i="2"/>
  <c r="AF195" i="2" s="1"/>
  <c r="AD195" i="2"/>
  <c r="AC195" i="2"/>
  <c r="AB195" i="2"/>
  <c r="AA195" i="2"/>
  <c r="Z195" i="2"/>
  <c r="AE194" i="2"/>
  <c r="AF194" i="2" s="1"/>
  <c r="AD194" i="2"/>
  <c r="AC194" i="2"/>
  <c r="AB194" i="2"/>
  <c r="AA194" i="2"/>
  <c r="Z194" i="2"/>
  <c r="AE193" i="2"/>
  <c r="AF193" i="2" s="1"/>
  <c r="AD193" i="2"/>
  <c r="AC193" i="2"/>
  <c r="AB193" i="2"/>
  <c r="AA193" i="2"/>
  <c r="Z193" i="2"/>
  <c r="AE192" i="2"/>
  <c r="AF192" i="2" s="1"/>
  <c r="AD192" i="2"/>
  <c r="AC192" i="2"/>
  <c r="AB192" i="2"/>
  <c r="AA192" i="2"/>
  <c r="Z192" i="2"/>
  <c r="AE191" i="2"/>
  <c r="AF191" i="2" s="1"/>
  <c r="AD191" i="2"/>
  <c r="AC191" i="2"/>
  <c r="AB191" i="2"/>
  <c r="AA191" i="2"/>
  <c r="Z191" i="2"/>
  <c r="AE190" i="2"/>
  <c r="AF190" i="2" s="1"/>
  <c r="AD190" i="2"/>
  <c r="AC190" i="2"/>
  <c r="AB190" i="2"/>
  <c r="AA190" i="2"/>
  <c r="Z190" i="2"/>
  <c r="AE189" i="2"/>
  <c r="AF189" i="2" s="1"/>
  <c r="AD189" i="2"/>
  <c r="AC189" i="2"/>
  <c r="AB189" i="2"/>
  <c r="AA189" i="2"/>
  <c r="Z189" i="2"/>
  <c r="AE188" i="2"/>
  <c r="AF188" i="2" s="1"/>
  <c r="AD188" i="2"/>
  <c r="AC188" i="2"/>
  <c r="AB188" i="2"/>
  <c r="AA188" i="2"/>
  <c r="Z188" i="2"/>
  <c r="AE187" i="2"/>
  <c r="AF187" i="2" s="1"/>
  <c r="AD187" i="2"/>
  <c r="AC187" i="2"/>
  <c r="AB187" i="2"/>
  <c r="AA187" i="2"/>
  <c r="Z187" i="2"/>
  <c r="AE186" i="2"/>
  <c r="AF186" i="2" s="1"/>
  <c r="AD186" i="2"/>
  <c r="AC186" i="2"/>
  <c r="AB186" i="2"/>
  <c r="AA186" i="2"/>
  <c r="Z186" i="2"/>
  <c r="AE185" i="2"/>
  <c r="AF185" i="2" s="1"/>
  <c r="AD185" i="2"/>
  <c r="AC185" i="2"/>
  <c r="AB185" i="2"/>
  <c r="AA185" i="2"/>
  <c r="Z185" i="2"/>
  <c r="AE184" i="2"/>
  <c r="AF184" i="2" s="1"/>
  <c r="AD184" i="2"/>
  <c r="AC184" i="2"/>
  <c r="AB184" i="2"/>
  <c r="AA184" i="2"/>
  <c r="Z184" i="2"/>
  <c r="AE183" i="2"/>
  <c r="AF183" i="2" s="1"/>
  <c r="AD183" i="2"/>
  <c r="AC183" i="2"/>
  <c r="AB183" i="2"/>
  <c r="AA183" i="2"/>
  <c r="Z183" i="2"/>
  <c r="AE182" i="2"/>
  <c r="AF182" i="2" s="1"/>
  <c r="AD182" i="2"/>
  <c r="AC182" i="2"/>
  <c r="AB182" i="2"/>
  <c r="AA182" i="2"/>
  <c r="Z182" i="2"/>
  <c r="AE181" i="2"/>
  <c r="AF181" i="2" s="1"/>
  <c r="AD181" i="2"/>
  <c r="AC181" i="2"/>
  <c r="AB181" i="2"/>
  <c r="AA181" i="2"/>
  <c r="Z181" i="2"/>
  <c r="AE180" i="2"/>
  <c r="AF180" i="2" s="1"/>
  <c r="AD180" i="2"/>
  <c r="AC180" i="2"/>
  <c r="AB180" i="2"/>
  <c r="AA180" i="2"/>
  <c r="Z180" i="2"/>
  <c r="AE179" i="2"/>
  <c r="AF179" i="2" s="1"/>
  <c r="AD179" i="2"/>
  <c r="AC179" i="2"/>
  <c r="AB179" i="2"/>
  <c r="AA179" i="2"/>
  <c r="Z179" i="2"/>
  <c r="AE178" i="2"/>
  <c r="AF178" i="2" s="1"/>
  <c r="AD178" i="2"/>
  <c r="AC178" i="2"/>
  <c r="AB178" i="2"/>
  <c r="AA178" i="2"/>
  <c r="Z178" i="2"/>
  <c r="AE177" i="2"/>
  <c r="AF177" i="2" s="1"/>
  <c r="AD177" i="2"/>
  <c r="AC177" i="2"/>
  <c r="AB177" i="2"/>
  <c r="AA177" i="2"/>
  <c r="Z177" i="2"/>
  <c r="AE176" i="2"/>
  <c r="AF176" i="2" s="1"/>
  <c r="AD176" i="2"/>
  <c r="AC176" i="2"/>
  <c r="AB176" i="2"/>
  <c r="AA176" i="2"/>
  <c r="Z176" i="2"/>
  <c r="AE175" i="2"/>
  <c r="AF175" i="2" s="1"/>
  <c r="AD175" i="2"/>
  <c r="AC175" i="2"/>
  <c r="AB175" i="2"/>
  <c r="AA175" i="2"/>
  <c r="Z175" i="2"/>
  <c r="AE174" i="2"/>
  <c r="AF174" i="2" s="1"/>
  <c r="AD174" i="2"/>
  <c r="AC174" i="2"/>
  <c r="AB174" i="2"/>
  <c r="AA174" i="2"/>
  <c r="Z174" i="2"/>
  <c r="AE173" i="2"/>
  <c r="AF173" i="2" s="1"/>
  <c r="AD173" i="2"/>
  <c r="AC173" i="2"/>
  <c r="AB173" i="2"/>
  <c r="AA173" i="2"/>
  <c r="Z173" i="2"/>
  <c r="AE172" i="2"/>
  <c r="AF172" i="2" s="1"/>
  <c r="AD172" i="2"/>
  <c r="AC172" i="2"/>
  <c r="AB172" i="2"/>
  <c r="AA172" i="2"/>
  <c r="Z172" i="2"/>
  <c r="AE171" i="2"/>
  <c r="AF171" i="2" s="1"/>
  <c r="AD171" i="2"/>
  <c r="AC171" i="2"/>
  <c r="AB171" i="2"/>
  <c r="AA171" i="2"/>
  <c r="Z171" i="2"/>
  <c r="AE170" i="2"/>
  <c r="AF170" i="2" s="1"/>
  <c r="AD170" i="2"/>
  <c r="AC170" i="2"/>
  <c r="AB170" i="2"/>
  <c r="AA170" i="2"/>
  <c r="Z170" i="2"/>
  <c r="AE169" i="2"/>
  <c r="AF169" i="2" s="1"/>
  <c r="AD169" i="2"/>
  <c r="AC169" i="2"/>
  <c r="AB169" i="2"/>
  <c r="AA169" i="2"/>
  <c r="Z169" i="2"/>
  <c r="AE168" i="2"/>
  <c r="AF168" i="2" s="1"/>
  <c r="AD168" i="2"/>
  <c r="AC168" i="2"/>
  <c r="AB168" i="2"/>
  <c r="AA168" i="2"/>
  <c r="Z168" i="2"/>
  <c r="AE167" i="2"/>
  <c r="AF167" i="2" s="1"/>
  <c r="AD167" i="2"/>
  <c r="AC167" i="2"/>
  <c r="AB167" i="2"/>
  <c r="AA167" i="2"/>
  <c r="Z167" i="2"/>
  <c r="AE166" i="2"/>
  <c r="AF166" i="2" s="1"/>
  <c r="AD166" i="2"/>
  <c r="AC166" i="2"/>
  <c r="AB166" i="2"/>
  <c r="AA166" i="2"/>
  <c r="Z166" i="2"/>
  <c r="AE165" i="2"/>
  <c r="AF165" i="2" s="1"/>
  <c r="AD165" i="2"/>
  <c r="AC165" i="2"/>
  <c r="AB165" i="2"/>
  <c r="AA165" i="2"/>
  <c r="Z165" i="2"/>
  <c r="AE164" i="2"/>
  <c r="AF164" i="2" s="1"/>
  <c r="AD164" i="2"/>
  <c r="AC164" i="2"/>
  <c r="AB164" i="2"/>
  <c r="AA164" i="2"/>
  <c r="Z164" i="2"/>
  <c r="AE163" i="2"/>
  <c r="AF163" i="2" s="1"/>
  <c r="AD163" i="2"/>
  <c r="AC163" i="2"/>
  <c r="AB163" i="2"/>
  <c r="AA163" i="2"/>
  <c r="Z163" i="2"/>
  <c r="AE162" i="2"/>
  <c r="AF162" i="2" s="1"/>
  <c r="AD162" i="2"/>
  <c r="AC162" i="2"/>
  <c r="AB162" i="2"/>
  <c r="AA162" i="2"/>
  <c r="Z162" i="2"/>
  <c r="AE161" i="2"/>
  <c r="AF161" i="2" s="1"/>
  <c r="AD161" i="2"/>
  <c r="AC161" i="2"/>
  <c r="AB161" i="2"/>
  <c r="AA161" i="2"/>
  <c r="Z161" i="2"/>
  <c r="AE160" i="2"/>
  <c r="AF160" i="2" s="1"/>
  <c r="AD160" i="2"/>
  <c r="AC160" i="2"/>
  <c r="AB160" i="2"/>
  <c r="AA160" i="2"/>
  <c r="Z160" i="2"/>
  <c r="AE159" i="2"/>
  <c r="AF159" i="2" s="1"/>
  <c r="AD159" i="2"/>
  <c r="AC159" i="2"/>
  <c r="AB159" i="2"/>
  <c r="AA159" i="2"/>
  <c r="Z159" i="2"/>
  <c r="AE158" i="2"/>
  <c r="AF158" i="2" s="1"/>
  <c r="AD158" i="2"/>
  <c r="AC158" i="2"/>
  <c r="AB158" i="2"/>
  <c r="AA158" i="2"/>
  <c r="Z158" i="2"/>
  <c r="AE157" i="2"/>
  <c r="AF157" i="2" s="1"/>
  <c r="AD157" i="2"/>
  <c r="AC157" i="2"/>
  <c r="AB157" i="2"/>
  <c r="AA157" i="2"/>
  <c r="Z157" i="2"/>
  <c r="AE156" i="2"/>
  <c r="AF156" i="2" s="1"/>
  <c r="AD156" i="2"/>
  <c r="AC156" i="2"/>
  <c r="AB156" i="2"/>
  <c r="AA156" i="2"/>
  <c r="Z156" i="2"/>
  <c r="AE155" i="2"/>
  <c r="AF155" i="2" s="1"/>
  <c r="AD155" i="2"/>
  <c r="AC155" i="2"/>
  <c r="AB155" i="2"/>
  <c r="AA155" i="2"/>
  <c r="Z155" i="2"/>
  <c r="AE154" i="2"/>
  <c r="AF154" i="2" s="1"/>
  <c r="AD154" i="2"/>
  <c r="AC154" i="2"/>
  <c r="AB154" i="2"/>
  <c r="AA154" i="2"/>
  <c r="Z154" i="2"/>
  <c r="AE153" i="2"/>
  <c r="AF153" i="2" s="1"/>
  <c r="AD153" i="2"/>
  <c r="AC153" i="2"/>
  <c r="AB153" i="2"/>
  <c r="AA153" i="2"/>
  <c r="Z153" i="2"/>
  <c r="AE152" i="2"/>
  <c r="AF152" i="2" s="1"/>
  <c r="AD152" i="2"/>
  <c r="AC152" i="2"/>
  <c r="AB152" i="2"/>
  <c r="AA152" i="2"/>
  <c r="Z152" i="2"/>
  <c r="AE151" i="2"/>
  <c r="AF151" i="2" s="1"/>
  <c r="AD151" i="2"/>
  <c r="AC151" i="2"/>
  <c r="AB151" i="2"/>
  <c r="AA151" i="2"/>
  <c r="Z151" i="2"/>
  <c r="AE150" i="2"/>
  <c r="AF150" i="2" s="1"/>
  <c r="AD150" i="2"/>
  <c r="AC150" i="2"/>
  <c r="AB150" i="2"/>
  <c r="AA150" i="2"/>
  <c r="Z150" i="2"/>
  <c r="AE149" i="2"/>
  <c r="AF149" i="2" s="1"/>
  <c r="AD149" i="2"/>
  <c r="AC149" i="2"/>
  <c r="AB149" i="2"/>
  <c r="AA149" i="2"/>
  <c r="Z149" i="2"/>
  <c r="AE148" i="2"/>
  <c r="AF148" i="2" s="1"/>
  <c r="AD148" i="2"/>
  <c r="AC148" i="2"/>
  <c r="AB148" i="2"/>
  <c r="AA148" i="2"/>
  <c r="Z148" i="2"/>
  <c r="AE147" i="2"/>
  <c r="AF147" i="2" s="1"/>
  <c r="AD147" i="2"/>
  <c r="AC147" i="2"/>
  <c r="AB147" i="2"/>
  <c r="AA147" i="2"/>
  <c r="Z147" i="2"/>
  <c r="AE146" i="2"/>
  <c r="AF146" i="2" s="1"/>
  <c r="AD146" i="2"/>
  <c r="AC146" i="2"/>
  <c r="AB146" i="2"/>
  <c r="AA146" i="2"/>
  <c r="Z146" i="2"/>
  <c r="AE145" i="2"/>
  <c r="AF145" i="2" s="1"/>
  <c r="AD145" i="2"/>
  <c r="AC145" i="2"/>
  <c r="AB145" i="2"/>
  <c r="AA145" i="2"/>
  <c r="Z145" i="2"/>
  <c r="AE144" i="2"/>
  <c r="AF144" i="2" s="1"/>
  <c r="AD144" i="2"/>
  <c r="AC144" i="2"/>
  <c r="AB144" i="2"/>
  <c r="AA144" i="2"/>
  <c r="Z144" i="2"/>
  <c r="AE143" i="2"/>
  <c r="AF143" i="2" s="1"/>
  <c r="AD143" i="2"/>
  <c r="AC143" i="2"/>
  <c r="AB143" i="2"/>
  <c r="AA143" i="2"/>
  <c r="Z143" i="2"/>
  <c r="AE142" i="2"/>
  <c r="AF142" i="2" s="1"/>
  <c r="AD142" i="2"/>
  <c r="AC142" i="2"/>
  <c r="AB142" i="2"/>
  <c r="AA142" i="2"/>
  <c r="Z142" i="2"/>
  <c r="AE141" i="2"/>
  <c r="AF141" i="2" s="1"/>
  <c r="AD141" i="2"/>
  <c r="AC141" i="2"/>
  <c r="AB141" i="2"/>
  <c r="AA141" i="2"/>
  <c r="Z141" i="2"/>
  <c r="AE140" i="2"/>
  <c r="AF140" i="2" s="1"/>
  <c r="AD140" i="2"/>
  <c r="AC140" i="2"/>
  <c r="AB140" i="2"/>
  <c r="AA140" i="2"/>
  <c r="Z140" i="2"/>
  <c r="AE139" i="2"/>
  <c r="AF139" i="2" s="1"/>
  <c r="AD139" i="2"/>
  <c r="AC139" i="2"/>
  <c r="AB139" i="2"/>
  <c r="AA139" i="2"/>
  <c r="Z139" i="2"/>
  <c r="AE138" i="2"/>
  <c r="AF138" i="2" s="1"/>
  <c r="AD138" i="2"/>
  <c r="AC138" i="2"/>
  <c r="AB138" i="2"/>
  <c r="AA138" i="2"/>
  <c r="Z138" i="2"/>
  <c r="AE137" i="2"/>
  <c r="AF137" i="2" s="1"/>
  <c r="AD137" i="2"/>
  <c r="AC137" i="2"/>
  <c r="AB137" i="2"/>
  <c r="AA137" i="2"/>
  <c r="Z137" i="2"/>
  <c r="AE136" i="2"/>
  <c r="AF136" i="2" s="1"/>
  <c r="AD136" i="2"/>
  <c r="AC136" i="2"/>
  <c r="AB136" i="2"/>
  <c r="AA136" i="2"/>
  <c r="Z136" i="2"/>
  <c r="AE135" i="2"/>
  <c r="AF135" i="2" s="1"/>
  <c r="AD135" i="2"/>
  <c r="AC135" i="2"/>
  <c r="AB135" i="2"/>
  <c r="AA135" i="2"/>
  <c r="Z135" i="2"/>
  <c r="AE134" i="2"/>
  <c r="AF134" i="2" s="1"/>
  <c r="AD134" i="2"/>
  <c r="AC134" i="2"/>
  <c r="AB134" i="2"/>
  <c r="AA134" i="2"/>
  <c r="Z134" i="2"/>
  <c r="AE133" i="2"/>
  <c r="AF133" i="2" s="1"/>
  <c r="AD133" i="2"/>
  <c r="AC133" i="2"/>
  <c r="AB133" i="2"/>
  <c r="AA133" i="2"/>
  <c r="Z133" i="2"/>
  <c r="AE132" i="2"/>
  <c r="AF132" i="2" s="1"/>
  <c r="AD132" i="2"/>
  <c r="AC132" i="2"/>
  <c r="AB132" i="2"/>
  <c r="AA132" i="2"/>
  <c r="Z132" i="2"/>
  <c r="AE131" i="2"/>
  <c r="AF131" i="2" s="1"/>
  <c r="AD131" i="2"/>
  <c r="AC131" i="2"/>
  <c r="AB131" i="2"/>
  <c r="AA131" i="2"/>
  <c r="Z131" i="2"/>
  <c r="AE130" i="2"/>
  <c r="AF130" i="2" s="1"/>
  <c r="AD130" i="2"/>
  <c r="AC130" i="2"/>
  <c r="AB130" i="2"/>
  <c r="AA130" i="2"/>
  <c r="Z130" i="2"/>
  <c r="AE129" i="2"/>
  <c r="AF129" i="2" s="1"/>
  <c r="AD129" i="2"/>
  <c r="AC129" i="2"/>
  <c r="AB129" i="2"/>
  <c r="AA129" i="2"/>
  <c r="Z129" i="2"/>
  <c r="AE128" i="2"/>
  <c r="AF128" i="2" s="1"/>
  <c r="AD128" i="2"/>
  <c r="AC128" i="2"/>
  <c r="AB128" i="2"/>
  <c r="AA128" i="2"/>
  <c r="Z128" i="2"/>
  <c r="AE127" i="2"/>
  <c r="AF127" i="2" s="1"/>
  <c r="AD127" i="2"/>
  <c r="AC127" i="2"/>
  <c r="AB127" i="2"/>
  <c r="AA127" i="2"/>
  <c r="Z127" i="2"/>
  <c r="AE126" i="2"/>
  <c r="AF126" i="2" s="1"/>
  <c r="AD126" i="2"/>
  <c r="AC126" i="2"/>
  <c r="AB126" i="2"/>
  <c r="AA126" i="2"/>
  <c r="Z126" i="2"/>
  <c r="AE125" i="2"/>
  <c r="AF125" i="2" s="1"/>
  <c r="AD125" i="2"/>
  <c r="AC125" i="2"/>
  <c r="AB125" i="2"/>
  <c r="AA125" i="2"/>
  <c r="Z125" i="2"/>
  <c r="AE124" i="2"/>
  <c r="AF124" i="2" s="1"/>
  <c r="AD124" i="2"/>
  <c r="AC124" i="2"/>
  <c r="AB124" i="2"/>
  <c r="AA124" i="2"/>
  <c r="Z124" i="2"/>
  <c r="AE123" i="2"/>
  <c r="AF123" i="2" s="1"/>
  <c r="AD123" i="2"/>
  <c r="AC123" i="2"/>
  <c r="AB123" i="2"/>
  <c r="AA123" i="2"/>
  <c r="Z123" i="2"/>
  <c r="AE122" i="2"/>
  <c r="AF122" i="2" s="1"/>
  <c r="AD122" i="2"/>
  <c r="AC122" i="2"/>
  <c r="AB122" i="2"/>
  <c r="AA122" i="2"/>
  <c r="Z122" i="2"/>
  <c r="AE121" i="2"/>
  <c r="AF121" i="2" s="1"/>
  <c r="AD121" i="2"/>
  <c r="AC121" i="2"/>
  <c r="AB121" i="2"/>
  <c r="AA121" i="2"/>
  <c r="Z121" i="2"/>
  <c r="AE120" i="2"/>
  <c r="AF120" i="2" s="1"/>
  <c r="AD120" i="2"/>
  <c r="AC120" i="2"/>
  <c r="AB120" i="2"/>
  <c r="AA120" i="2"/>
  <c r="Z120" i="2"/>
  <c r="AE119" i="2"/>
  <c r="AF119" i="2" s="1"/>
  <c r="AD119" i="2"/>
  <c r="AC119" i="2"/>
  <c r="AB119" i="2"/>
  <c r="AA119" i="2"/>
  <c r="Z119" i="2"/>
  <c r="AE118" i="2"/>
  <c r="AF118" i="2" s="1"/>
  <c r="AD118" i="2"/>
  <c r="AC118" i="2"/>
  <c r="AB118" i="2"/>
  <c r="AA118" i="2"/>
  <c r="Z118" i="2"/>
  <c r="AE117" i="2"/>
  <c r="AF117" i="2" s="1"/>
  <c r="AD117" i="2"/>
  <c r="AC117" i="2"/>
  <c r="AB117" i="2"/>
  <c r="AA117" i="2"/>
  <c r="Z117" i="2"/>
  <c r="AE116" i="2"/>
  <c r="AF116" i="2" s="1"/>
  <c r="AD116" i="2"/>
  <c r="AC116" i="2"/>
  <c r="AB116" i="2"/>
  <c r="AA116" i="2"/>
  <c r="Z116" i="2"/>
  <c r="AE115" i="2"/>
  <c r="AF115" i="2" s="1"/>
  <c r="AD115" i="2"/>
  <c r="AC115" i="2"/>
  <c r="AB115" i="2"/>
  <c r="AA115" i="2"/>
  <c r="Z115" i="2"/>
  <c r="AE114" i="2"/>
  <c r="AF114" i="2" s="1"/>
  <c r="AD114" i="2"/>
  <c r="AC114" i="2"/>
  <c r="AB114" i="2"/>
  <c r="AA114" i="2"/>
  <c r="Z114" i="2"/>
  <c r="AE113" i="2"/>
  <c r="AF113" i="2" s="1"/>
  <c r="AD113" i="2"/>
  <c r="AC113" i="2"/>
  <c r="AB113" i="2"/>
  <c r="AA113" i="2"/>
  <c r="Z113" i="2"/>
  <c r="AE112" i="2"/>
  <c r="AF112" i="2" s="1"/>
  <c r="AD112" i="2"/>
  <c r="AC112" i="2"/>
  <c r="AB112" i="2"/>
  <c r="AA112" i="2"/>
  <c r="Z112" i="2"/>
  <c r="AE111" i="2"/>
  <c r="AF111" i="2" s="1"/>
  <c r="AD111" i="2"/>
  <c r="AC111" i="2"/>
  <c r="AB111" i="2"/>
  <c r="AA111" i="2"/>
  <c r="Z111" i="2"/>
  <c r="AE110" i="2"/>
  <c r="AF110" i="2" s="1"/>
  <c r="AD110" i="2"/>
  <c r="AC110" i="2"/>
  <c r="AB110" i="2"/>
  <c r="AA110" i="2"/>
  <c r="Z110" i="2"/>
  <c r="AE109" i="2"/>
  <c r="AF109" i="2" s="1"/>
  <c r="AD109" i="2"/>
  <c r="AC109" i="2"/>
  <c r="AB109" i="2"/>
  <c r="AA109" i="2"/>
  <c r="Z109" i="2"/>
  <c r="AE108" i="2"/>
  <c r="AF108" i="2" s="1"/>
  <c r="AD108" i="2"/>
  <c r="AC108" i="2"/>
  <c r="AB108" i="2"/>
  <c r="AA108" i="2"/>
  <c r="Z108" i="2"/>
  <c r="AE107" i="2"/>
  <c r="AF107" i="2" s="1"/>
  <c r="AD107" i="2"/>
  <c r="AC107" i="2"/>
  <c r="AB107" i="2"/>
  <c r="AA107" i="2"/>
  <c r="Z107" i="2"/>
  <c r="AE106" i="2"/>
  <c r="AF106" i="2" s="1"/>
  <c r="AD106" i="2"/>
  <c r="AC106" i="2"/>
  <c r="AB106" i="2"/>
  <c r="AA106" i="2"/>
  <c r="Z106" i="2"/>
  <c r="AE105" i="2"/>
  <c r="AF105" i="2" s="1"/>
  <c r="AD105" i="2"/>
  <c r="AC105" i="2"/>
  <c r="AB105" i="2"/>
  <c r="AA105" i="2"/>
  <c r="Z105" i="2"/>
  <c r="AE104" i="2"/>
  <c r="AF104" i="2" s="1"/>
  <c r="AD104" i="2"/>
  <c r="AC104" i="2"/>
  <c r="AB104" i="2"/>
  <c r="AA104" i="2"/>
  <c r="Z104" i="2"/>
  <c r="AE103" i="2"/>
  <c r="AF103" i="2" s="1"/>
  <c r="AD103" i="2"/>
  <c r="AC103" i="2"/>
  <c r="AB103" i="2"/>
  <c r="AA103" i="2"/>
  <c r="Z103" i="2"/>
  <c r="AE102" i="2"/>
  <c r="AF102" i="2" s="1"/>
  <c r="AD102" i="2"/>
  <c r="AC102" i="2"/>
  <c r="AB102" i="2"/>
  <c r="AA102" i="2"/>
  <c r="Z102" i="2"/>
  <c r="AE101" i="2"/>
  <c r="AF101" i="2" s="1"/>
  <c r="AD101" i="2"/>
  <c r="AC101" i="2"/>
  <c r="AB101" i="2"/>
  <c r="AA101" i="2"/>
  <c r="Z101" i="2"/>
  <c r="AE100" i="2"/>
  <c r="AF100" i="2" s="1"/>
  <c r="AD100" i="2"/>
  <c r="AC100" i="2"/>
  <c r="AB100" i="2"/>
  <c r="AA100" i="2"/>
  <c r="Z100" i="2"/>
  <c r="AE99" i="2"/>
  <c r="AF99" i="2" s="1"/>
  <c r="AD99" i="2"/>
  <c r="AC99" i="2"/>
  <c r="AB99" i="2"/>
  <c r="AA99" i="2"/>
  <c r="Z99" i="2"/>
  <c r="AE98" i="2"/>
  <c r="AF98" i="2" s="1"/>
  <c r="AD98" i="2"/>
  <c r="AC98" i="2"/>
  <c r="AB98" i="2"/>
  <c r="AA98" i="2"/>
  <c r="Z98" i="2"/>
  <c r="AE97" i="2"/>
  <c r="AF97" i="2" s="1"/>
  <c r="AD97" i="2"/>
  <c r="AC97" i="2"/>
  <c r="AB97" i="2"/>
  <c r="AA97" i="2"/>
  <c r="Z97" i="2"/>
  <c r="AE96" i="2"/>
  <c r="AF96" i="2" s="1"/>
  <c r="AD96" i="2"/>
  <c r="AC96" i="2"/>
  <c r="AB96" i="2"/>
  <c r="AA96" i="2"/>
  <c r="Z96" i="2"/>
  <c r="AE95" i="2"/>
  <c r="AF95" i="2" s="1"/>
  <c r="AD95" i="2"/>
  <c r="AC95" i="2"/>
  <c r="AB95" i="2"/>
  <c r="AA95" i="2"/>
  <c r="Z95" i="2"/>
  <c r="AE94" i="2"/>
  <c r="AF94" i="2" s="1"/>
  <c r="AD94" i="2"/>
  <c r="AC94" i="2"/>
  <c r="AB94" i="2"/>
  <c r="AA94" i="2"/>
  <c r="Z94" i="2"/>
  <c r="AE93" i="2"/>
  <c r="AF93" i="2" s="1"/>
  <c r="AD93" i="2"/>
  <c r="AC93" i="2"/>
  <c r="AB93" i="2"/>
  <c r="AA93" i="2"/>
  <c r="Z93" i="2"/>
  <c r="AE92" i="2"/>
  <c r="AF92" i="2" s="1"/>
  <c r="AD92" i="2"/>
  <c r="AC92" i="2"/>
  <c r="AB92" i="2"/>
  <c r="AA92" i="2"/>
  <c r="Z92" i="2"/>
  <c r="AE91" i="2"/>
  <c r="AF91" i="2" s="1"/>
  <c r="AD91" i="2"/>
  <c r="AC91" i="2"/>
  <c r="AB91" i="2"/>
  <c r="AA91" i="2"/>
  <c r="Z91" i="2"/>
  <c r="AE90" i="2"/>
  <c r="AF90" i="2" s="1"/>
  <c r="AD90" i="2"/>
  <c r="AC90" i="2"/>
  <c r="AB90" i="2"/>
  <c r="AA90" i="2"/>
  <c r="Z90" i="2"/>
  <c r="AE89" i="2"/>
  <c r="AF89" i="2" s="1"/>
  <c r="AD89" i="2"/>
  <c r="AC89" i="2"/>
  <c r="AB89" i="2"/>
  <c r="AA89" i="2"/>
  <c r="Z89" i="2"/>
  <c r="AE88" i="2"/>
  <c r="AF88" i="2" s="1"/>
  <c r="AD88" i="2"/>
  <c r="AC88" i="2"/>
  <c r="AB88" i="2"/>
  <c r="AA88" i="2"/>
  <c r="Z88" i="2"/>
  <c r="AE87" i="2"/>
  <c r="AF87" i="2" s="1"/>
  <c r="AD87" i="2"/>
  <c r="AC87" i="2"/>
  <c r="AB87" i="2"/>
  <c r="AA87" i="2"/>
  <c r="Z87" i="2"/>
  <c r="AE86" i="2"/>
  <c r="AF86" i="2" s="1"/>
  <c r="AD86" i="2"/>
  <c r="AC86" i="2"/>
  <c r="AB86" i="2"/>
  <c r="AA86" i="2"/>
  <c r="Z86" i="2"/>
  <c r="AE85" i="2"/>
  <c r="AF85" i="2" s="1"/>
  <c r="AD85" i="2"/>
  <c r="AC85" i="2"/>
  <c r="AB85" i="2"/>
  <c r="AA85" i="2"/>
  <c r="Z85" i="2"/>
  <c r="AE84" i="2"/>
  <c r="AF84" i="2" s="1"/>
  <c r="AD84" i="2"/>
  <c r="AC84" i="2"/>
  <c r="AB84" i="2"/>
  <c r="AA84" i="2"/>
  <c r="Z84" i="2"/>
  <c r="AE83" i="2"/>
  <c r="AF83" i="2" s="1"/>
  <c r="AD83" i="2"/>
  <c r="AC83" i="2"/>
  <c r="AB83" i="2"/>
  <c r="AA83" i="2"/>
  <c r="Z83" i="2"/>
  <c r="AE82" i="2"/>
  <c r="AF82" i="2" s="1"/>
  <c r="AD82" i="2"/>
  <c r="AC82" i="2"/>
  <c r="AB82" i="2"/>
  <c r="AA82" i="2"/>
  <c r="Z82" i="2"/>
  <c r="AE81" i="2"/>
  <c r="AF81" i="2" s="1"/>
  <c r="AD81" i="2"/>
  <c r="AC81" i="2"/>
  <c r="AB81" i="2"/>
  <c r="AA81" i="2"/>
  <c r="Z81" i="2"/>
  <c r="AE80" i="2"/>
  <c r="AF80" i="2" s="1"/>
  <c r="AD80" i="2"/>
  <c r="AC80" i="2"/>
  <c r="AB80" i="2"/>
  <c r="AA80" i="2"/>
  <c r="Z80" i="2"/>
  <c r="AE79" i="2"/>
  <c r="AF79" i="2" s="1"/>
  <c r="AD79" i="2"/>
  <c r="AC79" i="2"/>
  <c r="AB79" i="2"/>
  <c r="AA79" i="2"/>
  <c r="Z79" i="2"/>
  <c r="AE78" i="2"/>
  <c r="AF78" i="2" s="1"/>
  <c r="AD78" i="2"/>
  <c r="AC78" i="2"/>
  <c r="AB78" i="2"/>
  <c r="AA78" i="2"/>
  <c r="Z78" i="2"/>
  <c r="AE77" i="2"/>
  <c r="AF77" i="2" s="1"/>
  <c r="AD77" i="2"/>
  <c r="AC77" i="2"/>
  <c r="AB77" i="2"/>
  <c r="AA77" i="2"/>
  <c r="Z77" i="2"/>
  <c r="AE76" i="2"/>
  <c r="AF76" i="2" s="1"/>
  <c r="AD76" i="2"/>
  <c r="AC76" i="2"/>
  <c r="AB76" i="2"/>
  <c r="AA76" i="2"/>
  <c r="Z76" i="2"/>
  <c r="AE75" i="2"/>
  <c r="AF75" i="2" s="1"/>
  <c r="AD75" i="2"/>
  <c r="AC75" i="2"/>
  <c r="AB75" i="2"/>
  <c r="AA75" i="2"/>
  <c r="Z75" i="2"/>
  <c r="AE74" i="2"/>
  <c r="AF74" i="2" s="1"/>
  <c r="AD74" i="2"/>
  <c r="AC74" i="2"/>
  <c r="AB74" i="2"/>
  <c r="AA74" i="2"/>
  <c r="Z74" i="2"/>
  <c r="AE73" i="2"/>
  <c r="AF73" i="2" s="1"/>
  <c r="AD73" i="2"/>
  <c r="AC73" i="2"/>
  <c r="AB73" i="2"/>
  <c r="AA73" i="2"/>
  <c r="Z73" i="2"/>
  <c r="AE72" i="2"/>
  <c r="AF72" i="2" s="1"/>
  <c r="AD72" i="2"/>
  <c r="AC72" i="2"/>
  <c r="AB72" i="2"/>
  <c r="AA72" i="2"/>
  <c r="Z72" i="2"/>
  <c r="AE71" i="2"/>
  <c r="AF71" i="2" s="1"/>
  <c r="AD71" i="2"/>
  <c r="AC71" i="2"/>
  <c r="AB71" i="2"/>
  <c r="AA71" i="2"/>
  <c r="Z71" i="2"/>
  <c r="AE70" i="2"/>
  <c r="AF70" i="2" s="1"/>
  <c r="AD70" i="2"/>
  <c r="AC70" i="2"/>
  <c r="AB70" i="2"/>
  <c r="AA70" i="2"/>
  <c r="Z70" i="2"/>
  <c r="AE69" i="2"/>
  <c r="AF69" i="2" s="1"/>
  <c r="AD69" i="2"/>
  <c r="AC69" i="2"/>
  <c r="AB69" i="2"/>
  <c r="AA69" i="2"/>
  <c r="Z69" i="2"/>
  <c r="AE68" i="2"/>
  <c r="AF68" i="2" s="1"/>
  <c r="AD68" i="2"/>
  <c r="AC68" i="2"/>
  <c r="AB68" i="2"/>
  <c r="AA68" i="2"/>
  <c r="Z68" i="2"/>
  <c r="AE67" i="2"/>
  <c r="AF67" i="2" s="1"/>
  <c r="AD67" i="2"/>
  <c r="AC67" i="2"/>
  <c r="AB67" i="2"/>
  <c r="AA67" i="2"/>
  <c r="Z67" i="2"/>
  <c r="AE66" i="2"/>
  <c r="AF66" i="2" s="1"/>
  <c r="AD66" i="2"/>
  <c r="AC66" i="2"/>
  <c r="AB66" i="2"/>
  <c r="AA66" i="2"/>
  <c r="Z66" i="2"/>
  <c r="AE65" i="2"/>
  <c r="AF65" i="2" s="1"/>
  <c r="AD65" i="2"/>
  <c r="AC65" i="2"/>
  <c r="AB65" i="2"/>
  <c r="AA65" i="2"/>
  <c r="Z65" i="2"/>
  <c r="AE64" i="2"/>
  <c r="AF64" i="2" s="1"/>
  <c r="AD64" i="2"/>
  <c r="AC64" i="2"/>
  <c r="AB64" i="2"/>
  <c r="AA64" i="2"/>
  <c r="Z64" i="2"/>
  <c r="AE63" i="2"/>
  <c r="AF63" i="2" s="1"/>
  <c r="AD63" i="2"/>
  <c r="AC63" i="2"/>
  <c r="AB63" i="2"/>
  <c r="AA63" i="2"/>
  <c r="Z63" i="2"/>
  <c r="AE62" i="2"/>
  <c r="AF62" i="2" s="1"/>
  <c r="AD62" i="2"/>
  <c r="AC62" i="2"/>
  <c r="AB62" i="2"/>
  <c r="AA62" i="2"/>
  <c r="Z62" i="2"/>
  <c r="AE61" i="2"/>
  <c r="AF61" i="2" s="1"/>
  <c r="AD61" i="2"/>
  <c r="AC61" i="2"/>
  <c r="AB61" i="2"/>
  <c r="AA61" i="2"/>
  <c r="Z61" i="2"/>
  <c r="AE60" i="2"/>
  <c r="AF60" i="2" s="1"/>
  <c r="AD60" i="2"/>
  <c r="AC60" i="2"/>
  <c r="AB60" i="2"/>
  <c r="AA60" i="2"/>
  <c r="Z60" i="2"/>
  <c r="AE59" i="2"/>
  <c r="AF59" i="2" s="1"/>
  <c r="AD59" i="2"/>
  <c r="AC59" i="2"/>
  <c r="AB59" i="2"/>
  <c r="AA59" i="2"/>
  <c r="Z59" i="2"/>
  <c r="AE58" i="2"/>
  <c r="AF58" i="2" s="1"/>
  <c r="AD58" i="2"/>
  <c r="AC58" i="2"/>
  <c r="AB58" i="2"/>
  <c r="AA58" i="2"/>
  <c r="Z58" i="2"/>
  <c r="AE57" i="2"/>
  <c r="AF57" i="2" s="1"/>
  <c r="AD57" i="2"/>
  <c r="AC57" i="2"/>
  <c r="AB57" i="2"/>
  <c r="AA57" i="2"/>
  <c r="Z57" i="2"/>
  <c r="AE56" i="2"/>
  <c r="AF56" i="2" s="1"/>
  <c r="AD56" i="2"/>
  <c r="AC56" i="2"/>
  <c r="AB56" i="2"/>
  <c r="AA56" i="2"/>
  <c r="Z56" i="2"/>
  <c r="AE55" i="2"/>
  <c r="AF55" i="2" s="1"/>
  <c r="AD55" i="2"/>
  <c r="AC55" i="2"/>
  <c r="AB55" i="2"/>
  <c r="AA55" i="2"/>
  <c r="Z55" i="2"/>
  <c r="AE54" i="2"/>
  <c r="AF54" i="2" s="1"/>
  <c r="AD54" i="2"/>
  <c r="AC54" i="2"/>
  <c r="AB54" i="2"/>
  <c r="AA54" i="2"/>
  <c r="Z54" i="2"/>
  <c r="AE53" i="2"/>
  <c r="AF53" i="2" s="1"/>
  <c r="AD53" i="2"/>
  <c r="AC53" i="2"/>
  <c r="AB53" i="2"/>
  <c r="AA53" i="2"/>
  <c r="Z53" i="2"/>
  <c r="AE52" i="2"/>
  <c r="AF52" i="2" s="1"/>
  <c r="AD52" i="2"/>
  <c r="AC52" i="2"/>
  <c r="AB52" i="2"/>
  <c r="AA52" i="2"/>
  <c r="Z52" i="2"/>
  <c r="AE51" i="2"/>
  <c r="AF51" i="2" s="1"/>
  <c r="AD51" i="2"/>
  <c r="AC51" i="2"/>
  <c r="AB51" i="2"/>
  <c r="AA51" i="2"/>
  <c r="Z51" i="2"/>
  <c r="AF50" i="2"/>
  <c r="AE50" i="2"/>
  <c r="AD50" i="2"/>
  <c r="AC50" i="2"/>
  <c r="AB50" i="2"/>
  <c r="AA50" i="2"/>
  <c r="Z50" i="2"/>
  <c r="AE49" i="2"/>
  <c r="AF49" i="2" s="1"/>
  <c r="AD49" i="2"/>
  <c r="AC49" i="2"/>
  <c r="AB49" i="2"/>
  <c r="AA49" i="2"/>
  <c r="Z49" i="2"/>
  <c r="AE48" i="2"/>
  <c r="AF48" i="2" s="1"/>
  <c r="AD48" i="2"/>
  <c r="AC48" i="2"/>
  <c r="AB48" i="2"/>
  <c r="AA48" i="2"/>
  <c r="Z48" i="2"/>
  <c r="AE47" i="2"/>
  <c r="AF47" i="2" s="1"/>
  <c r="AD47" i="2"/>
  <c r="AC47" i="2"/>
  <c r="AB47" i="2"/>
  <c r="AA47" i="2"/>
  <c r="Z47" i="2"/>
  <c r="AE46" i="2"/>
  <c r="AF46" i="2" s="1"/>
  <c r="AD46" i="2"/>
  <c r="AC46" i="2"/>
  <c r="AB46" i="2"/>
  <c r="AA46" i="2"/>
  <c r="Z46" i="2"/>
  <c r="AE45" i="2"/>
  <c r="AF45" i="2" s="1"/>
  <c r="AD45" i="2"/>
  <c r="AC45" i="2"/>
  <c r="AB45" i="2"/>
  <c r="AA45" i="2"/>
  <c r="Z45" i="2"/>
  <c r="AE44" i="2"/>
  <c r="AF44" i="2" s="1"/>
  <c r="AD44" i="2"/>
  <c r="AC44" i="2"/>
  <c r="AB44" i="2"/>
  <c r="AA44" i="2"/>
  <c r="Z44" i="2"/>
  <c r="AE43" i="2"/>
  <c r="AF43" i="2" s="1"/>
  <c r="AD43" i="2"/>
  <c r="AC43" i="2"/>
  <c r="AB43" i="2"/>
  <c r="AA43" i="2"/>
  <c r="Z43" i="2"/>
  <c r="AE42" i="2"/>
  <c r="AF42" i="2" s="1"/>
  <c r="AD42" i="2"/>
  <c r="AC42" i="2"/>
  <c r="AB42" i="2"/>
  <c r="AA42" i="2"/>
  <c r="Z42" i="2"/>
  <c r="AE41" i="2"/>
  <c r="AF41" i="2" s="1"/>
  <c r="AD41" i="2"/>
  <c r="AC41" i="2"/>
  <c r="AB41" i="2"/>
  <c r="AA41" i="2"/>
  <c r="Z41" i="2"/>
  <c r="AE40" i="2"/>
  <c r="AF40" i="2" s="1"/>
  <c r="AD40" i="2"/>
  <c r="AC40" i="2"/>
  <c r="AB40" i="2"/>
  <c r="AA40" i="2"/>
  <c r="Z40" i="2"/>
  <c r="AE39" i="2"/>
  <c r="AF39" i="2" s="1"/>
  <c r="AD39" i="2"/>
  <c r="AC39" i="2"/>
  <c r="AB39" i="2"/>
  <c r="AA39" i="2"/>
  <c r="Z39" i="2"/>
  <c r="AE38" i="2"/>
  <c r="AF38" i="2" s="1"/>
  <c r="AD38" i="2"/>
  <c r="AC38" i="2"/>
  <c r="AB38" i="2"/>
  <c r="AA38" i="2"/>
  <c r="Z38" i="2"/>
  <c r="AE37" i="2"/>
  <c r="AF37" i="2" s="1"/>
  <c r="AD37" i="2"/>
  <c r="AC37" i="2"/>
  <c r="AB37" i="2"/>
  <c r="AA37" i="2"/>
  <c r="Z37" i="2"/>
  <c r="AE36" i="2"/>
  <c r="AF36" i="2" s="1"/>
  <c r="AD36" i="2"/>
  <c r="AC36" i="2"/>
  <c r="AB36" i="2"/>
  <c r="AA36" i="2"/>
  <c r="Z36" i="2"/>
  <c r="AE35" i="2"/>
  <c r="AF35" i="2" s="1"/>
  <c r="AD35" i="2"/>
  <c r="AC35" i="2"/>
  <c r="AB35" i="2"/>
  <c r="AA35" i="2"/>
  <c r="Z35" i="2"/>
  <c r="AE34" i="2"/>
  <c r="AF34" i="2" s="1"/>
  <c r="AD34" i="2"/>
  <c r="AC34" i="2"/>
  <c r="AB34" i="2"/>
  <c r="AA34" i="2"/>
  <c r="Z34" i="2"/>
  <c r="AE33" i="2"/>
  <c r="AF33" i="2" s="1"/>
  <c r="AD33" i="2"/>
  <c r="AC33" i="2"/>
  <c r="AB33" i="2"/>
  <c r="AA33" i="2"/>
  <c r="Z33" i="2"/>
  <c r="AE32" i="2"/>
  <c r="AF32" i="2" s="1"/>
  <c r="AD32" i="2"/>
  <c r="AC32" i="2"/>
  <c r="AB32" i="2"/>
  <c r="AA32" i="2"/>
  <c r="Z32" i="2"/>
  <c r="AE31" i="2"/>
  <c r="AF31" i="2" s="1"/>
  <c r="AD31" i="2"/>
  <c r="AC31" i="2"/>
  <c r="AB31" i="2"/>
  <c r="AA31" i="2"/>
  <c r="Z31" i="2"/>
  <c r="AE30" i="2"/>
  <c r="AF30" i="2" s="1"/>
  <c r="AD30" i="2"/>
  <c r="AC30" i="2"/>
  <c r="AB30" i="2"/>
  <c r="AA30" i="2"/>
  <c r="Z30" i="2"/>
  <c r="AE29" i="2"/>
  <c r="AF29" i="2" s="1"/>
  <c r="AD29" i="2"/>
  <c r="AC29" i="2"/>
  <c r="AB29" i="2"/>
  <c r="AA29" i="2"/>
  <c r="Z29" i="2"/>
  <c r="AE28" i="2"/>
  <c r="AF28" i="2" s="1"/>
  <c r="AD28" i="2"/>
  <c r="AC28" i="2"/>
  <c r="AB28" i="2"/>
  <c r="AA28" i="2"/>
  <c r="Z28" i="2"/>
  <c r="AE27" i="2"/>
  <c r="AF27" i="2" s="1"/>
  <c r="AD27" i="2"/>
  <c r="AC27" i="2"/>
  <c r="AB27" i="2"/>
  <c r="AA27" i="2"/>
  <c r="Z27" i="2"/>
  <c r="AE26" i="2"/>
  <c r="AF26" i="2" s="1"/>
  <c r="AD26" i="2"/>
  <c r="AC26" i="2"/>
  <c r="AB26" i="2"/>
  <c r="AA26" i="2"/>
  <c r="Z26" i="2"/>
  <c r="AE25" i="2"/>
  <c r="AF25" i="2" s="1"/>
  <c r="AD25" i="2"/>
  <c r="AC25" i="2"/>
  <c r="AB25" i="2"/>
  <c r="AA25" i="2"/>
  <c r="Z25" i="2"/>
  <c r="AE24" i="2"/>
  <c r="AF24" i="2" s="1"/>
  <c r="AD24" i="2"/>
  <c r="AC24" i="2"/>
  <c r="AB24" i="2"/>
  <c r="AA24" i="2"/>
  <c r="Z24" i="2"/>
  <c r="AE23" i="2"/>
  <c r="AF23" i="2" s="1"/>
  <c r="AD23" i="2"/>
  <c r="AC23" i="2"/>
  <c r="AB23" i="2"/>
  <c r="AA23" i="2"/>
  <c r="Z23" i="2"/>
  <c r="AE22" i="2"/>
  <c r="AF22" i="2" s="1"/>
  <c r="AD22" i="2"/>
  <c r="AC22" i="2"/>
  <c r="AB22" i="2"/>
  <c r="AA22" i="2"/>
  <c r="Z22" i="2"/>
  <c r="AE21" i="2"/>
  <c r="AF21" i="2" s="1"/>
  <c r="AD21" i="2"/>
  <c r="AC21" i="2"/>
  <c r="AB21" i="2"/>
  <c r="AA21" i="2"/>
  <c r="Z21" i="2"/>
  <c r="AE20" i="2"/>
  <c r="AF20" i="2" s="1"/>
  <c r="AD20" i="2"/>
  <c r="AC20" i="2"/>
  <c r="AB20" i="2"/>
  <c r="AA20" i="2"/>
  <c r="Z20" i="2"/>
  <c r="AE19" i="2"/>
  <c r="AF19" i="2" s="1"/>
  <c r="AD19" i="2"/>
  <c r="AC19" i="2"/>
  <c r="AB19" i="2"/>
  <c r="AA19" i="2"/>
  <c r="Z19" i="2"/>
  <c r="AE18" i="2"/>
  <c r="AF18" i="2" s="1"/>
  <c r="AD18" i="2"/>
  <c r="AC18" i="2"/>
  <c r="AB18" i="2"/>
  <c r="AA18" i="2"/>
  <c r="Z18" i="2"/>
  <c r="AE17" i="2"/>
  <c r="AF17" i="2" s="1"/>
  <c r="AD17" i="2"/>
  <c r="AC17" i="2"/>
  <c r="AB17" i="2"/>
  <c r="AA17" i="2"/>
  <c r="Z17" i="2"/>
  <c r="AE16" i="2"/>
  <c r="AF16" i="2" s="1"/>
  <c r="AD16" i="2"/>
  <c r="AC16" i="2"/>
  <c r="AB16" i="2"/>
  <c r="AA16" i="2"/>
  <c r="Z16" i="2"/>
  <c r="AE15" i="2"/>
  <c r="AF15" i="2" s="1"/>
  <c r="AD15" i="2"/>
  <c r="AC15" i="2"/>
  <c r="AB15" i="2"/>
  <c r="AA15" i="2"/>
  <c r="Z15" i="2"/>
  <c r="AE14" i="2"/>
  <c r="AF14" i="2" s="1"/>
  <c r="AD14" i="2"/>
  <c r="AC14" i="2"/>
  <c r="AB14" i="2"/>
  <c r="AA14" i="2"/>
  <c r="Z14" i="2"/>
  <c r="AE13" i="2"/>
  <c r="AF13" i="2" s="1"/>
  <c r="AD13" i="2"/>
  <c r="AC13" i="2"/>
  <c r="AB13" i="2"/>
  <c r="AA13" i="2"/>
  <c r="Z13" i="2"/>
  <c r="AE12" i="2"/>
  <c r="AF12" i="2" s="1"/>
  <c r="AD12" i="2"/>
  <c r="AC12" i="2"/>
  <c r="AB12" i="2"/>
  <c r="AA12" i="2"/>
  <c r="Z12" i="2"/>
  <c r="AE11" i="2"/>
  <c r="AF11" i="2" s="1"/>
  <c r="AD11" i="2"/>
  <c r="AC11" i="2"/>
  <c r="AB11" i="2"/>
  <c r="AA11" i="2"/>
  <c r="Z11" i="2"/>
  <c r="AE10" i="2"/>
  <c r="AF10" i="2" s="1"/>
  <c r="AD10" i="2"/>
  <c r="AC10" i="2"/>
  <c r="AB10" i="2"/>
  <c r="AA10" i="2"/>
  <c r="Z10" i="2"/>
  <c r="AE9" i="2"/>
  <c r="AF9" i="2" s="1"/>
  <c r="AD9" i="2"/>
  <c r="AC9" i="2"/>
  <c r="AB9" i="2"/>
  <c r="AA9" i="2"/>
  <c r="Z9" i="2"/>
  <c r="AE8" i="2"/>
  <c r="AF8" i="2" s="1"/>
  <c r="AD8" i="2"/>
  <c r="AC8" i="2"/>
  <c r="AB8" i="2"/>
  <c r="AA8" i="2"/>
  <c r="Z8" i="2"/>
  <c r="AE7" i="2"/>
  <c r="AF7" i="2" s="1"/>
  <c r="AD7" i="2"/>
  <c r="AC7" i="2"/>
  <c r="AB7" i="2"/>
  <c r="AA7" i="2"/>
  <c r="Z7" i="2"/>
  <c r="AE6" i="2"/>
  <c r="AF6" i="2" s="1"/>
  <c r="AD6" i="2"/>
  <c r="AC6" i="2"/>
  <c r="AB6" i="2"/>
  <c r="AA6" i="2"/>
  <c r="Z6" i="2"/>
  <c r="AE5" i="2"/>
  <c r="AF5" i="2" s="1"/>
  <c r="AD5" i="2"/>
  <c r="AC5" i="2"/>
  <c r="AB5" i="2"/>
  <c r="AA5" i="2"/>
  <c r="Z5" i="2"/>
  <c r="AE4" i="2"/>
  <c r="AF4" i="2" s="1"/>
  <c r="AD4" i="2"/>
  <c r="AC4" i="2"/>
  <c r="AB4" i="2"/>
  <c r="AA4" i="2"/>
  <c r="Z4" i="2"/>
  <c r="AE3" i="2"/>
  <c r="AF3" i="2" s="1"/>
  <c r="AD3" i="2"/>
  <c r="AC3" i="2"/>
  <c r="AB3" i="2"/>
  <c r="AA3" i="2"/>
  <c r="Z3" i="2"/>
  <c r="AE2" i="2"/>
  <c r="AF2" i="2" s="1"/>
  <c r="AD2" i="2"/>
  <c r="AC2" i="2"/>
  <c r="AB2" i="2"/>
  <c r="AA2" i="2"/>
  <c r="Z2" i="2"/>
  <c r="AC50" i="1"/>
  <c r="AC434" i="1"/>
  <c r="AB129" i="1"/>
  <c r="AC129" i="1" s="1"/>
  <c r="AB130" i="1"/>
  <c r="AC130" i="1" s="1"/>
  <c r="AB131" i="1"/>
  <c r="AC131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4" i="1"/>
  <c r="AC174" i="1" s="1"/>
  <c r="AB175" i="1"/>
  <c r="AC175" i="1" s="1"/>
  <c r="AB176" i="1"/>
  <c r="AC176" i="1" s="1"/>
  <c r="AB177" i="1"/>
  <c r="AC177" i="1" s="1"/>
  <c r="AB178" i="1"/>
  <c r="AC178" i="1" s="1"/>
  <c r="AB179" i="1"/>
  <c r="AC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AB233" i="1"/>
  <c r="AC233" i="1" s="1"/>
  <c r="AB234" i="1"/>
  <c r="AC234" i="1" s="1"/>
  <c r="AB235" i="1"/>
  <c r="AC235" i="1" s="1"/>
  <c r="AB236" i="1"/>
  <c r="AC236" i="1" s="1"/>
  <c r="AB237" i="1"/>
  <c r="AC237" i="1" s="1"/>
  <c r="AB238" i="1"/>
  <c r="AC238" i="1" s="1"/>
  <c r="AB239" i="1"/>
  <c r="AC239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5" i="1"/>
  <c r="AC245" i="1" s="1"/>
  <c r="AB246" i="1"/>
  <c r="AC246" i="1" s="1"/>
  <c r="AB247" i="1"/>
  <c r="AC247" i="1" s="1"/>
  <c r="AB248" i="1"/>
  <c r="AC248" i="1" s="1"/>
  <c r="AB249" i="1"/>
  <c r="AC249" i="1" s="1"/>
  <c r="AB250" i="1"/>
  <c r="AC250" i="1" s="1"/>
  <c r="AB251" i="1"/>
  <c r="AC251" i="1" s="1"/>
  <c r="AB252" i="1"/>
  <c r="AC252" i="1" s="1"/>
  <c r="AB253" i="1"/>
  <c r="AC253" i="1" s="1"/>
  <c r="AB254" i="1"/>
  <c r="AC254" i="1" s="1"/>
  <c r="AB255" i="1"/>
  <c r="AC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B269" i="1"/>
  <c r="AC269" i="1" s="1"/>
  <c r="AB270" i="1"/>
  <c r="AC270" i="1" s="1"/>
  <c r="AB271" i="1"/>
  <c r="AC271" i="1" s="1"/>
  <c r="AB272" i="1"/>
  <c r="AC272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278" i="1"/>
  <c r="AC278" i="1" s="1"/>
  <c r="AB279" i="1"/>
  <c r="AC279" i="1" s="1"/>
  <c r="AB280" i="1"/>
  <c r="AC280" i="1" s="1"/>
  <c r="AB281" i="1"/>
  <c r="AC281" i="1" s="1"/>
  <c r="AB282" i="1"/>
  <c r="AC282" i="1" s="1"/>
  <c r="AB283" i="1"/>
  <c r="AC283" i="1" s="1"/>
  <c r="AB284" i="1"/>
  <c r="AC284" i="1" s="1"/>
  <c r="AB285" i="1"/>
  <c r="AC285" i="1" s="1"/>
  <c r="AB286" i="1"/>
  <c r="AC286" i="1" s="1"/>
  <c r="AB287" i="1"/>
  <c r="AC287" i="1" s="1"/>
  <c r="AB288" i="1"/>
  <c r="AC288" i="1" s="1"/>
  <c r="AB289" i="1"/>
  <c r="AC289" i="1" s="1"/>
  <c r="AB290" i="1"/>
  <c r="AC290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301" i="1"/>
  <c r="AC301" i="1" s="1"/>
  <c r="AB302" i="1"/>
  <c r="AC302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B324" i="1"/>
  <c r="AC324" i="1" s="1"/>
  <c r="AB325" i="1"/>
  <c r="AC325" i="1" s="1"/>
  <c r="AB326" i="1"/>
  <c r="AC326" i="1" s="1"/>
  <c r="AB327" i="1"/>
  <c r="AC327" i="1" s="1"/>
  <c r="AB328" i="1"/>
  <c r="AC328" i="1" s="1"/>
  <c r="AB329" i="1"/>
  <c r="AC329" i="1" s="1"/>
  <c r="AB330" i="1"/>
  <c r="AC330" i="1" s="1"/>
  <c r="AB331" i="1"/>
  <c r="AC331" i="1" s="1"/>
  <c r="AB332" i="1"/>
  <c r="AC332" i="1" s="1"/>
  <c r="AB333" i="1"/>
  <c r="AC333" i="1" s="1"/>
  <c r="AB334" i="1"/>
  <c r="AC334" i="1" s="1"/>
  <c r="AB335" i="1"/>
  <c r="AC335" i="1" s="1"/>
  <c r="AB336" i="1"/>
  <c r="AC336" i="1" s="1"/>
  <c r="AB337" i="1"/>
  <c r="AC337" i="1" s="1"/>
  <c r="AB338" i="1"/>
  <c r="AC338" i="1" s="1"/>
  <c r="AB339" i="1"/>
  <c r="AC339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4" i="1"/>
  <c r="AC374" i="1" s="1"/>
  <c r="AB375" i="1"/>
  <c r="AC375" i="1" s="1"/>
  <c r="AB376" i="1"/>
  <c r="AC376" i="1" s="1"/>
  <c r="AB377" i="1"/>
  <c r="AC377" i="1" s="1"/>
  <c r="AB378" i="1"/>
  <c r="AC378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B435" i="1"/>
  <c r="AC435" i="1" s="1"/>
  <c r="AB436" i="1"/>
  <c r="AC436" i="1" s="1"/>
  <c r="AB437" i="1"/>
  <c r="AC437" i="1" s="1"/>
  <c r="AB438" i="1"/>
  <c r="AC438" i="1" s="1"/>
  <c r="AB439" i="1"/>
  <c r="AC439" i="1" s="1"/>
  <c r="AB440" i="1"/>
  <c r="AC440" i="1" s="1"/>
  <c r="AB441" i="1"/>
  <c r="AC441" i="1" s="1"/>
  <c r="AB442" i="1"/>
  <c r="AC442" i="1" s="1"/>
  <c r="AB443" i="1"/>
  <c r="AC443" i="1" s="1"/>
  <c r="AB444" i="1"/>
  <c r="AC444" i="1" s="1"/>
  <c r="AB445" i="1"/>
  <c r="AC445" i="1" s="1"/>
  <c r="AB446" i="1"/>
  <c r="AC446" i="1" s="1"/>
  <c r="AB447" i="1"/>
  <c r="AC447" i="1" s="1"/>
  <c r="AB448" i="1"/>
  <c r="AC448" i="1" s="1"/>
  <c r="AB449" i="1"/>
  <c r="AC449" i="1" s="1"/>
  <c r="AB450" i="1"/>
  <c r="AC450" i="1" s="1"/>
  <c r="AB451" i="1"/>
  <c r="AC451" i="1" s="1"/>
  <c r="AB452" i="1"/>
  <c r="AC452" i="1" s="1"/>
  <c r="AB453" i="1"/>
  <c r="AC453" i="1" s="1"/>
  <c r="AB454" i="1"/>
  <c r="AC454" i="1" s="1"/>
  <c r="AB455" i="1"/>
  <c r="AC455" i="1" s="1"/>
  <c r="AB456" i="1"/>
  <c r="AC456" i="1" s="1"/>
  <c r="AB457" i="1"/>
  <c r="AC457" i="1" s="1"/>
  <c r="AB458" i="1"/>
  <c r="AC458" i="1" s="1"/>
  <c r="AB459" i="1"/>
  <c r="AC459" i="1" s="1"/>
  <c r="AB460" i="1"/>
  <c r="AC460" i="1" s="1"/>
  <c r="AB461" i="1"/>
  <c r="AC461" i="1" s="1"/>
  <c r="AB462" i="1"/>
  <c r="AC462" i="1" s="1"/>
  <c r="AB463" i="1"/>
  <c r="AC463" i="1" s="1"/>
  <c r="AB464" i="1"/>
  <c r="AC464" i="1" s="1"/>
  <c r="AB465" i="1"/>
  <c r="AC465" i="1" s="1"/>
  <c r="AB466" i="1"/>
  <c r="AC466" i="1" s="1"/>
  <c r="AB467" i="1"/>
  <c r="AC467" i="1" s="1"/>
  <c r="AB468" i="1"/>
  <c r="AC468" i="1" s="1"/>
  <c r="AB469" i="1"/>
  <c r="AC469" i="1" s="1"/>
  <c r="AB470" i="1"/>
  <c r="AC470" i="1" s="1"/>
  <c r="AB471" i="1"/>
  <c r="AC471" i="1" s="1"/>
  <c r="AB472" i="1"/>
  <c r="AC472" i="1" s="1"/>
  <c r="AB473" i="1"/>
  <c r="AC473" i="1" s="1"/>
  <c r="AB474" i="1"/>
  <c r="AC474" i="1" s="1"/>
  <c r="AB475" i="1"/>
  <c r="AC475" i="1" s="1"/>
  <c r="AB476" i="1"/>
  <c r="AC476" i="1" s="1"/>
  <c r="AB477" i="1"/>
  <c r="AC477" i="1" s="1"/>
  <c r="AB478" i="1"/>
  <c r="AC478" i="1" s="1"/>
  <c r="AB479" i="1"/>
  <c r="AC479" i="1" s="1"/>
  <c r="AB480" i="1"/>
  <c r="AC480" i="1" s="1"/>
  <c r="AB481" i="1"/>
  <c r="AC481" i="1" s="1"/>
  <c r="AB482" i="1"/>
  <c r="AC482" i="1" s="1"/>
  <c r="AB483" i="1"/>
  <c r="AC483" i="1" s="1"/>
  <c r="AB484" i="1"/>
  <c r="AC484" i="1" s="1"/>
  <c r="AB485" i="1"/>
  <c r="AC485" i="1" s="1"/>
  <c r="AB486" i="1"/>
  <c r="AC486" i="1" s="1"/>
  <c r="AB487" i="1"/>
  <c r="AC487" i="1" s="1"/>
  <c r="AB488" i="1"/>
  <c r="AC488" i="1" s="1"/>
  <c r="AB489" i="1"/>
  <c r="AC489" i="1" s="1"/>
  <c r="AB490" i="1"/>
  <c r="AC490" i="1" s="1"/>
  <c r="AB491" i="1"/>
  <c r="AC491" i="1" s="1"/>
  <c r="AB492" i="1"/>
  <c r="AC492" i="1" s="1"/>
  <c r="AB493" i="1"/>
  <c r="AC493" i="1" s="1"/>
  <c r="AB494" i="1"/>
  <c r="AC494" i="1" s="1"/>
  <c r="AB495" i="1"/>
  <c r="AC495" i="1" s="1"/>
  <c r="AB496" i="1"/>
  <c r="AC496" i="1" s="1"/>
  <c r="AB497" i="1"/>
  <c r="AC497" i="1" s="1"/>
  <c r="AB498" i="1"/>
  <c r="AC498" i="1" s="1"/>
  <c r="AB499" i="1"/>
  <c r="AC499" i="1" s="1"/>
  <c r="AB500" i="1"/>
  <c r="AC500" i="1" s="1"/>
  <c r="AB501" i="1"/>
  <c r="AC501" i="1" s="1"/>
  <c r="AB4" i="1"/>
  <c r="AC4" i="1" s="1"/>
  <c r="AB2" i="1"/>
  <c r="AC2" i="1" s="1"/>
  <c r="AB5" i="1"/>
  <c r="AC5" i="1" s="1"/>
  <c r="AB6" i="1"/>
  <c r="AC6" i="1" s="1"/>
  <c r="AB7" i="1"/>
  <c r="AC7" i="1" s="1"/>
  <c r="AB8" i="1"/>
  <c r="AC8" i="1" s="1"/>
  <c r="AB9" i="1"/>
  <c r="AC9" i="1" s="1"/>
  <c r="AB10" i="1"/>
  <c r="AC10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24" i="1"/>
  <c r="AC24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34" i="1"/>
  <c r="AC34" i="1" s="1"/>
  <c r="AB35" i="1"/>
  <c r="AC35" i="1" s="1"/>
  <c r="AB36" i="1"/>
  <c r="AC36" i="1" s="1"/>
  <c r="AB37" i="1"/>
  <c r="AC37" i="1" s="1"/>
  <c r="AB38" i="1"/>
  <c r="AC38" i="1" s="1"/>
  <c r="AB39" i="1"/>
  <c r="AC39" i="1" s="1"/>
  <c r="AB40" i="1"/>
  <c r="AC40" i="1" s="1"/>
  <c r="AB41" i="1"/>
  <c r="AC41" i="1" s="1"/>
  <c r="AB42" i="1"/>
  <c r="AC42" i="1" s="1"/>
  <c r="AB43" i="1"/>
  <c r="AC43" i="1" s="1"/>
  <c r="AB44" i="1"/>
  <c r="AC44" i="1" s="1"/>
  <c r="AB45" i="1"/>
  <c r="AC45" i="1" s="1"/>
  <c r="AB46" i="1"/>
  <c r="AC46" i="1" s="1"/>
  <c r="AB47" i="1"/>
  <c r="AC47" i="1" s="1"/>
  <c r="AB48" i="1"/>
  <c r="AC48" i="1" s="1"/>
  <c r="AB49" i="1"/>
  <c r="AC49" i="1" s="1"/>
  <c r="AB50" i="1"/>
  <c r="AB51" i="1"/>
  <c r="AC51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59" i="1"/>
  <c r="AC59" i="1" s="1"/>
  <c r="AB60" i="1"/>
  <c r="AC60" i="1" s="1"/>
  <c r="AB61" i="1"/>
  <c r="AC61" i="1" s="1"/>
  <c r="AB62" i="1"/>
  <c r="AC62" i="1" s="1"/>
  <c r="AB63" i="1"/>
  <c r="AC63" i="1" s="1"/>
  <c r="AB64" i="1"/>
  <c r="AC64" i="1" s="1"/>
  <c r="AB65" i="1"/>
  <c r="AC65" i="1" s="1"/>
  <c r="AB66" i="1"/>
  <c r="AC66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B80" i="1"/>
  <c r="AC80" i="1" s="1"/>
  <c r="AB81" i="1"/>
  <c r="AC81" i="1" s="1"/>
  <c r="AB82" i="1"/>
  <c r="AC82" i="1" s="1"/>
  <c r="AB83" i="1"/>
  <c r="AC83" i="1" s="1"/>
  <c r="AB84" i="1"/>
  <c r="AC84" i="1" s="1"/>
  <c r="AB85" i="1"/>
  <c r="AC85" i="1" s="1"/>
  <c r="AB86" i="1"/>
  <c r="AC86" i="1" s="1"/>
  <c r="AB87" i="1"/>
  <c r="AC87" i="1" s="1"/>
  <c r="AB88" i="1"/>
  <c r="AC88" i="1" s="1"/>
  <c r="AB89" i="1"/>
  <c r="AC89" i="1" s="1"/>
  <c r="AB90" i="1"/>
  <c r="AC90" i="1" s="1"/>
  <c r="AB91" i="1"/>
  <c r="AC91" i="1" s="1"/>
  <c r="AB92" i="1"/>
  <c r="AC92" i="1" s="1"/>
  <c r="AB93" i="1"/>
  <c r="AC93" i="1" s="1"/>
  <c r="AB94" i="1"/>
  <c r="AC94" i="1" s="1"/>
  <c r="AB95" i="1"/>
  <c r="AC95" i="1" s="1"/>
  <c r="AB96" i="1"/>
  <c r="AC96" i="1" s="1"/>
  <c r="AB97" i="1"/>
  <c r="AC97" i="1" s="1"/>
  <c r="AB98" i="1"/>
  <c r="AC98" i="1" s="1"/>
  <c r="AB99" i="1"/>
  <c r="AC99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5" i="1"/>
  <c r="AC105" i="1" s="1"/>
  <c r="AB106" i="1"/>
  <c r="AC106" i="1" s="1"/>
  <c r="AB107" i="1"/>
  <c r="AC107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126" i="1"/>
  <c r="AC126" i="1" s="1"/>
  <c r="AB127" i="1"/>
  <c r="AC127" i="1" s="1"/>
  <c r="AB128" i="1"/>
  <c r="AC128" i="1" s="1"/>
  <c r="AB3" i="1"/>
  <c r="AC3" i="1" s="1"/>
  <c r="AA2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4" i="1"/>
  <c r="Z13" i="1"/>
  <c r="AA3" i="1"/>
  <c r="Z4" i="1"/>
  <c r="Z3" i="1"/>
  <c r="Z9" i="1"/>
  <c r="Z10" i="1"/>
  <c r="Z11" i="1"/>
  <c r="Z12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2" i="1"/>
  <c r="Z5" i="1"/>
  <c r="Z6" i="1"/>
  <c r="Z7" i="1"/>
  <c r="Z8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115" i="1"/>
  <c r="Y116" i="1"/>
  <c r="Y117" i="1"/>
  <c r="Y118" i="1"/>
  <c r="Y119" i="1"/>
  <c r="Y120" i="1"/>
  <c r="Y121" i="1"/>
  <c r="Y122" i="1"/>
  <c r="Y123" i="1"/>
  <c r="Y113" i="1"/>
  <c r="Y114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37" i="1"/>
  <c r="Y38" i="1"/>
  <c r="Y39" i="1"/>
  <c r="Y40" i="1"/>
  <c r="Y41" i="1"/>
  <c r="Y42" i="1"/>
  <c r="Y43" i="1"/>
  <c r="Y44" i="1"/>
  <c r="Y45" i="1"/>
  <c r="Y46" i="1"/>
  <c r="Y47" i="1"/>
  <c r="Y48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4" i="1"/>
  <c r="Y2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3" i="1"/>
  <c r="W391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4" i="1"/>
  <c r="X2" i="1"/>
  <c r="X3" i="1"/>
  <c r="W4" i="1"/>
  <c r="W2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3" i="1"/>
  <c r="AB354" i="7"/>
  <c r="AC354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<sst xmlns="http://schemas.openxmlformats.org/spreadsheetml/2006/main" count="22438" uniqueCount="1231">
  <si>
    <t>Sum of Sales</t>
  </si>
  <si>
    <t>Count of Order ID</t>
  </si>
  <si>
    <t>unique order</t>
  </si>
  <si>
    <t>Order_Date</t>
  </si>
  <si>
    <t>\</t>
  </si>
  <si>
    <t>13/01/2025</t>
  </si>
  <si>
    <t>13/01/2026</t>
  </si>
  <si>
    <t>13/02/2025</t>
  </si>
  <si>
    <t>Average Sales per Order</t>
  </si>
  <si>
    <t>13/02/2026</t>
  </si>
  <si>
    <t>13/03/2025</t>
  </si>
  <si>
    <t>13/03/2026</t>
  </si>
  <si>
    <t>13/04/2025</t>
  </si>
  <si>
    <t>Category</t>
  </si>
  <si>
    <t>13/05/2025</t>
  </si>
  <si>
    <t>Home Appliances</t>
  </si>
  <si>
    <t>13/05/2026</t>
  </si>
  <si>
    <t>Grand Total</t>
  </si>
  <si>
    <t>13/08/2025</t>
  </si>
  <si>
    <t>Region</t>
  </si>
  <si>
    <t>13/10/2025</t>
  </si>
  <si>
    <t>East</t>
  </si>
  <si>
    <t>13/12/2025</t>
  </si>
  <si>
    <t>14/01/2026</t>
  </si>
  <si>
    <t>14/02/2026</t>
  </si>
  <si>
    <t>14/03/2025</t>
  </si>
  <si>
    <t>14/03/2026</t>
  </si>
  <si>
    <t>14/05/2025</t>
  </si>
  <si>
    <t>14/06/2025</t>
  </si>
  <si>
    <t>14/07/2025</t>
  </si>
  <si>
    <t>14/12/2025</t>
  </si>
  <si>
    <t>15/01/2025</t>
  </si>
  <si>
    <t>15/03/2026</t>
  </si>
  <si>
    <t>15/04/2026</t>
  </si>
  <si>
    <t>15/05/2025</t>
  </si>
  <si>
    <t>15/06/2025</t>
  </si>
  <si>
    <t>15/09/2025</t>
  </si>
  <si>
    <t>15/10/2025</t>
  </si>
  <si>
    <t>15/11/2025</t>
  </si>
  <si>
    <t>15/12/2025</t>
  </si>
  <si>
    <t>16/01/2025</t>
  </si>
  <si>
    <t>16/01/2026</t>
  </si>
  <si>
    <t>16/02/2025</t>
  </si>
  <si>
    <t>16/03/2025</t>
  </si>
  <si>
    <t>16/03/2026</t>
  </si>
  <si>
    <t>16/04/2026</t>
  </si>
  <si>
    <t>16/05/2025</t>
  </si>
  <si>
    <t>16/05/2026</t>
  </si>
  <si>
    <t>16/06/2025</t>
  </si>
  <si>
    <t>16/08/2025</t>
  </si>
  <si>
    <t>16/09/2025</t>
  </si>
  <si>
    <t>16/11/2025</t>
  </si>
  <si>
    <t>16/12/2025</t>
  </si>
  <si>
    <t>17/01/2025</t>
  </si>
  <si>
    <t>17/01/2026</t>
  </si>
  <si>
    <t>17/02/2025</t>
  </si>
  <si>
    <t>17/02/2026</t>
  </si>
  <si>
    <t>17/03/2025</t>
  </si>
  <si>
    <t>17/03/2026</t>
  </si>
  <si>
    <t>17/04/2025</t>
  </si>
  <si>
    <t>17/04/2026</t>
  </si>
  <si>
    <t>17/09/2025</t>
  </si>
  <si>
    <t>17/12/2025</t>
  </si>
  <si>
    <t>18/01/2026</t>
  </si>
  <si>
    <t>18/02/2025</t>
  </si>
  <si>
    <t>18/02/2026</t>
  </si>
  <si>
    <t>18/03/2025</t>
  </si>
  <si>
    <t>18/04/2025</t>
  </si>
  <si>
    <t>18/05/2025</t>
  </si>
  <si>
    <t>18/07/2025</t>
  </si>
  <si>
    <t>18/09/2025</t>
  </si>
  <si>
    <t>18/10/2025</t>
  </si>
  <si>
    <t>18/11/2025</t>
  </si>
  <si>
    <t>18/12/2025</t>
  </si>
  <si>
    <t>19/01/2026</t>
  </si>
  <si>
    <t>19/02/2025</t>
  </si>
  <si>
    <t>19/02/2026</t>
  </si>
  <si>
    <t>19/04/2025</t>
  </si>
  <si>
    <t>19/04/2026</t>
  </si>
  <si>
    <t>19/05/2025</t>
  </si>
  <si>
    <t>19/06/2025</t>
  </si>
  <si>
    <t>19/07/2025</t>
  </si>
  <si>
    <t>19/08/2025</t>
  </si>
  <si>
    <t>19/09/2025</t>
  </si>
  <si>
    <t>19/10/2025</t>
  </si>
  <si>
    <t>19/11/2025</t>
  </si>
  <si>
    <t>20/02/2025</t>
  </si>
  <si>
    <t>20/02/2026</t>
  </si>
  <si>
    <t>20/03/2025</t>
  </si>
  <si>
    <t>20/04/2025</t>
  </si>
  <si>
    <t>20/04/2026</t>
  </si>
  <si>
    <t>20/05/2025</t>
  </si>
  <si>
    <t>20/06/2025</t>
  </si>
  <si>
    <t>20/07/2025</t>
  </si>
  <si>
    <t>20/08/2025</t>
  </si>
  <si>
    <t>20/10/2025</t>
  </si>
  <si>
    <t>21/01/2025</t>
  </si>
  <si>
    <t>21/01/2026</t>
  </si>
  <si>
    <t>21/02/2025</t>
  </si>
  <si>
    <t>21/02/2026</t>
  </si>
  <si>
    <t>21/03/2026</t>
  </si>
  <si>
    <t>21/04/2025</t>
  </si>
  <si>
    <t>21/06/2025</t>
  </si>
  <si>
    <t>21/07/2025</t>
  </si>
  <si>
    <t>21/09/2025</t>
  </si>
  <si>
    <t>21/10/2025</t>
  </si>
  <si>
    <t>22/01/2025</t>
  </si>
  <si>
    <t>22/02/2025</t>
  </si>
  <si>
    <t>22/02/2026</t>
  </si>
  <si>
    <t>22/03/2026</t>
  </si>
  <si>
    <t>22/04/2025</t>
  </si>
  <si>
    <t>22/04/2026</t>
  </si>
  <si>
    <t>22/05/2025</t>
  </si>
  <si>
    <t>22/06/2025</t>
  </si>
  <si>
    <t>22/07/2025</t>
  </si>
  <si>
    <t>22/09/2025</t>
  </si>
  <si>
    <t>22/10/2025</t>
  </si>
  <si>
    <t>22/12/2025</t>
  </si>
  <si>
    <t>23/01/2026</t>
  </si>
  <si>
    <t>23/02/2025</t>
  </si>
  <si>
    <t>23/03/2025</t>
  </si>
  <si>
    <t>23/03/2026</t>
  </si>
  <si>
    <t>23/04/2025</t>
  </si>
  <si>
    <t>23/04/2026</t>
  </si>
  <si>
    <t>23/07/2025</t>
  </si>
  <si>
    <t>23/08/2025</t>
  </si>
  <si>
    <t>23/10/2025</t>
  </si>
  <si>
    <t>23/12/2025</t>
  </si>
  <si>
    <t>24/01/2025</t>
  </si>
  <si>
    <t>24/01/2026</t>
  </si>
  <si>
    <t>24/02/2026</t>
  </si>
  <si>
    <t>24/03/2026</t>
  </si>
  <si>
    <t>24/04/2026</t>
  </si>
  <si>
    <t>24/05/2025</t>
  </si>
  <si>
    <t>24/06/2025</t>
  </si>
  <si>
    <t>24/08/2025</t>
  </si>
  <si>
    <t>24/12/2025</t>
  </si>
  <si>
    <t>25/01/2025</t>
  </si>
  <si>
    <t>25/02/2025</t>
  </si>
  <si>
    <t>25/02/2026</t>
  </si>
  <si>
    <t>25/03/2025</t>
  </si>
  <si>
    <t>25/04/2025</t>
  </si>
  <si>
    <t>25/04/2026</t>
  </si>
  <si>
    <t>25/05/2025</t>
  </si>
  <si>
    <t>25/06/2025</t>
  </si>
  <si>
    <t>25/07/2025</t>
  </si>
  <si>
    <t>25/08/2025</t>
  </si>
  <si>
    <t>25/11/2025</t>
  </si>
  <si>
    <t>26/01/2025</t>
  </si>
  <si>
    <t>26/01/2026</t>
  </si>
  <si>
    <t>26/02/2025</t>
  </si>
  <si>
    <t>26/03/2025</t>
  </si>
  <si>
    <t>26/03/2026</t>
  </si>
  <si>
    <t>26/04/2025</t>
  </si>
  <si>
    <t>26/04/2026</t>
  </si>
  <si>
    <t>26/05/2025</t>
  </si>
  <si>
    <t>26/06/2025</t>
  </si>
  <si>
    <t>26/07/2025</t>
  </si>
  <si>
    <t>26/08/2025</t>
  </si>
  <si>
    <t>26/12/2025</t>
  </si>
  <si>
    <t>27/01/2025</t>
  </si>
  <si>
    <t>27/01/2026</t>
  </si>
  <si>
    <t>27/02/2025</t>
  </si>
  <si>
    <t>27/03/2025</t>
  </si>
  <si>
    <t>27/03/2026</t>
  </si>
  <si>
    <t>27/04/2025</t>
  </si>
  <si>
    <t>27/04/2026</t>
  </si>
  <si>
    <t>27/06/2025</t>
  </si>
  <si>
    <t>27/07/2025</t>
  </si>
  <si>
    <t>27/08/2025</t>
  </si>
  <si>
    <t>27/09/2025</t>
  </si>
  <si>
    <t>27/11/2025</t>
  </si>
  <si>
    <t>27/12/2025</t>
  </si>
  <si>
    <t>28/01/2025</t>
  </si>
  <si>
    <t>28/01/2026</t>
  </si>
  <si>
    <t>28/02/2025</t>
  </si>
  <si>
    <t>28/02/2026</t>
  </si>
  <si>
    <t>28/03/2025</t>
  </si>
  <si>
    <t>28/04/2025</t>
  </si>
  <si>
    <t>28/05/2025</t>
  </si>
  <si>
    <t>28/07/2025</t>
  </si>
  <si>
    <t>28/08/2025</t>
  </si>
  <si>
    <t>28/10/2025</t>
  </si>
  <si>
    <t>28/12/2025</t>
  </si>
  <si>
    <t>29/03/2025</t>
  </si>
  <si>
    <t>29/03/2026</t>
  </si>
  <si>
    <t>29/04/2026</t>
  </si>
  <si>
    <t>29/05/2025</t>
  </si>
  <si>
    <t>29/06/2025</t>
  </si>
  <si>
    <t>29/07/2025</t>
  </si>
  <si>
    <t>29/09/2025</t>
  </si>
  <si>
    <t>29/10/2025</t>
  </si>
  <si>
    <t>29/11/2025</t>
  </si>
  <si>
    <t>29/12/2025</t>
  </si>
  <si>
    <t>30/01/2026</t>
  </si>
  <si>
    <t>30/03/2025</t>
  </si>
  <si>
    <t>30/04/2025</t>
  </si>
  <si>
    <t>30/05/2025</t>
  </si>
  <si>
    <t>30/07/2025</t>
  </si>
  <si>
    <t>30/08/2025</t>
  </si>
  <si>
    <t>30/10/2025</t>
  </si>
  <si>
    <t>31/01/2025</t>
  </si>
  <si>
    <t>31/01/2026</t>
  </si>
  <si>
    <t>31/02/2025</t>
  </si>
  <si>
    <t>31/05/2025</t>
  </si>
  <si>
    <t>31/10/2025</t>
  </si>
  <si>
    <t>31/12/2025</t>
  </si>
  <si>
    <t>(blank)</t>
  </si>
  <si>
    <t>Order ID</t>
  </si>
  <si>
    <t>Customer_ID</t>
  </si>
  <si>
    <t>Product_ID</t>
  </si>
  <si>
    <t>Delivery_Date</t>
  </si>
  <si>
    <t>Customer_Name</t>
  </si>
  <si>
    <t>Gender</t>
  </si>
  <si>
    <t>DOB</t>
  </si>
  <si>
    <t>City</t>
  </si>
  <si>
    <t>Product_Name</t>
  </si>
  <si>
    <t>Quantity</t>
  </si>
  <si>
    <t>Unit_Price</t>
  </si>
  <si>
    <t>Discount_%</t>
  </si>
  <si>
    <t>Sales</t>
  </si>
  <si>
    <t>Rating</t>
  </si>
  <si>
    <t>Payment_Mode</t>
  </si>
  <si>
    <t>Salesperson</t>
  </si>
  <si>
    <t>Email</t>
  </si>
  <si>
    <t>Phone</t>
  </si>
  <si>
    <t>Order_Status</t>
  </si>
  <si>
    <t>Customer Classification</t>
  </si>
  <si>
    <t>Standarized Customer Name</t>
  </si>
  <si>
    <t>Customer Code</t>
  </si>
  <si>
    <t>Standerized Email</t>
  </si>
  <si>
    <t xml:space="preserve">Customer age </t>
  </si>
  <si>
    <t>Delivery Time</t>
  </si>
  <si>
    <t>DELIVERY status</t>
  </si>
  <si>
    <t>ORD10001</t>
  </si>
  <si>
    <t>C010</t>
  </si>
  <si>
    <t>P101</t>
  </si>
  <si>
    <t>14/09/2025</t>
  </si>
  <si>
    <t>pooja shah</t>
  </si>
  <si>
    <t>Female</t>
  </si>
  <si>
    <t>16/09/1994</t>
  </si>
  <si>
    <t>Bengaluru</t>
  </si>
  <si>
    <t>South</t>
  </si>
  <si>
    <t>Electronics</t>
  </si>
  <si>
    <t>Laptop</t>
  </si>
  <si>
    <t>NetBanking</t>
  </si>
  <si>
    <t>Aisha</t>
  </si>
  <si>
    <t>pooja.shah@company.com</t>
  </si>
  <si>
    <t>Pending</t>
  </si>
  <si>
    <t>C008</t>
  </si>
  <si>
    <t>P202</t>
  </si>
  <si>
    <t>Kavya Nair</t>
  </si>
  <si>
    <t>Hyderabad</t>
  </si>
  <si>
    <t>Iron</t>
  </si>
  <si>
    <t>Cash</t>
  </si>
  <si>
    <t>Ritika</t>
  </si>
  <si>
    <t>KAvya.nair@company.com</t>
  </si>
  <si>
    <t>Completed</t>
  </si>
  <si>
    <t>P104</t>
  </si>
  <si>
    <t>16/10/2000</t>
  </si>
  <si>
    <t>Delhi</t>
  </si>
  <si>
    <t>North</t>
  </si>
  <si>
    <t>Monitor</t>
  </si>
  <si>
    <t>Rahul</t>
  </si>
  <si>
    <t>kavya.nair@company.com</t>
  </si>
  <si>
    <t>Cancelled</t>
  </si>
  <si>
    <t>C009</t>
  </si>
  <si>
    <t>P103</t>
  </si>
  <si>
    <t>Mohit Verma</t>
  </si>
  <si>
    <t>Male</t>
  </si>
  <si>
    <t>13/04/1976</t>
  </si>
  <si>
    <t>Keyboard</t>
  </si>
  <si>
    <t>Card</t>
  </si>
  <si>
    <t>mohit.verma@company.com</t>
  </si>
  <si>
    <t>ORD10006</t>
  </si>
  <si>
    <t>C007</t>
  </si>
  <si>
    <t>arjun Rao</t>
  </si>
  <si>
    <t>UPI</t>
  </si>
  <si>
    <t>arjun.rao@company.com</t>
  </si>
  <si>
    <t>ORD10007</t>
  </si>
  <si>
    <t>P201</t>
  </si>
  <si>
    <t>20/03/2003</t>
  </si>
  <si>
    <t>Mixer</t>
  </si>
  <si>
    <t>ORD10008</t>
  </si>
  <si>
    <t>C002</t>
  </si>
  <si>
    <t>Priya Patel</t>
  </si>
  <si>
    <t>Mumbai</t>
  </si>
  <si>
    <t>West</t>
  </si>
  <si>
    <t>priYa.patel@company.com</t>
  </si>
  <si>
    <t>ORD10009</t>
  </si>
  <si>
    <t>kavya Nair</t>
  </si>
  <si>
    <t>Pune</t>
  </si>
  <si>
    <t>Neha</t>
  </si>
  <si>
    <t>ORD10010</t>
  </si>
  <si>
    <t>P301</t>
  </si>
  <si>
    <t>Stationery</t>
  </si>
  <si>
    <t>Notebook</t>
  </si>
  <si>
    <t>PRiya.patel@company.com</t>
  </si>
  <si>
    <t>ORD10011</t>
  </si>
  <si>
    <t>C003</t>
  </si>
  <si>
    <t>23/09/2025</t>
  </si>
  <si>
    <t>Rohit Singh</t>
  </si>
  <si>
    <t>rohit.singh@company.com</t>
  </si>
  <si>
    <t>ORD10012</t>
  </si>
  <si>
    <t>15/03/2025</t>
  </si>
  <si>
    <t>23/01/1982</t>
  </si>
  <si>
    <t>Ahmedabad</t>
  </si>
  <si>
    <t>ORD10013</t>
  </si>
  <si>
    <t>priya.patel@company.com</t>
  </si>
  <si>
    <t>ORD10014</t>
  </si>
  <si>
    <t>rohit Singh</t>
  </si>
  <si>
    <t>19/03/2002</t>
  </si>
  <si>
    <t>Karan</t>
  </si>
  <si>
    <t>rOhit.singh@company.com</t>
  </si>
  <si>
    <t>ORD10015</t>
  </si>
  <si>
    <t>Kavya nair</t>
  </si>
  <si>
    <t>17/01/2001</t>
  </si>
  <si>
    <t>ORD10016</t>
  </si>
  <si>
    <t>Pooja Shah</t>
  </si>
  <si>
    <t>pooja.shahcompany.com</t>
  </si>
  <si>
    <t>ORD10017</t>
  </si>
  <si>
    <t>C004</t>
  </si>
  <si>
    <t>P203</t>
  </si>
  <si>
    <t>Amit Sharma</t>
  </si>
  <si>
    <t>16/01/2002</t>
  </si>
  <si>
    <t>Microwave</t>
  </si>
  <si>
    <t>anita.gupta@company.com</t>
  </si>
  <si>
    <t>ORD10018</t>
  </si>
  <si>
    <t>Arjun Rao</t>
  </si>
  <si>
    <t>ORD10019</t>
  </si>
  <si>
    <t>P102</t>
  </si>
  <si>
    <t>arjun rao</t>
  </si>
  <si>
    <t>28/10/1991</t>
  </si>
  <si>
    <t>Mouse</t>
  </si>
  <si>
    <t>arjun.Rao@company.com</t>
  </si>
  <si>
    <t>ORD10020</t>
  </si>
  <si>
    <t>ORD10021</t>
  </si>
  <si>
    <t>18/07/2002</t>
  </si>
  <si>
    <t>electronics</t>
  </si>
  <si>
    <t>ORD10022</t>
  </si>
  <si>
    <t>15/12/2004</t>
  </si>
  <si>
    <t>ORD10023</t>
  </si>
  <si>
    <t>Jaipur</t>
  </si>
  <si>
    <t>ORD10024</t>
  </si>
  <si>
    <t>25/02/1978</t>
  </si>
  <si>
    <t>ORD10025</t>
  </si>
  <si>
    <t>C005</t>
  </si>
  <si>
    <t>P302</t>
  </si>
  <si>
    <t>Vikas Mehta</t>
  </si>
  <si>
    <t>Pen</t>
  </si>
  <si>
    <t>vikas.mehta@company.com</t>
  </si>
  <si>
    <t>ORD10026</t>
  </si>
  <si>
    <t>ORD10027</t>
  </si>
  <si>
    <t>ORD10028</t>
  </si>
  <si>
    <t>20/03/2026</t>
  </si>
  <si>
    <t>ORD10029</t>
  </si>
  <si>
    <t>20/09/2025</t>
  </si>
  <si>
    <t>ORD10030</t>
  </si>
  <si>
    <t>C006</t>
  </si>
  <si>
    <t>Sneha Joshi</t>
  </si>
  <si>
    <t>sneha.joshi@company.com</t>
  </si>
  <si>
    <t>ORD10031</t>
  </si>
  <si>
    <t>P303</t>
  </si>
  <si>
    <t>Marker</t>
  </si>
  <si>
    <t>ORD10032</t>
  </si>
  <si>
    <t>13/07/2025</t>
  </si>
  <si>
    <t>15/11/1976</t>
  </si>
  <si>
    <t>ORD10033</t>
  </si>
  <si>
    <t>28/10/1988</t>
  </si>
  <si>
    <t>ORD10034</t>
  </si>
  <si>
    <t>23/06/2004</t>
  </si>
  <si>
    <t>wrongmail</t>
  </si>
  <si>
    <t>ORD10035</t>
  </si>
  <si>
    <t>22/04/1996</t>
  </si>
  <si>
    <t>ORD10036</t>
  </si>
  <si>
    <t>26/11/2025</t>
  </si>
  <si>
    <t>ORD10037</t>
  </si>
  <si>
    <t>14/11/2025</t>
  </si>
  <si>
    <t>27/09/1980</t>
  </si>
  <si>
    <t>Kolkata</t>
  </si>
  <si>
    <t>ORD10038</t>
  </si>
  <si>
    <t>21/06/1980</t>
  </si>
  <si>
    <t>ORD10039</t>
  </si>
  <si>
    <t>17/06/1979</t>
  </si>
  <si>
    <t>ORD10040</t>
  </si>
  <si>
    <t>18/06/1992</t>
  </si>
  <si>
    <t>ORD10041</t>
  </si>
  <si>
    <t>ORD10042</t>
  </si>
  <si>
    <t>22/09/1988</t>
  </si>
  <si>
    <t>ORD10043</t>
  </si>
  <si>
    <t>14/07/2001</t>
  </si>
  <si>
    <t>ORD10044</t>
  </si>
  <si>
    <t>C001</t>
  </si>
  <si>
    <t>31/03/2025</t>
  </si>
  <si>
    <t>amit Sharma</t>
  </si>
  <si>
    <t>amit.sharma@company.com</t>
  </si>
  <si>
    <t>ORD10045</t>
  </si>
  <si>
    <t>21/10/1988</t>
  </si>
  <si>
    <t>ORD10046</t>
  </si>
  <si>
    <t>19/11/2002</t>
  </si>
  <si>
    <t>ORD10047</t>
  </si>
  <si>
    <t>14/10/2025</t>
  </si>
  <si>
    <t>sneha.joshicompany.com</t>
  </si>
  <si>
    <t>ORD10048</t>
  </si>
  <si>
    <t>26/11/1998</t>
  </si>
  <si>
    <t>ORD10049</t>
  </si>
  <si>
    <t>ORD10050</t>
  </si>
  <si>
    <t>21/04/2026</t>
  </si>
  <si>
    <t>Anita Gupta</t>
  </si>
  <si>
    <t>15/03/1987</t>
  </si>
  <si>
    <t>ORD10051</t>
  </si>
  <si>
    <t>POoja Shah</t>
  </si>
  <si>
    <t>20/02/1979</t>
  </si>
  <si>
    <t>ORD10052</t>
  </si>
  <si>
    <t>ORD10053</t>
  </si>
  <si>
    <t>17/01/1976</t>
  </si>
  <si>
    <t>ORD10054</t>
  </si>
  <si>
    <t>ORD10055</t>
  </si>
  <si>
    <t>RoHit Singh</t>
  </si>
  <si>
    <t>ORD10056</t>
  </si>
  <si>
    <t>ORD10057</t>
  </si>
  <si>
    <t>30/03/2026</t>
  </si>
  <si>
    <t>27/12/1978</t>
  </si>
  <si>
    <t>amit.sharmcompany.com</t>
  </si>
  <si>
    <t>ORD10058</t>
  </si>
  <si>
    <t>19/03/2026</t>
  </si>
  <si>
    <t>15/04/1975</t>
  </si>
  <si>
    <t>ORD10059</t>
  </si>
  <si>
    <t>19/12/1988</t>
  </si>
  <si>
    <t>completed</t>
  </si>
  <si>
    <t>ORD10060</t>
  </si>
  <si>
    <t>Vikas.mehta@company.com</t>
  </si>
  <si>
    <t>ORD10061</t>
  </si>
  <si>
    <t>17/12/2003</t>
  </si>
  <si>
    <t>ORD10062</t>
  </si>
  <si>
    <t>ORD10063</t>
  </si>
  <si>
    <t>20/05/2026</t>
  </si>
  <si>
    <t>13/04/1996</t>
  </si>
  <si>
    <t>ORD10064</t>
  </si>
  <si>
    <t>ORD10065</t>
  </si>
  <si>
    <t>24/09/1992</t>
  </si>
  <si>
    <t>ORD10066</t>
  </si>
  <si>
    <t>19/09/1986</t>
  </si>
  <si>
    <t>ORD10067</t>
  </si>
  <si>
    <t>28/05/1985</t>
  </si>
  <si>
    <t>ORD10068</t>
  </si>
  <si>
    <t>27/08/1979</t>
  </si>
  <si>
    <t>ORD10069</t>
  </si>
  <si>
    <t>19/12/2025</t>
  </si>
  <si>
    <t>22/12/1976</t>
  </si>
  <si>
    <t>ORD10070</t>
  </si>
  <si>
    <t>ORD10071</t>
  </si>
  <si>
    <t>24/02/1987</t>
  </si>
  <si>
    <t>Anita.gupta@company.com</t>
  </si>
  <si>
    <t>ORD10072</t>
  </si>
  <si>
    <t>24/07/1984</t>
  </si>
  <si>
    <t>ORD10073</t>
  </si>
  <si>
    <t>22/09/1981</t>
  </si>
  <si>
    <t>ORD10074</t>
  </si>
  <si>
    <t>16/02/2026</t>
  </si>
  <si>
    <t>20/06/1980</t>
  </si>
  <si>
    <t>ORD10075</t>
  </si>
  <si>
    <t>ORD10076</t>
  </si>
  <si>
    <t>ORD10077</t>
  </si>
  <si>
    <t>27/04/1981</t>
  </si>
  <si>
    <t>ORD10078</t>
  </si>
  <si>
    <t>18/06/2025</t>
  </si>
  <si>
    <t>ORD10079</t>
  </si>
  <si>
    <t>15/03/1999</t>
  </si>
  <si>
    <t>ORD10080</t>
  </si>
  <si>
    <t>ORD10081</t>
  </si>
  <si>
    <t>ORD10082</t>
  </si>
  <si>
    <t>20/06/1982</t>
  </si>
  <si>
    <t>ORD10083</t>
  </si>
  <si>
    <t>23/06/2001</t>
  </si>
  <si>
    <t>ORD10084</t>
  </si>
  <si>
    <t>21/03/2025</t>
  </si>
  <si>
    <t>19/07/1983</t>
  </si>
  <si>
    <t>ORD10085</t>
  </si>
  <si>
    <t>24/03/1993</t>
  </si>
  <si>
    <t>ORD10086</t>
  </si>
  <si>
    <t>ORD10087</t>
  </si>
  <si>
    <t>15/02/2001</t>
  </si>
  <si>
    <t>ORD10088</t>
  </si>
  <si>
    <t>14/08/1999</t>
  </si>
  <si>
    <t>ORD10089</t>
  </si>
  <si>
    <t>24/09/2025</t>
  </si>
  <si>
    <t>20/03/2002</t>
  </si>
  <si>
    <t>north</t>
  </si>
  <si>
    <t>ORD10090</t>
  </si>
  <si>
    <t>13/06/1992</t>
  </si>
  <si>
    <t>ORD10091</t>
  </si>
  <si>
    <t>18/06/1996</t>
  </si>
  <si>
    <t>ORD10092</t>
  </si>
  <si>
    <t>14/08/2025</t>
  </si>
  <si>
    <t>ORD10093</t>
  </si>
  <si>
    <t>25/06/1984</t>
  </si>
  <si>
    <t>ORD10094</t>
  </si>
  <si>
    <t>21/06/1994</t>
  </si>
  <si>
    <t>ORD10095</t>
  </si>
  <si>
    <t>15/04/2025</t>
  </si>
  <si>
    <t>17/10/1990</t>
  </si>
  <si>
    <t>ORD10096</t>
  </si>
  <si>
    <t>28/01/1987</t>
  </si>
  <si>
    <t>ORD10097</t>
  </si>
  <si>
    <t>21/09/1983</t>
  </si>
  <si>
    <t>ORD10098</t>
  </si>
  <si>
    <t>ORD10099</t>
  </si>
  <si>
    <t>25/09/1987</t>
  </si>
  <si>
    <t>ORD10100</t>
  </si>
  <si>
    <t>ORD10101</t>
  </si>
  <si>
    <t>29/04/2025</t>
  </si>
  <si>
    <t>17/07/1986</t>
  </si>
  <si>
    <t>ORD10102</t>
  </si>
  <si>
    <t>20/12/2025</t>
  </si>
  <si>
    <t>ORD10103</t>
  </si>
  <si>
    <t>15/05/2026</t>
  </si>
  <si>
    <t>25/02/2004</t>
  </si>
  <si>
    <t>ORD10104</t>
  </si>
  <si>
    <t>20/01/2025</t>
  </si>
  <si>
    <t>24/04/2001</t>
  </si>
  <si>
    <t>ORD10105</t>
  </si>
  <si>
    <t>ORD10106</t>
  </si>
  <si>
    <t>ORD10107</t>
  </si>
  <si>
    <t>ORD10108</t>
  </si>
  <si>
    <t>18/03/2026</t>
  </si>
  <si>
    <t>28/01/1992</t>
  </si>
  <si>
    <t>ORD10109</t>
  </si>
  <si>
    <t>ORD10110</t>
  </si>
  <si>
    <t>13/09/1977</t>
  </si>
  <si>
    <t>ORD10111</t>
  </si>
  <si>
    <t>ORD10112</t>
  </si>
  <si>
    <t>ORD10113</t>
  </si>
  <si>
    <t>ORD10114</t>
  </si>
  <si>
    <t>21/07/1990</t>
  </si>
  <si>
    <t>ORD10115</t>
  </si>
  <si>
    <t>14/04/2025</t>
  </si>
  <si>
    <t>ORD10116</t>
  </si>
  <si>
    <t>ORD10117</t>
  </si>
  <si>
    <t>31/08/2025</t>
  </si>
  <si>
    <t>13/05/1980</t>
  </si>
  <si>
    <t>ORD10118</t>
  </si>
  <si>
    <t>ORD10119</t>
  </si>
  <si>
    <t>Ten</t>
  </si>
  <si>
    <t>ORD10120</t>
  </si>
  <si>
    <t>ORD10121</t>
  </si>
  <si>
    <t>ORD10122</t>
  </si>
  <si>
    <t>ORD10123</t>
  </si>
  <si>
    <t>22/06/1986</t>
  </si>
  <si>
    <t>ORD10124</t>
  </si>
  <si>
    <t>26/10/2025</t>
  </si>
  <si>
    <t>16/02/1986</t>
  </si>
  <si>
    <t>ORD10125</t>
  </si>
  <si>
    <t>21/05/2025</t>
  </si>
  <si>
    <t>18/09/1991</t>
  </si>
  <si>
    <t>ORD10126</t>
  </si>
  <si>
    <t>ORD10127</t>
  </si>
  <si>
    <t>ORD10128</t>
  </si>
  <si>
    <t>25/03/1984</t>
  </si>
  <si>
    <t>ORD10129</t>
  </si>
  <si>
    <t>18/08/2025</t>
  </si>
  <si>
    <t>ORD10130</t>
  </si>
  <si>
    <t>15/02/1993</t>
  </si>
  <si>
    <t>ORD10131</t>
  </si>
  <si>
    <t>30/04/2026</t>
  </si>
  <si>
    <t>ORD10132</t>
  </si>
  <si>
    <t>20/10/1989</t>
  </si>
  <si>
    <t>ORD10133</t>
  </si>
  <si>
    <t>15/09/1995</t>
  </si>
  <si>
    <t>ORD10134</t>
  </si>
  <si>
    <t>ORD10135</t>
  </si>
  <si>
    <t>ORD10136</t>
  </si>
  <si>
    <t>14/07/1997</t>
  </si>
  <si>
    <t>ORD10137</t>
  </si>
  <si>
    <t>ORD10138</t>
  </si>
  <si>
    <t>20/10/2002</t>
  </si>
  <si>
    <t>ORD10139</t>
  </si>
  <si>
    <t>24/07/1985</t>
  </si>
  <si>
    <t>ORD10140</t>
  </si>
  <si>
    <t>30/01/2025</t>
  </si>
  <si>
    <t>23/08/1988</t>
  </si>
  <si>
    <t>ORD10141</t>
  </si>
  <si>
    <t>ORD10142</t>
  </si>
  <si>
    <t>25/08/1986</t>
  </si>
  <si>
    <t>ORD10143</t>
  </si>
  <si>
    <t>29/01/2025</t>
  </si>
  <si>
    <t>ORD10144</t>
  </si>
  <si>
    <t>ORD10145</t>
  </si>
  <si>
    <t>ORD10146</t>
  </si>
  <si>
    <t>ORD10147</t>
  </si>
  <si>
    <t>27/10/1987</t>
  </si>
  <si>
    <t>ORD10148</t>
  </si>
  <si>
    <t>19/04/2003</t>
  </si>
  <si>
    <t>14/02/2002</t>
  </si>
  <si>
    <t>ORD10150</t>
  </si>
  <si>
    <t>ORD10151</t>
  </si>
  <si>
    <t>ORD10152</t>
  </si>
  <si>
    <t>ORD10153</t>
  </si>
  <si>
    <t>28/09/1996</t>
  </si>
  <si>
    <t>ORD10154</t>
  </si>
  <si>
    <t>15/12/1995</t>
  </si>
  <si>
    <t>ORD10155</t>
  </si>
  <si>
    <t>24/07/1976</t>
  </si>
  <si>
    <t>ORD10156</t>
  </si>
  <si>
    <t>24/07/2025</t>
  </si>
  <si>
    <t>22/06/1984</t>
  </si>
  <si>
    <t>ORD10157</t>
  </si>
  <si>
    <t>ORD10158</t>
  </si>
  <si>
    <t>18/06/2001</t>
  </si>
  <si>
    <t>ORD10159</t>
  </si>
  <si>
    <t>23/05/2026</t>
  </si>
  <si>
    <t>ORD10160</t>
  </si>
  <si>
    <t>ORD10161</t>
  </si>
  <si>
    <t>22/07/1999</t>
  </si>
  <si>
    <t>ORD10162</t>
  </si>
  <si>
    <t>14/11/2000</t>
  </si>
  <si>
    <t>ORD10163</t>
  </si>
  <si>
    <t>24/07/2002</t>
  </si>
  <si>
    <t>ORD10164</t>
  </si>
  <si>
    <t>13/11/2025</t>
  </si>
  <si>
    <t>25/02/2002</t>
  </si>
  <si>
    <t>ORD10165</t>
  </si>
  <si>
    <t>16/07/1980</t>
  </si>
  <si>
    <t>ORD10166</t>
  </si>
  <si>
    <t>25/05/1996</t>
  </si>
  <si>
    <t>ORD10167</t>
  </si>
  <si>
    <t>ORD10168</t>
  </si>
  <si>
    <t>25/05/1989</t>
  </si>
  <si>
    <t>ORD10169</t>
  </si>
  <si>
    <t>25/08/1989</t>
  </si>
  <si>
    <t>ORD10170</t>
  </si>
  <si>
    <t>20/05/1997</t>
  </si>
  <si>
    <t>ORD10171</t>
  </si>
  <si>
    <t>ORD10172</t>
  </si>
  <si>
    <t>ORD10173</t>
  </si>
  <si>
    <t>25/05/1986</t>
  </si>
  <si>
    <t>ORD10174</t>
  </si>
  <si>
    <t>22/02/1986</t>
  </si>
  <si>
    <t>vikas.mehtacompany.com</t>
  </si>
  <si>
    <t>ORD10175</t>
  </si>
  <si>
    <t>ORD10176</t>
  </si>
  <si>
    <t>16/07/2025</t>
  </si>
  <si>
    <t>27/06/1993</t>
  </si>
  <si>
    <t>ORD10177</t>
  </si>
  <si>
    <t>18/06/2004</t>
  </si>
  <si>
    <t>ORD10178</t>
  </si>
  <si>
    <t>ORD10179</t>
  </si>
  <si>
    <t>13/09/2001</t>
  </si>
  <si>
    <t>ORD10180</t>
  </si>
  <si>
    <t>15/11/1981</t>
  </si>
  <si>
    <t>ORD10181</t>
  </si>
  <si>
    <t>ORD10182</t>
  </si>
  <si>
    <t>ORD10183</t>
  </si>
  <si>
    <t>19/02/1988</t>
  </si>
  <si>
    <t>ORD10184</t>
  </si>
  <si>
    <t>23/06/2025</t>
  </si>
  <si>
    <t>ORD10185</t>
  </si>
  <si>
    <t>ORD10186</t>
  </si>
  <si>
    <t>ORD10187</t>
  </si>
  <si>
    <t>21/02/1976</t>
  </si>
  <si>
    <t>ORD10188</t>
  </si>
  <si>
    <t>28/06/2025</t>
  </si>
  <si>
    <t>28/08/1975</t>
  </si>
  <si>
    <t>ORD10189</t>
  </si>
  <si>
    <t>22/05/2026</t>
  </si>
  <si>
    <t>ORD10190</t>
  </si>
  <si>
    <t>26/08/2004</t>
  </si>
  <si>
    <t>ORD10191</t>
  </si>
  <si>
    <t>16/01/1994</t>
  </si>
  <si>
    <t>ORD10192</t>
  </si>
  <si>
    <t>20/11/2025</t>
  </si>
  <si>
    <t>28/10/2003</t>
  </si>
  <si>
    <t>ORD10193</t>
  </si>
  <si>
    <t>16/05/2000</t>
  </si>
  <si>
    <t>ORD10194</t>
  </si>
  <si>
    <t>ORD10195</t>
  </si>
  <si>
    <t>ORD10196</t>
  </si>
  <si>
    <t>21/05/1988</t>
  </si>
  <si>
    <t>ORD10197</t>
  </si>
  <si>
    <t>18/07/1994</t>
  </si>
  <si>
    <t>ORD10198</t>
  </si>
  <si>
    <t>15/11/1977</t>
  </si>
  <si>
    <t>ORD10199</t>
  </si>
  <si>
    <t>22/09/1982</t>
  </si>
  <si>
    <t>Stationary</t>
  </si>
  <si>
    <t>ORD10200</t>
  </si>
  <si>
    <t>14/09/1994</t>
  </si>
  <si>
    <t>ORD10201</t>
  </si>
  <si>
    <t>ORD10202</t>
  </si>
  <si>
    <t>27/05/2025</t>
  </si>
  <si>
    <t>ORD10203</t>
  </si>
  <si>
    <t>25/03/2001</t>
  </si>
  <si>
    <t>ORD10204</t>
  </si>
  <si>
    <t>ORD10205</t>
  </si>
  <si>
    <t>14/01/2003</t>
  </si>
  <si>
    <t>ORD10206</t>
  </si>
  <si>
    <t>ORD10207</t>
  </si>
  <si>
    <t>24/10/1990</t>
  </si>
  <si>
    <t>ORD10208</t>
  </si>
  <si>
    <t>20/01/2026</t>
  </si>
  <si>
    <t>24/09/1977</t>
  </si>
  <si>
    <t>ORD10209</t>
  </si>
  <si>
    <t>24/11/2025</t>
  </si>
  <si>
    <t>ORD10210</t>
  </si>
  <si>
    <t>17/05/1976</t>
  </si>
  <si>
    <t>ORD10211</t>
  </si>
  <si>
    <t>ORD10212</t>
  </si>
  <si>
    <t>16/07/1990</t>
  </si>
  <si>
    <t>ORD10213</t>
  </si>
  <si>
    <t>ORD10214</t>
  </si>
  <si>
    <t>26/12/1977</t>
  </si>
  <si>
    <t>ORD10215</t>
  </si>
  <si>
    <t>ORD10216</t>
  </si>
  <si>
    <t>16/11/1983</t>
  </si>
  <si>
    <t>ORD10217</t>
  </si>
  <si>
    <t>ORD10218</t>
  </si>
  <si>
    <t>ORD10219</t>
  </si>
  <si>
    <t>18/07/1999</t>
  </si>
  <si>
    <t>ORD10220</t>
  </si>
  <si>
    <t>ORD10221</t>
  </si>
  <si>
    <t>28/03/2026</t>
  </si>
  <si>
    <t>ORD10222</t>
  </si>
  <si>
    <t>ORD10223</t>
  </si>
  <si>
    <t>18/02/1989</t>
  </si>
  <si>
    <t>ORD10224</t>
  </si>
  <si>
    <t>ORD10225</t>
  </si>
  <si>
    <t>17/11/1981</t>
  </si>
  <si>
    <t>ORD10226</t>
  </si>
  <si>
    <t>24/02/2025</t>
  </si>
  <si>
    <t>24/08/2003</t>
  </si>
  <si>
    <t>ORD10227</t>
  </si>
  <si>
    <t>19/07/1985</t>
  </si>
  <si>
    <t>ORD10228</t>
  </si>
  <si>
    <t>13/06/2025</t>
  </si>
  <si>
    <t>ORD10229</t>
  </si>
  <si>
    <t>23/05/2025</t>
  </si>
  <si>
    <t>23/03/1993</t>
  </si>
  <si>
    <t>ORD10230</t>
  </si>
  <si>
    <t>13/06/1979</t>
  </si>
  <si>
    <t>ORD10231</t>
  </si>
  <si>
    <t>24/01/1991</t>
  </si>
  <si>
    <t>ORD10232</t>
  </si>
  <si>
    <t>22/02/2004</t>
  </si>
  <si>
    <t>ORD10233</t>
  </si>
  <si>
    <t>25/04/1977</t>
  </si>
  <si>
    <t>ORD10234</t>
  </si>
  <si>
    <t>22/07/1994</t>
  </si>
  <si>
    <t>ORD10235</t>
  </si>
  <si>
    <t>ORD10236</t>
  </si>
  <si>
    <t>27/05/1995</t>
  </si>
  <si>
    <t>ORD10237</t>
  </si>
  <si>
    <t>18/06/1998</t>
  </si>
  <si>
    <t>ORD10238</t>
  </si>
  <si>
    <t>21/01/1983</t>
  </si>
  <si>
    <t>ORD10239</t>
  </si>
  <si>
    <t>ORD10240</t>
  </si>
  <si>
    <t>24/06/1997</t>
  </si>
  <si>
    <t>ORD10241</t>
  </si>
  <si>
    <t>25/08/1976</t>
  </si>
  <si>
    <t>ORD10242</t>
  </si>
  <si>
    <t>ORD10243</t>
  </si>
  <si>
    <t>ORD10244</t>
  </si>
  <si>
    <t>19/05/2026</t>
  </si>
  <si>
    <t>ORD10245</t>
  </si>
  <si>
    <t>ORD10246</t>
  </si>
  <si>
    <t>ORD10247</t>
  </si>
  <si>
    <t>27/05/1975</t>
  </si>
  <si>
    <t>ORD10248</t>
  </si>
  <si>
    <t>ORD10249</t>
  </si>
  <si>
    <t>Crypto</t>
  </si>
  <si>
    <t>ORD10250</t>
  </si>
  <si>
    <t>17/05/2025</t>
  </si>
  <si>
    <t>ORD10251</t>
  </si>
  <si>
    <t>ORD10252</t>
  </si>
  <si>
    <t>28/03/1982</t>
  </si>
  <si>
    <t>ORD10253</t>
  </si>
  <si>
    <t>28/12/1976</t>
  </si>
  <si>
    <t>ORD10254</t>
  </si>
  <si>
    <t>ORD10255</t>
  </si>
  <si>
    <t>ORD10256</t>
  </si>
  <si>
    <t>ORD10257</t>
  </si>
  <si>
    <t>ORD10258</t>
  </si>
  <si>
    <t>13/01/1985</t>
  </si>
  <si>
    <t>ORD10259</t>
  </si>
  <si>
    <t>24/07/1979</t>
  </si>
  <si>
    <t>ORD10260</t>
  </si>
  <si>
    <t>ORD10261</t>
  </si>
  <si>
    <t>23/08/1975</t>
  </si>
  <si>
    <t>ORD10262</t>
  </si>
  <si>
    <t>23/04/1978</t>
  </si>
  <si>
    <t>ORD10263</t>
  </si>
  <si>
    <t>25/09/2003</t>
  </si>
  <si>
    <t>ORD10264</t>
  </si>
  <si>
    <t>ORD10265</t>
  </si>
  <si>
    <t>24/09/1985</t>
  </si>
  <si>
    <t>ORD10266</t>
  </si>
  <si>
    <t>ORD10267</t>
  </si>
  <si>
    <t>20/07/1984</t>
  </si>
  <si>
    <t>ORD10268</t>
  </si>
  <si>
    <t>15/03/1988</t>
  </si>
  <si>
    <t>ORD10269</t>
  </si>
  <si>
    <t>27/05/1987</t>
  </si>
  <si>
    <t>ORD10270</t>
  </si>
  <si>
    <t>25/10/1988</t>
  </si>
  <si>
    <t>ORD10271</t>
  </si>
  <si>
    <t>ORD10272</t>
  </si>
  <si>
    <t>23/02/1981</t>
  </si>
  <si>
    <t>ORD10273</t>
  </si>
  <si>
    <t>ORD10274</t>
  </si>
  <si>
    <t>ORD10275</t>
  </si>
  <si>
    <t>13/05/1978</t>
  </si>
  <si>
    <t>ORD10276</t>
  </si>
  <si>
    <t>19/08/1998</t>
  </si>
  <si>
    <t>ORD10277</t>
  </si>
  <si>
    <t>20/10/1975</t>
  </si>
  <si>
    <t>ORD10278</t>
  </si>
  <si>
    <t>29/01/2026</t>
  </si>
  <si>
    <t>28/09/1975</t>
  </si>
  <si>
    <t>ORD10279</t>
  </si>
  <si>
    <t>23/09/2002</t>
  </si>
  <si>
    <t>ORD10280</t>
  </si>
  <si>
    <t>30/06/2025</t>
  </si>
  <si>
    <t>17/06/1988</t>
  </si>
  <si>
    <t>ORD10281</t>
  </si>
  <si>
    <t>ORD10282</t>
  </si>
  <si>
    <t>ORD10283</t>
  </si>
  <si>
    <t>ORD10284</t>
  </si>
  <si>
    <t>27/02/2026</t>
  </si>
  <si>
    <t>28/03/1995</t>
  </si>
  <si>
    <t>ORD10285</t>
  </si>
  <si>
    <t>ORD10286</t>
  </si>
  <si>
    <t>30/09/2025</t>
  </si>
  <si>
    <t>23/01/1981</t>
  </si>
  <si>
    <t>ORD10287</t>
  </si>
  <si>
    <t>28/09/1984</t>
  </si>
  <si>
    <t>ORD10288</t>
  </si>
  <si>
    <t>priya.patecompany.com</t>
  </si>
  <si>
    <t>ORD10289</t>
  </si>
  <si>
    <t>26/06/1995</t>
  </si>
  <si>
    <t>ORD10290</t>
  </si>
  <si>
    <t>21/11/1979</t>
  </si>
  <si>
    <t>ORD10291</t>
  </si>
  <si>
    <t>ORD10292</t>
  </si>
  <si>
    <t>ORD10293</t>
  </si>
  <si>
    <t>14/12/1989</t>
  </si>
  <si>
    <t>Pooja.shah@company.com</t>
  </si>
  <si>
    <t>ORD10294</t>
  </si>
  <si>
    <t>15/12/1988</t>
  </si>
  <si>
    <t>ORD10295</t>
  </si>
  <si>
    <t>14/02/2025</t>
  </si>
  <si>
    <t>20/10/1990</t>
  </si>
  <si>
    <t>ORD10296</t>
  </si>
  <si>
    <t>ORD10297</t>
  </si>
  <si>
    <t>ORD10298</t>
  </si>
  <si>
    <t>ORD10299</t>
  </si>
  <si>
    <t>17/10/2025</t>
  </si>
  <si>
    <t>ORD10300</t>
  </si>
  <si>
    <t>26/01/2003</t>
  </si>
  <si>
    <t>ORD10301</t>
  </si>
  <si>
    <t>20/05/1987</t>
  </si>
  <si>
    <t>ORD10302</t>
  </si>
  <si>
    <t>ORD10303</t>
  </si>
  <si>
    <t>ORD10304</t>
  </si>
  <si>
    <t>ORD10305</t>
  </si>
  <si>
    <t>20/08/1998</t>
  </si>
  <si>
    <t>ORD10306</t>
  </si>
  <si>
    <t>ORD10307</t>
  </si>
  <si>
    <t>ORD10308</t>
  </si>
  <si>
    <t>ORD10309</t>
  </si>
  <si>
    <t>ORD10310</t>
  </si>
  <si>
    <t>14/08/1989</t>
  </si>
  <si>
    <t>ORD10311</t>
  </si>
  <si>
    <t>16/10/2025</t>
  </si>
  <si>
    <t>ORD10312</t>
  </si>
  <si>
    <t>28/04/2026</t>
  </si>
  <si>
    <t>13/08/1989</t>
  </si>
  <si>
    <t>ORD10313</t>
  </si>
  <si>
    <t>ORD10314</t>
  </si>
  <si>
    <t>16/11/1995</t>
  </si>
  <si>
    <t>ORD10315</t>
  </si>
  <si>
    <t>24/11/1989</t>
  </si>
  <si>
    <t>ORD10316</t>
  </si>
  <si>
    <t>30/12/2025</t>
  </si>
  <si>
    <t>20/04/1988</t>
  </si>
  <si>
    <t>ORD10317</t>
  </si>
  <si>
    <t>ORD10318</t>
  </si>
  <si>
    <t>13/12/1989</t>
  </si>
  <si>
    <t>ORD10319</t>
  </si>
  <si>
    <t>ORD10320</t>
  </si>
  <si>
    <t>23/10/1994</t>
  </si>
  <si>
    <t>ORD10321</t>
  </si>
  <si>
    <t>21/05/1996</t>
  </si>
  <si>
    <t>ORD10322</t>
  </si>
  <si>
    <t>26/05/1982</t>
  </si>
  <si>
    <t>ORD10323</t>
  </si>
  <si>
    <t>22/11/2001</t>
  </si>
  <si>
    <t>ORD10324</t>
  </si>
  <si>
    <t>26/02/1989</t>
  </si>
  <si>
    <t>ORD10325</t>
  </si>
  <si>
    <t>21/12/2025</t>
  </si>
  <si>
    <t>18/08/1985</t>
  </si>
  <si>
    <t>ORD10326</t>
  </si>
  <si>
    <t>ORD10327</t>
  </si>
  <si>
    <t>28/11/2025</t>
  </si>
  <si>
    <t>ORD10328</t>
  </si>
  <si>
    <t>ORD10329</t>
  </si>
  <si>
    <t>28/12/2004</t>
  </si>
  <si>
    <t>ORD10330</t>
  </si>
  <si>
    <t>ORD10331</t>
  </si>
  <si>
    <t>ORD10332</t>
  </si>
  <si>
    <t>ORD10333</t>
  </si>
  <si>
    <t>ORD10334</t>
  </si>
  <si>
    <t>ORD10335</t>
  </si>
  <si>
    <t>27/10/1984</t>
  </si>
  <si>
    <t>ORD10336</t>
  </si>
  <si>
    <t>28/02/1975</t>
  </si>
  <si>
    <t>ORD10337</t>
  </si>
  <si>
    <t>19/10/1993</t>
  </si>
  <si>
    <t>ORD10338</t>
  </si>
  <si>
    <t>25/10/1983</t>
  </si>
  <si>
    <t>ORD10339</t>
  </si>
  <si>
    <t>ORD10340</t>
  </si>
  <si>
    <t>14/12/1983</t>
  </si>
  <si>
    <t>ORD10341</t>
  </si>
  <si>
    <t>26/09/1983</t>
  </si>
  <si>
    <t>ORD10342</t>
  </si>
  <si>
    <t>23/05/1975</t>
  </si>
  <si>
    <t>ORD10343</t>
  </si>
  <si>
    <t>ORD10344</t>
  </si>
  <si>
    <t>17/12/1987</t>
  </si>
  <si>
    <t>ORD10345</t>
  </si>
  <si>
    <t>17/08/2025</t>
  </si>
  <si>
    <t>19/06/1975</t>
  </si>
  <si>
    <t>ORD10346</t>
  </si>
  <si>
    <t>ORD10347</t>
  </si>
  <si>
    <t>20/09/1993</t>
  </si>
  <si>
    <t>ORD10348</t>
  </si>
  <si>
    <t>ORD10349</t>
  </si>
  <si>
    <t>P999</t>
  </si>
  <si>
    <t>ORD10350</t>
  </si>
  <si>
    <t>18/04/1984</t>
  </si>
  <si>
    <t>ORD10351</t>
  </si>
  <si>
    <t>ORD10352</t>
  </si>
  <si>
    <t>25/10/1992</t>
  </si>
  <si>
    <t>ORD10353</t>
  </si>
  <si>
    <t>ORD10354</t>
  </si>
  <si>
    <t>24/06/1987</t>
  </si>
  <si>
    <t>ORD10355</t>
  </si>
  <si>
    <t>25/09/2025</t>
  </si>
  <si>
    <t>19/10/1989</t>
  </si>
  <si>
    <t>ORD10356</t>
  </si>
  <si>
    <t>22/05/1992</t>
  </si>
  <si>
    <t>ORD10357</t>
  </si>
  <si>
    <t>ORD10358</t>
  </si>
  <si>
    <t>ORD10359</t>
  </si>
  <si>
    <t>ORD10360</t>
  </si>
  <si>
    <t>ORD10361</t>
  </si>
  <si>
    <t>18/05/2026</t>
  </si>
  <si>
    <t>14/03/1999</t>
  </si>
  <si>
    <t>ORD10362</t>
  </si>
  <si>
    <t>ORD10363</t>
  </si>
  <si>
    <t>ORD10364</t>
  </si>
  <si>
    <t>ORD10365</t>
  </si>
  <si>
    <t>19/04/1985</t>
  </si>
  <si>
    <t>ORD10366</t>
  </si>
  <si>
    <t>13/08/2003</t>
  </si>
  <si>
    <t>ORD10367</t>
  </si>
  <si>
    <t>ORD10368</t>
  </si>
  <si>
    <t>ORD10369</t>
  </si>
  <si>
    <t>ORD10370</t>
  </si>
  <si>
    <t>14/05/1992</t>
  </si>
  <si>
    <t>ORD10371</t>
  </si>
  <si>
    <t>ORD10372</t>
  </si>
  <si>
    <t>17/06/2025</t>
  </si>
  <si>
    <t>19/12/1990</t>
  </si>
  <si>
    <t>ORD10373</t>
  </si>
  <si>
    <t>ORD10374</t>
  </si>
  <si>
    <t>23/12/1998</t>
  </si>
  <si>
    <t>ORD10375</t>
  </si>
  <si>
    <t>23/12/1979</t>
  </si>
  <si>
    <t>ORD10376</t>
  </si>
  <si>
    <t>15/12/1975</t>
  </si>
  <si>
    <t>ORD10377</t>
  </si>
  <si>
    <t>17/05/1993</t>
  </si>
  <si>
    <t>ORD10378</t>
  </si>
  <si>
    <t>17/09/1976</t>
  </si>
  <si>
    <t>ORD10379</t>
  </si>
  <si>
    <t>22/12/1996</t>
  </si>
  <si>
    <t>ORD10380</t>
  </si>
  <si>
    <t>25/12/1995</t>
  </si>
  <si>
    <t>ORD10381</t>
  </si>
  <si>
    <t>23/06/1985</t>
  </si>
  <si>
    <t>ORD10382</t>
  </si>
  <si>
    <t>ORD10383</t>
  </si>
  <si>
    <t>ORD10384</t>
  </si>
  <si>
    <t>17/07/2003</t>
  </si>
  <si>
    <t>ORD10385</t>
  </si>
  <si>
    <t>23/02/2026</t>
  </si>
  <si>
    <t>ORD10386</t>
  </si>
  <si>
    <t>ORD10387</t>
  </si>
  <si>
    <t>24/10/2025</t>
  </si>
  <si>
    <t>ORD10388</t>
  </si>
  <si>
    <t>25/01/2026</t>
  </si>
  <si>
    <t>15/03/1983</t>
  </si>
  <si>
    <t>ORD10389</t>
  </si>
  <si>
    <t>20/04/1976</t>
  </si>
  <si>
    <t>ORD10390</t>
  </si>
  <si>
    <t>ORD10391</t>
  </si>
  <si>
    <t>21/03/1978</t>
  </si>
  <si>
    <t>ORD10392</t>
  </si>
  <si>
    <t>ORD10393</t>
  </si>
  <si>
    <t>ORD10394</t>
  </si>
  <si>
    <t>23/03/1996</t>
  </si>
  <si>
    <t>ORD10395</t>
  </si>
  <si>
    <t>26/02/2026</t>
  </si>
  <si>
    <t>23/06/1994</t>
  </si>
  <si>
    <t>ORD10396</t>
  </si>
  <si>
    <t>15/08/2025</t>
  </si>
  <si>
    <t>ORD10397</t>
  </si>
  <si>
    <t>18/01/2025</t>
  </si>
  <si>
    <t>24/08/1990</t>
  </si>
  <si>
    <t>ORD10398</t>
  </si>
  <si>
    <t>ORD10399</t>
  </si>
  <si>
    <t>ORD10400</t>
  </si>
  <si>
    <t>ORD10401</t>
  </si>
  <si>
    <t>ORD10402</t>
  </si>
  <si>
    <t>ORD10403</t>
  </si>
  <si>
    <t>22/10/1993</t>
  </si>
  <si>
    <t>ORD10404</t>
  </si>
  <si>
    <t>ORD10405</t>
  </si>
  <si>
    <t>18/02/1984</t>
  </si>
  <si>
    <t>ORD10406</t>
  </si>
  <si>
    <t>13/06/1991</t>
  </si>
  <si>
    <t>ORD10407</t>
  </si>
  <si>
    <t>19/05/1996</t>
  </si>
  <si>
    <t>ORD10408</t>
  </si>
  <si>
    <t>23/05/1992</t>
  </si>
  <si>
    <t>ORD10409</t>
  </si>
  <si>
    <t>15/06/1988</t>
  </si>
  <si>
    <t>ORD10410</t>
  </si>
  <si>
    <t>22/07/1993</t>
  </si>
  <si>
    <t>ORD10411</t>
  </si>
  <si>
    <t>17/05/2026</t>
  </si>
  <si>
    <t>ORD10412</t>
  </si>
  <si>
    <t>23/12/1978</t>
  </si>
  <si>
    <t>ORD10413</t>
  </si>
  <si>
    <t>15/10/1993</t>
  </si>
  <si>
    <t>ORD10414</t>
  </si>
  <si>
    <t>ORD10415</t>
  </si>
  <si>
    <t>24/05/2002</t>
  </si>
  <si>
    <t>ORD10416</t>
  </si>
  <si>
    <t>ORD10417</t>
  </si>
  <si>
    <t>20/09/1980</t>
  </si>
  <si>
    <t>ORD10418</t>
  </si>
  <si>
    <t>24/06/1988</t>
  </si>
  <si>
    <t>ORD10419</t>
  </si>
  <si>
    <t>ORD10420</t>
  </si>
  <si>
    <t>ORD10421</t>
  </si>
  <si>
    <t>26/09/2025</t>
  </si>
  <si>
    <t>24/02/1975</t>
  </si>
  <si>
    <t>ORD10422</t>
  </si>
  <si>
    <t>27/09/1977</t>
  </si>
  <si>
    <t>ORD10423</t>
  </si>
  <si>
    <t>25/12/1987</t>
  </si>
  <si>
    <t>ORD10424</t>
  </si>
  <si>
    <t>23/03/2001</t>
  </si>
  <si>
    <t>ORD10425</t>
  </si>
  <si>
    <t>22/01/2026</t>
  </si>
  <si>
    <t>ORD10426</t>
  </si>
  <si>
    <t>15/09/1986</t>
  </si>
  <si>
    <t>ORD10427</t>
  </si>
  <si>
    <t>30/11/2025</t>
  </si>
  <si>
    <t>ORD10428</t>
  </si>
  <si>
    <t>15/02/2025</t>
  </si>
  <si>
    <t>15/09/1998</t>
  </si>
  <si>
    <t>ORD10429</t>
  </si>
  <si>
    <t>17/10/1985</t>
  </si>
  <si>
    <t>ORD10430</t>
  </si>
  <si>
    <t>29/08/2025</t>
  </si>
  <si>
    <t>15/08/1995</t>
  </si>
  <si>
    <t>ORD10431</t>
  </si>
  <si>
    <t>27/08/1985</t>
  </si>
  <si>
    <t>ORD10432</t>
  </si>
  <si>
    <t>ORD10433</t>
  </si>
  <si>
    <t>25/03/1997</t>
  </si>
  <si>
    <t>ORD10434</t>
  </si>
  <si>
    <t>18/04/1997</t>
  </si>
  <si>
    <t>ORD10435</t>
  </si>
  <si>
    <t>28/05/1999</t>
  </si>
  <si>
    <t>ORD10436</t>
  </si>
  <si>
    <t>25/06/1983</t>
  </si>
  <si>
    <t>ORD10437</t>
  </si>
  <si>
    <t>26/01/1993</t>
  </si>
  <si>
    <t>ORD10438</t>
  </si>
  <si>
    <t>ORD10439</t>
  </si>
  <si>
    <t>25/10/2025</t>
  </si>
  <si>
    <t>13/09/1976</t>
  </si>
  <si>
    <t>ORD10440</t>
  </si>
  <si>
    <t>27/07/1991</t>
  </si>
  <si>
    <t>ORD10441</t>
  </si>
  <si>
    <t>25/10/1987</t>
  </si>
  <si>
    <t>ORD10442</t>
  </si>
  <si>
    <t>ORD10443</t>
  </si>
  <si>
    <t>28/12/1983</t>
  </si>
  <si>
    <t>ORD10444</t>
  </si>
  <si>
    <t>15/09/1992</t>
  </si>
  <si>
    <t>ORD10445</t>
  </si>
  <si>
    <t>ORD10446</t>
  </si>
  <si>
    <t>27/02/1990</t>
  </si>
  <si>
    <t>ORD10447</t>
  </si>
  <si>
    <t>27/03/1994</t>
  </si>
  <si>
    <t>ORD10448</t>
  </si>
  <si>
    <t>ORD10449</t>
  </si>
  <si>
    <t>amit.SHarma@company.com</t>
  </si>
  <si>
    <t>ORD10450</t>
  </si>
  <si>
    <t>21/04/1998</t>
  </si>
  <si>
    <t>ORD10451</t>
  </si>
  <si>
    <t>ORD10452</t>
  </si>
  <si>
    <t>ORD10453</t>
  </si>
  <si>
    <t>ORD10454</t>
  </si>
  <si>
    <t>13/04/2026</t>
  </si>
  <si>
    <t>ORD10455</t>
  </si>
  <si>
    <t>27/03/1990</t>
  </si>
  <si>
    <t>ORD10456</t>
  </si>
  <si>
    <t>28/05/2003</t>
  </si>
  <si>
    <t>ORD10457</t>
  </si>
  <si>
    <t>ORD10458</t>
  </si>
  <si>
    <t>ORD10459</t>
  </si>
  <si>
    <t>ORD10460</t>
  </si>
  <si>
    <t>ORD10461</t>
  </si>
  <si>
    <t>17/07/2002</t>
  </si>
  <si>
    <t>ORD10462</t>
  </si>
  <si>
    <t>rohit.sinGh@company.com</t>
  </si>
  <si>
    <t>ORD10463</t>
  </si>
  <si>
    <t>23/06/1990</t>
  </si>
  <si>
    <t>ORD10464</t>
  </si>
  <si>
    <t>ORD10465</t>
  </si>
  <si>
    <t>22/07/2000</t>
  </si>
  <si>
    <t>ORD10466</t>
  </si>
  <si>
    <t>20/03/1985</t>
  </si>
  <si>
    <t>ORD10467</t>
  </si>
  <si>
    <t>ORD10468</t>
  </si>
  <si>
    <t>26/04/1997</t>
  </si>
  <si>
    <t>ORD10469</t>
  </si>
  <si>
    <t>22/05/2001</t>
  </si>
  <si>
    <t>ORD10470</t>
  </si>
  <si>
    <t>19/06/1982</t>
  </si>
  <si>
    <t>ORD10471</t>
  </si>
  <si>
    <t>23/06/1999</t>
  </si>
  <si>
    <t>ORD10472</t>
  </si>
  <si>
    <t>ORD10473</t>
  </si>
  <si>
    <t>ORD10474</t>
  </si>
  <si>
    <t>ORD10475</t>
  </si>
  <si>
    <t>ORD10476</t>
  </si>
  <si>
    <t>ORD10477</t>
  </si>
  <si>
    <t>23/08/2001</t>
  </si>
  <si>
    <t>ORD10478</t>
  </si>
  <si>
    <t>23/01/1998</t>
  </si>
  <si>
    <t>kavya.Nair@company.com</t>
  </si>
  <si>
    <t>ORD10479</t>
  </si>
  <si>
    <t>28/05/2004</t>
  </si>
  <si>
    <t>ORD10480</t>
  </si>
  <si>
    <t>ORD10481</t>
  </si>
  <si>
    <t>ORD10482</t>
  </si>
  <si>
    <t>21/08/1981</t>
  </si>
  <si>
    <t>ORD10483</t>
  </si>
  <si>
    <t>Mohit verma</t>
  </si>
  <si>
    <t>23/04/1992</t>
  </si>
  <si>
    <t>ORD10484</t>
  </si>
  <si>
    <t>ORD10485</t>
  </si>
  <si>
    <t>ORD10486</t>
  </si>
  <si>
    <t>ORD10487</t>
  </si>
  <si>
    <t>ORD10488</t>
  </si>
  <si>
    <t>pOOja.shah@company.com</t>
  </si>
  <si>
    <t>ORD10489</t>
  </si>
  <si>
    <t>ORD10490</t>
  </si>
  <si>
    <t>ORD10491</t>
  </si>
  <si>
    <t>ORD10492</t>
  </si>
  <si>
    <t>19/12/1982</t>
  </si>
  <si>
    <t>ORD10493</t>
  </si>
  <si>
    <t>ORD10494</t>
  </si>
  <si>
    <t>18/10/2001</t>
  </si>
  <si>
    <t>ORD10495</t>
  </si>
  <si>
    <t>21/12/2000</t>
  </si>
  <si>
    <t>ORD10496</t>
  </si>
  <si>
    <t>20/02/1983</t>
  </si>
  <si>
    <t>ORD10497</t>
  </si>
  <si>
    <t>13/06/1988</t>
  </si>
  <si>
    <t>ORD10498</t>
  </si>
  <si>
    <t>22/07/1992</t>
  </si>
  <si>
    <t>ORD10499</t>
  </si>
  <si>
    <t>Laptop,Mouse</t>
  </si>
  <si>
    <t>ORD10500</t>
  </si>
  <si>
    <t>24/11/1976</t>
  </si>
  <si>
    <t>Sales SummaryReport</t>
  </si>
  <si>
    <t>Quesstion</t>
  </si>
  <si>
    <t>Result</t>
  </si>
  <si>
    <t xml:space="preserve">Electronics Completed Orders Total Sales </t>
  </si>
  <si>
    <t>Neha North Region Total Sales</t>
  </si>
  <si>
    <t>Orders With Discount&gt;=15%and UPI</t>
  </si>
  <si>
    <t>Customerss With Rating 5and Completed Orders</t>
  </si>
  <si>
    <t>Average Sales in West Region with Quantity&gt;5</t>
  </si>
  <si>
    <t>Sales Statistics Report</t>
  </si>
  <si>
    <t>Statistic</t>
  </si>
  <si>
    <t>Average Sales</t>
  </si>
  <si>
    <t>Median Sales</t>
  </si>
  <si>
    <t>Highest Sales</t>
  </si>
  <si>
    <t>Lowest Sales</t>
  </si>
  <si>
    <t xml:space="preserve">Standard Deviation </t>
  </si>
  <si>
    <t>90th Percentile</t>
  </si>
  <si>
    <t>90th percentile Meaaning</t>
  </si>
  <si>
    <t>90% of Sales Values are less than or equal to this value.</t>
  </si>
  <si>
    <t>Financial Analysis Report</t>
  </si>
  <si>
    <t xml:space="preserve">Metrics </t>
  </si>
  <si>
    <t xml:space="preserve">Future Value of Monthly Investment </t>
  </si>
  <si>
    <t xml:space="preserve">Monthly Investment Required </t>
  </si>
  <si>
    <t>Monthly EMI For Equipment Loan</t>
  </si>
  <si>
    <t xml:space="preserve">Product Performance Report </t>
  </si>
  <si>
    <t>Metric</t>
  </si>
  <si>
    <t>Total Revenue(Quantity*Unit Price)</t>
  </si>
  <si>
    <t>Weighted Average Unit Price</t>
  </si>
  <si>
    <t>Difference Between Calculated Revenue and Sales</t>
  </si>
  <si>
    <t>Total Discounted Amount</t>
  </si>
  <si>
    <t>month-year</t>
  </si>
  <si>
    <t>Not Assigned</t>
  </si>
  <si>
    <t>Product Lookup Report</t>
  </si>
  <si>
    <t>Order_ID</t>
  </si>
  <si>
    <t xml:space="preserve">enter Product ID </t>
  </si>
  <si>
    <t>Product Name</t>
  </si>
  <si>
    <t>Unit Price</t>
  </si>
  <si>
    <t xml:space="preserve">Salesperson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</si>
</sst>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[$₹-4009]\ #,##0.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Aptos Narrow"/>
      <charset val="1"/>
    </font>
    <font>
      <sz val="11"/>
      <color theme="1"/>
      <name val="Aptos Narrow"/>
      <charset val="1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83CAEB"/>
        <bgColor indexed="64"/>
      </patternFill>
    </fill>
    <fill>
      <patternFill patternType="solid">
        <fgColor rgb="FFC1E4F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ck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ck">
        <color rgb="FFFFFFFF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ck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ck">
        <color rgb="FFFFFFFF"/>
      </bottom>
      <diagonal/>
    </border>
    <border>
      <left/>
      <right style="thin">
        <color rgb="FFFFFFFF"/>
      </right>
      <top style="thin">
        <color rgb="FFCCCCCC"/>
      </top>
      <bottom style="thin">
        <color rgb="FFFFFFFF"/>
      </bottom>
      <diagonal/>
    </border>
    <border>
      <left/>
      <right style="thin">
        <color rgb="FFFFFFFF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readingOrder="1"/>
    </xf>
    <xf numFmtId="0" fontId="2" fillId="2" borderId="2" xfId="0" applyFont="1" applyFill="1" applyBorder="1" applyAlignment="1">
      <alignment horizontal="center" readingOrder="1"/>
    </xf>
    <xf numFmtId="0" fontId="2" fillId="2" borderId="3" xfId="0" applyFont="1" applyFill="1" applyBorder="1" applyAlignment="1">
      <alignment horizontal="center" readingOrder="1"/>
    </xf>
    <xf numFmtId="0" fontId="3" fillId="3" borderId="4" xfId="0" applyFont="1" applyFill="1" applyBorder="1" applyAlignment="1">
      <alignment horizontal="center" readingOrder="1"/>
    </xf>
    <xf numFmtId="0" fontId="3" fillId="3" borderId="5" xfId="0" applyFont="1" applyFill="1" applyBorder="1" applyAlignment="1">
      <alignment horizontal="center" readingOrder="1"/>
    </xf>
    <xf numFmtId="14" fontId="3" fillId="3" borderId="5" xfId="0" applyNumberFormat="1" applyFont="1" applyFill="1" applyBorder="1" applyAlignment="1">
      <alignment horizontal="center" readingOrder="1"/>
    </xf>
    <xf numFmtId="0" fontId="1" fillId="3" borderId="5" xfId="1" applyFill="1" applyBorder="1" applyAlignment="1">
      <alignment horizontal="center" readingOrder="1"/>
    </xf>
    <xf numFmtId="0" fontId="3" fillId="3" borderId="6" xfId="0" applyFont="1" applyFill="1" applyBorder="1" applyAlignment="1">
      <alignment horizontal="center" readingOrder="1"/>
    </xf>
    <xf numFmtId="0" fontId="3" fillId="4" borderId="4" xfId="0" applyFont="1" applyFill="1" applyBorder="1" applyAlignment="1">
      <alignment horizontal="center" readingOrder="1"/>
    </xf>
    <xf numFmtId="0" fontId="3" fillId="4" borderId="5" xfId="0" applyFont="1" applyFill="1" applyBorder="1" applyAlignment="1">
      <alignment horizontal="center" readingOrder="1"/>
    </xf>
    <xf numFmtId="14" fontId="3" fillId="4" borderId="5" xfId="0" applyNumberFormat="1" applyFont="1" applyFill="1" applyBorder="1" applyAlignment="1">
      <alignment horizontal="center" readingOrder="1"/>
    </xf>
    <xf numFmtId="0" fontId="3" fillId="4" borderId="6" xfId="0" applyFont="1" applyFill="1" applyBorder="1" applyAlignment="1">
      <alignment horizontal="center" readingOrder="1"/>
    </xf>
    <xf numFmtId="0" fontId="1" fillId="4" borderId="5" xfId="1" applyFill="1" applyBorder="1" applyAlignment="1">
      <alignment horizontal="center" readingOrder="1"/>
    </xf>
    <xf numFmtId="0" fontId="3" fillId="3" borderId="7" xfId="0" applyFont="1" applyFill="1" applyBorder="1" applyAlignment="1">
      <alignment horizontal="center" readingOrder="1"/>
    </xf>
    <xf numFmtId="0" fontId="3" fillId="4" borderId="7" xfId="0" applyFont="1" applyFill="1" applyBorder="1" applyAlignment="1">
      <alignment horizontal="center" readingOrder="1"/>
    </xf>
    <xf numFmtId="14" fontId="3" fillId="3" borderId="7" xfId="0" applyNumberFormat="1" applyFont="1" applyFill="1" applyBorder="1" applyAlignment="1">
      <alignment horizontal="center" readingOrder="1"/>
    </xf>
    <xf numFmtId="0" fontId="3" fillId="4" borderId="8" xfId="0" applyFont="1" applyFill="1" applyBorder="1" applyAlignment="1">
      <alignment horizontal="center" readingOrder="1"/>
    </xf>
    <xf numFmtId="0" fontId="3" fillId="4" borderId="9" xfId="0" applyFont="1" applyFill="1" applyBorder="1" applyAlignment="1">
      <alignment horizontal="center" readingOrder="1"/>
    </xf>
    <xf numFmtId="0" fontId="3" fillId="4" borderId="10" xfId="0" applyFont="1" applyFill="1" applyBorder="1" applyAlignment="1">
      <alignment horizontal="center" readingOrder="1"/>
    </xf>
    <xf numFmtId="0" fontId="0" fillId="0" borderId="0" xfId="0" quotePrefix="1"/>
    <xf numFmtId="0" fontId="0" fillId="0" borderId="11" xfId="0" applyBorder="1"/>
    <xf numFmtId="9" fontId="0" fillId="0" borderId="11" xfId="0" applyNumberFormat="1" applyBorder="1"/>
    <xf numFmtId="0" fontId="4" fillId="0" borderId="11" xfId="0" applyFont="1" applyBorder="1"/>
    <xf numFmtId="43" fontId="0" fillId="0" borderId="11" xfId="0" applyNumberFormat="1" applyBorder="1"/>
    <xf numFmtId="164" fontId="0" fillId="0" borderId="11" xfId="0" applyNumberFormat="1" applyBorder="1"/>
    <xf numFmtId="0" fontId="0" fillId="0" borderId="11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4" fillId="0" borderId="11" xfId="0" applyFont="1" applyBorder="1" applyAlignment="1">
      <alignment horizontal="center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2" fillId="2" borderId="12" xfId="0" applyFont="1" applyFill="1" applyBorder="1" applyAlignment="1">
      <alignment horizontal="center" readingOrder="1"/>
    </xf>
    <xf numFmtId="0" fontId="3" fillId="3" borderId="13" xfId="0" applyFont="1" applyFill="1" applyBorder="1" applyAlignment="1">
      <alignment horizontal="center" readingOrder="1"/>
    </xf>
    <xf numFmtId="0" fontId="3" fillId="4" borderId="13" xfId="0" applyFont="1" applyFill="1" applyBorder="1" applyAlignment="1">
      <alignment horizontal="center" readingOrder="1"/>
    </xf>
    <xf numFmtId="0" fontId="3" fillId="4" borderId="14" xfId="0" applyFont="1" applyFill="1" applyBorder="1" applyAlignment="1">
      <alignment horizontal="center" readingOrder="1"/>
    </xf>
    <xf numFmtId="0" fontId="5" fillId="0" borderId="0" xfId="0" applyFont="1"/>
  </cellXfs>
  <cellStyles count="2">
    <cellStyle name="Hyperlink" xfId="1" builtinId="8"/>
    <cellStyle name="Normal" xfId="0" builtinId="0"/>
  </cellStyles>
  <dxfs count="23"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fill>
        <patternFill patternType="solid">
          <fgColor indexed="64"/>
          <bgColor rgb="FFC1E4F5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9.xlsx]Sales 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Dashboard'!$B$17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Dashboard'!$A$18:$A$19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'Sales Dashboard'!$B$18:$B$19</c:f>
              <c:numCache>
                <c:formatCode>General</c:formatCode>
                <c:ptCount val="1"/>
                <c:pt idx="0">
                  <c:v>4041922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0-4250-98F5-FEB3BEE4B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840903"/>
        <c:axId val="1238416903"/>
      </c:barChart>
      <c:catAx>
        <c:axId val="1237840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416903"/>
        <c:crosses val="autoZero"/>
        <c:auto val="1"/>
        <c:lblAlgn val="ctr"/>
        <c:lblOffset val="100"/>
        <c:noMultiLvlLbl val="0"/>
      </c:catAx>
      <c:valAx>
        <c:axId val="123841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840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9.xlsx]Sales 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Dashboard'!$P$13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C2-44C2-A51E-8E1F56517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C2-44C2-A51E-8E1F565170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C2-44C2-A51E-8E1F565170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C2-44C2-A51E-8E1F565170F7}"/>
              </c:ext>
            </c:extLst>
          </c:dPt>
          <c:cat>
            <c:strRef>
              <c:f>'Sales Dashboard'!$O$14:$O$15</c:f>
              <c:strCache>
                <c:ptCount val="1"/>
                <c:pt idx="0">
                  <c:v>Home Appliances</c:v>
                </c:pt>
              </c:strCache>
            </c:strRef>
          </c:cat>
          <c:val>
            <c:numRef>
              <c:f>'Sales Dashboard'!$P$14:$P$15</c:f>
              <c:numCache>
                <c:formatCode>General</c:formatCode>
                <c:ptCount val="1"/>
                <c:pt idx="0">
                  <c:v>7000575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7-4C32-80D2-F0A19E273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468310645663312E-2"/>
          <c:y val="0.88150161582966802"/>
          <c:w val="0.88922987751531068"/>
          <c:h val="8.9331802274715655E-2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9.xlsx]Sales Dashboard!PivotTable7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Dashboard'!$H$5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Dashboard'!$G$6:$G$333</c:f>
              <c:strCache>
                <c:ptCount val="327"/>
                <c:pt idx="0">
                  <c:v>\</c:v>
                </c:pt>
                <c:pt idx="1">
                  <c:v>13/01/2025</c:v>
                </c:pt>
                <c:pt idx="2">
                  <c:v>13/01/2026</c:v>
                </c:pt>
                <c:pt idx="3">
                  <c:v>13/02/2025</c:v>
                </c:pt>
                <c:pt idx="4">
                  <c:v>13/02/2026</c:v>
                </c:pt>
                <c:pt idx="5">
                  <c:v>13/03/2025</c:v>
                </c:pt>
                <c:pt idx="6">
                  <c:v>13/03/2026</c:v>
                </c:pt>
                <c:pt idx="7">
                  <c:v>13/04/2025</c:v>
                </c:pt>
                <c:pt idx="8">
                  <c:v>13/05/2025</c:v>
                </c:pt>
                <c:pt idx="9">
                  <c:v>13/05/2026</c:v>
                </c:pt>
                <c:pt idx="10">
                  <c:v>13/08/2025</c:v>
                </c:pt>
                <c:pt idx="11">
                  <c:v>13/10/2025</c:v>
                </c:pt>
                <c:pt idx="12">
                  <c:v>13/12/2025</c:v>
                </c:pt>
                <c:pt idx="13">
                  <c:v>14/01/2026</c:v>
                </c:pt>
                <c:pt idx="14">
                  <c:v>14/02/2026</c:v>
                </c:pt>
                <c:pt idx="15">
                  <c:v>14/03/2025</c:v>
                </c:pt>
                <c:pt idx="16">
                  <c:v>14/03/2026</c:v>
                </c:pt>
                <c:pt idx="17">
                  <c:v>14/05/2025</c:v>
                </c:pt>
                <c:pt idx="18">
                  <c:v>14/06/2025</c:v>
                </c:pt>
                <c:pt idx="19">
                  <c:v>14/07/2025</c:v>
                </c:pt>
                <c:pt idx="20">
                  <c:v>14/12/2025</c:v>
                </c:pt>
                <c:pt idx="21">
                  <c:v>15/01/2025</c:v>
                </c:pt>
                <c:pt idx="22">
                  <c:v>15/03/2026</c:v>
                </c:pt>
                <c:pt idx="23">
                  <c:v>15/04/2026</c:v>
                </c:pt>
                <c:pt idx="24">
                  <c:v>15/05/2025</c:v>
                </c:pt>
                <c:pt idx="25">
                  <c:v>15/06/2025</c:v>
                </c:pt>
                <c:pt idx="26">
                  <c:v>15/09/2025</c:v>
                </c:pt>
                <c:pt idx="27">
                  <c:v>15/10/2025</c:v>
                </c:pt>
                <c:pt idx="28">
                  <c:v>15/11/2025</c:v>
                </c:pt>
                <c:pt idx="29">
                  <c:v>15/12/2025</c:v>
                </c:pt>
                <c:pt idx="30">
                  <c:v>16/01/2025</c:v>
                </c:pt>
                <c:pt idx="31">
                  <c:v>16/01/2026</c:v>
                </c:pt>
                <c:pt idx="32">
                  <c:v>16/02/2025</c:v>
                </c:pt>
                <c:pt idx="33">
                  <c:v>16/03/2025</c:v>
                </c:pt>
                <c:pt idx="34">
                  <c:v>16/03/2026</c:v>
                </c:pt>
                <c:pt idx="35">
                  <c:v>16/04/2026</c:v>
                </c:pt>
                <c:pt idx="36">
                  <c:v>16/05/2025</c:v>
                </c:pt>
                <c:pt idx="37">
                  <c:v>16/05/2026</c:v>
                </c:pt>
                <c:pt idx="38">
                  <c:v>16/06/2025</c:v>
                </c:pt>
                <c:pt idx="39">
                  <c:v>16/08/2025</c:v>
                </c:pt>
                <c:pt idx="40">
                  <c:v>16/09/2025</c:v>
                </c:pt>
                <c:pt idx="41">
                  <c:v>16/11/2025</c:v>
                </c:pt>
                <c:pt idx="42">
                  <c:v>16/12/2025</c:v>
                </c:pt>
                <c:pt idx="43">
                  <c:v>17/01/2025</c:v>
                </c:pt>
                <c:pt idx="44">
                  <c:v>17/01/2026</c:v>
                </c:pt>
                <c:pt idx="45">
                  <c:v>17/02/2025</c:v>
                </c:pt>
                <c:pt idx="46">
                  <c:v>17/02/2026</c:v>
                </c:pt>
                <c:pt idx="47">
                  <c:v>17/03/2025</c:v>
                </c:pt>
                <c:pt idx="48">
                  <c:v>17/03/2026</c:v>
                </c:pt>
                <c:pt idx="49">
                  <c:v>17/04/2025</c:v>
                </c:pt>
                <c:pt idx="50">
                  <c:v>17/04/2026</c:v>
                </c:pt>
                <c:pt idx="51">
                  <c:v>17/09/2025</c:v>
                </c:pt>
                <c:pt idx="52">
                  <c:v>17/12/2025</c:v>
                </c:pt>
                <c:pt idx="53">
                  <c:v>18/01/2026</c:v>
                </c:pt>
                <c:pt idx="54">
                  <c:v>18/02/2025</c:v>
                </c:pt>
                <c:pt idx="55">
                  <c:v>18/02/2026</c:v>
                </c:pt>
                <c:pt idx="56">
                  <c:v>18/03/2025</c:v>
                </c:pt>
                <c:pt idx="57">
                  <c:v>18/04/2025</c:v>
                </c:pt>
                <c:pt idx="58">
                  <c:v>18/05/2025</c:v>
                </c:pt>
                <c:pt idx="59">
                  <c:v>18/07/2025</c:v>
                </c:pt>
                <c:pt idx="60">
                  <c:v>18/09/2025</c:v>
                </c:pt>
                <c:pt idx="61">
                  <c:v>18/10/2025</c:v>
                </c:pt>
                <c:pt idx="62">
                  <c:v>18/11/2025</c:v>
                </c:pt>
                <c:pt idx="63">
                  <c:v>18/12/2025</c:v>
                </c:pt>
                <c:pt idx="64">
                  <c:v>19/01/2026</c:v>
                </c:pt>
                <c:pt idx="65">
                  <c:v>19/02/2025</c:v>
                </c:pt>
                <c:pt idx="66">
                  <c:v>19/02/2026</c:v>
                </c:pt>
                <c:pt idx="67">
                  <c:v>19/04/2025</c:v>
                </c:pt>
                <c:pt idx="68">
                  <c:v>19/04/2026</c:v>
                </c:pt>
                <c:pt idx="69">
                  <c:v>19/05/2025</c:v>
                </c:pt>
                <c:pt idx="70">
                  <c:v>19/06/2025</c:v>
                </c:pt>
                <c:pt idx="71">
                  <c:v>19/07/2025</c:v>
                </c:pt>
                <c:pt idx="72">
                  <c:v>19/08/2025</c:v>
                </c:pt>
                <c:pt idx="73">
                  <c:v>19/09/2025</c:v>
                </c:pt>
                <c:pt idx="74">
                  <c:v>19/10/2025</c:v>
                </c:pt>
                <c:pt idx="75">
                  <c:v>19/11/2025</c:v>
                </c:pt>
                <c:pt idx="76">
                  <c:v>20/02/2025</c:v>
                </c:pt>
                <c:pt idx="77">
                  <c:v>20/02/2026</c:v>
                </c:pt>
                <c:pt idx="78">
                  <c:v>20/03/2025</c:v>
                </c:pt>
                <c:pt idx="79">
                  <c:v>20/04/2025</c:v>
                </c:pt>
                <c:pt idx="80">
                  <c:v>20/04/2026</c:v>
                </c:pt>
                <c:pt idx="81">
                  <c:v>20/05/2025</c:v>
                </c:pt>
                <c:pt idx="82">
                  <c:v>20/06/2025</c:v>
                </c:pt>
                <c:pt idx="83">
                  <c:v>20/07/2025</c:v>
                </c:pt>
                <c:pt idx="84">
                  <c:v>20/08/2025</c:v>
                </c:pt>
                <c:pt idx="85">
                  <c:v>20/10/2025</c:v>
                </c:pt>
                <c:pt idx="86">
                  <c:v>21/01/2025</c:v>
                </c:pt>
                <c:pt idx="87">
                  <c:v>21/01/2026</c:v>
                </c:pt>
                <c:pt idx="88">
                  <c:v>21/02/2025</c:v>
                </c:pt>
                <c:pt idx="89">
                  <c:v>21/02/2026</c:v>
                </c:pt>
                <c:pt idx="90">
                  <c:v>21/03/2026</c:v>
                </c:pt>
                <c:pt idx="91">
                  <c:v>21/04/2025</c:v>
                </c:pt>
                <c:pt idx="92">
                  <c:v>21/06/2025</c:v>
                </c:pt>
                <c:pt idx="93">
                  <c:v>21/07/2025</c:v>
                </c:pt>
                <c:pt idx="94">
                  <c:v>21/09/2025</c:v>
                </c:pt>
                <c:pt idx="95">
                  <c:v>21/10/2025</c:v>
                </c:pt>
                <c:pt idx="96">
                  <c:v>22/01/2025</c:v>
                </c:pt>
                <c:pt idx="97">
                  <c:v>22/02/2025</c:v>
                </c:pt>
                <c:pt idx="98">
                  <c:v>22/02/2026</c:v>
                </c:pt>
                <c:pt idx="99">
                  <c:v>22/03/2026</c:v>
                </c:pt>
                <c:pt idx="100">
                  <c:v>22/04/2025</c:v>
                </c:pt>
                <c:pt idx="101">
                  <c:v>22/04/2026</c:v>
                </c:pt>
                <c:pt idx="102">
                  <c:v>22/05/2025</c:v>
                </c:pt>
                <c:pt idx="103">
                  <c:v>22/06/2025</c:v>
                </c:pt>
                <c:pt idx="104">
                  <c:v>22/07/2025</c:v>
                </c:pt>
                <c:pt idx="105">
                  <c:v>22/09/2025</c:v>
                </c:pt>
                <c:pt idx="106">
                  <c:v>22/10/2025</c:v>
                </c:pt>
                <c:pt idx="107">
                  <c:v>22/12/2025</c:v>
                </c:pt>
                <c:pt idx="108">
                  <c:v>23/01/2026</c:v>
                </c:pt>
                <c:pt idx="109">
                  <c:v>23/02/2025</c:v>
                </c:pt>
                <c:pt idx="110">
                  <c:v>23/03/2025</c:v>
                </c:pt>
                <c:pt idx="111">
                  <c:v>23/03/2026</c:v>
                </c:pt>
                <c:pt idx="112">
                  <c:v>23/04/2025</c:v>
                </c:pt>
                <c:pt idx="113">
                  <c:v>23/04/2026</c:v>
                </c:pt>
                <c:pt idx="114">
                  <c:v>23/07/2025</c:v>
                </c:pt>
                <c:pt idx="115">
                  <c:v>23/08/2025</c:v>
                </c:pt>
                <c:pt idx="116">
                  <c:v>23/10/2025</c:v>
                </c:pt>
                <c:pt idx="117">
                  <c:v>23/12/2025</c:v>
                </c:pt>
                <c:pt idx="118">
                  <c:v>24/01/2025</c:v>
                </c:pt>
                <c:pt idx="119">
                  <c:v>24/01/2026</c:v>
                </c:pt>
                <c:pt idx="120">
                  <c:v>24/02/2026</c:v>
                </c:pt>
                <c:pt idx="121">
                  <c:v>24/03/2026</c:v>
                </c:pt>
                <c:pt idx="122">
                  <c:v>24/04/2026</c:v>
                </c:pt>
                <c:pt idx="123">
                  <c:v>24/05/2025</c:v>
                </c:pt>
                <c:pt idx="124">
                  <c:v>24/06/2025</c:v>
                </c:pt>
                <c:pt idx="125">
                  <c:v>24/08/2025</c:v>
                </c:pt>
                <c:pt idx="126">
                  <c:v>24/12/2025</c:v>
                </c:pt>
                <c:pt idx="127">
                  <c:v>25/01/2025</c:v>
                </c:pt>
                <c:pt idx="128">
                  <c:v>25/02/2025</c:v>
                </c:pt>
                <c:pt idx="129">
                  <c:v>25/02/2026</c:v>
                </c:pt>
                <c:pt idx="130">
                  <c:v>25/03/2025</c:v>
                </c:pt>
                <c:pt idx="131">
                  <c:v>25/04/2025</c:v>
                </c:pt>
                <c:pt idx="132">
                  <c:v>25/04/2026</c:v>
                </c:pt>
                <c:pt idx="133">
                  <c:v>25/05/2025</c:v>
                </c:pt>
                <c:pt idx="134">
                  <c:v>25/06/2025</c:v>
                </c:pt>
                <c:pt idx="135">
                  <c:v>25/07/2025</c:v>
                </c:pt>
                <c:pt idx="136">
                  <c:v>25/08/2025</c:v>
                </c:pt>
                <c:pt idx="137">
                  <c:v>25/11/2025</c:v>
                </c:pt>
                <c:pt idx="138">
                  <c:v>26/01/2025</c:v>
                </c:pt>
                <c:pt idx="139">
                  <c:v>26/01/2026</c:v>
                </c:pt>
                <c:pt idx="140">
                  <c:v>26/02/2025</c:v>
                </c:pt>
                <c:pt idx="141">
                  <c:v>26/03/2025</c:v>
                </c:pt>
                <c:pt idx="142">
                  <c:v>26/03/2026</c:v>
                </c:pt>
                <c:pt idx="143">
                  <c:v>26/04/2025</c:v>
                </c:pt>
                <c:pt idx="144">
                  <c:v>26/04/2026</c:v>
                </c:pt>
                <c:pt idx="145">
                  <c:v>26/05/2025</c:v>
                </c:pt>
                <c:pt idx="146">
                  <c:v>26/06/2025</c:v>
                </c:pt>
                <c:pt idx="147">
                  <c:v>26/07/2025</c:v>
                </c:pt>
                <c:pt idx="148">
                  <c:v>26/08/2025</c:v>
                </c:pt>
                <c:pt idx="149">
                  <c:v>26/12/2025</c:v>
                </c:pt>
                <c:pt idx="150">
                  <c:v>27/01/2025</c:v>
                </c:pt>
                <c:pt idx="151">
                  <c:v>27/01/2026</c:v>
                </c:pt>
                <c:pt idx="152">
                  <c:v>27/02/2025</c:v>
                </c:pt>
                <c:pt idx="153">
                  <c:v>27/03/2025</c:v>
                </c:pt>
                <c:pt idx="154">
                  <c:v>27/03/2026</c:v>
                </c:pt>
                <c:pt idx="155">
                  <c:v>27/04/2025</c:v>
                </c:pt>
                <c:pt idx="156">
                  <c:v>27/04/2026</c:v>
                </c:pt>
                <c:pt idx="157">
                  <c:v>27/06/2025</c:v>
                </c:pt>
                <c:pt idx="158">
                  <c:v>27/07/2025</c:v>
                </c:pt>
                <c:pt idx="159">
                  <c:v>27/08/2025</c:v>
                </c:pt>
                <c:pt idx="160">
                  <c:v>27/09/2025</c:v>
                </c:pt>
                <c:pt idx="161">
                  <c:v>27/11/2025</c:v>
                </c:pt>
                <c:pt idx="162">
                  <c:v>27/12/2025</c:v>
                </c:pt>
                <c:pt idx="163">
                  <c:v>28/01/2025</c:v>
                </c:pt>
                <c:pt idx="164">
                  <c:v>28/01/2026</c:v>
                </c:pt>
                <c:pt idx="165">
                  <c:v>28/02/2025</c:v>
                </c:pt>
                <c:pt idx="166">
                  <c:v>28/02/2026</c:v>
                </c:pt>
                <c:pt idx="167">
                  <c:v>28/03/2025</c:v>
                </c:pt>
                <c:pt idx="168">
                  <c:v>28/04/2025</c:v>
                </c:pt>
                <c:pt idx="169">
                  <c:v>28/05/2025</c:v>
                </c:pt>
                <c:pt idx="170">
                  <c:v>28/07/2025</c:v>
                </c:pt>
                <c:pt idx="171">
                  <c:v>28/08/2025</c:v>
                </c:pt>
                <c:pt idx="172">
                  <c:v>28/10/2025</c:v>
                </c:pt>
                <c:pt idx="173">
                  <c:v>28/12/2025</c:v>
                </c:pt>
                <c:pt idx="174">
                  <c:v>29/03/2025</c:v>
                </c:pt>
                <c:pt idx="175">
                  <c:v>29/03/2026</c:v>
                </c:pt>
                <c:pt idx="176">
                  <c:v>29/04/2026</c:v>
                </c:pt>
                <c:pt idx="177">
                  <c:v>29/05/2025</c:v>
                </c:pt>
                <c:pt idx="178">
                  <c:v>29/06/2025</c:v>
                </c:pt>
                <c:pt idx="179">
                  <c:v>29/07/2025</c:v>
                </c:pt>
                <c:pt idx="180">
                  <c:v>29/09/2025</c:v>
                </c:pt>
                <c:pt idx="181">
                  <c:v>29/10/2025</c:v>
                </c:pt>
                <c:pt idx="182">
                  <c:v>29/11/2025</c:v>
                </c:pt>
                <c:pt idx="183">
                  <c:v>29/12/2025</c:v>
                </c:pt>
                <c:pt idx="184">
                  <c:v>30/01/2026</c:v>
                </c:pt>
                <c:pt idx="185">
                  <c:v>30/03/2025</c:v>
                </c:pt>
                <c:pt idx="186">
                  <c:v>30/04/2025</c:v>
                </c:pt>
                <c:pt idx="187">
                  <c:v>30/05/2025</c:v>
                </c:pt>
                <c:pt idx="188">
                  <c:v>30/07/2025</c:v>
                </c:pt>
                <c:pt idx="189">
                  <c:v>30/08/2025</c:v>
                </c:pt>
                <c:pt idx="190">
                  <c:v>30/10/2025</c:v>
                </c:pt>
                <c:pt idx="191">
                  <c:v>31/01/2025</c:v>
                </c:pt>
                <c:pt idx="192">
                  <c:v>31/01/2026</c:v>
                </c:pt>
                <c:pt idx="193">
                  <c:v>31/02/2025</c:v>
                </c:pt>
                <c:pt idx="194">
                  <c:v>31/05/2025</c:v>
                </c:pt>
                <c:pt idx="195">
                  <c:v>31/10/2025</c:v>
                </c:pt>
                <c:pt idx="196">
                  <c:v>31/12/2025</c:v>
                </c:pt>
                <c:pt idx="197">
                  <c:v>1/1/2025</c:v>
                </c:pt>
                <c:pt idx="198">
                  <c:v>1/2/2025</c:v>
                </c:pt>
                <c:pt idx="199">
                  <c:v>1/3/2025</c:v>
                </c:pt>
                <c:pt idx="200">
                  <c:v>1/4/2025</c:v>
                </c:pt>
                <c:pt idx="201">
                  <c:v>1/7/2025</c:v>
                </c:pt>
                <c:pt idx="202">
                  <c:v>1/8/2025</c:v>
                </c:pt>
                <c:pt idx="203">
                  <c:v>1/9/2025</c:v>
                </c:pt>
                <c:pt idx="204">
                  <c:v>1/10/2025</c:v>
                </c:pt>
                <c:pt idx="205">
                  <c:v>1/11/2025</c:v>
                </c:pt>
                <c:pt idx="206">
                  <c:v>1/12/2025</c:v>
                </c:pt>
                <c:pt idx="207">
                  <c:v>2/3/2025</c:v>
                </c:pt>
                <c:pt idx="208">
                  <c:v>2/5/2025</c:v>
                </c:pt>
                <c:pt idx="209">
                  <c:v>2/6/2025</c:v>
                </c:pt>
                <c:pt idx="210">
                  <c:v>2/7/2025</c:v>
                </c:pt>
                <c:pt idx="211">
                  <c:v>2/11/2025</c:v>
                </c:pt>
                <c:pt idx="212">
                  <c:v>2/12/2025</c:v>
                </c:pt>
                <c:pt idx="213">
                  <c:v>3/1/2025</c:v>
                </c:pt>
                <c:pt idx="214">
                  <c:v>3/2/2025</c:v>
                </c:pt>
                <c:pt idx="215">
                  <c:v>3/3/2025</c:v>
                </c:pt>
                <c:pt idx="216">
                  <c:v>3/4/2025</c:v>
                </c:pt>
                <c:pt idx="217">
                  <c:v>3/5/2025</c:v>
                </c:pt>
                <c:pt idx="218">
                  <c:v>3/6/2025</c:v>
                </c:pt>
                <c:pt idx="219">
                  <c:v>3/8/2025</c:v>
                </c:pt>
                <c:pt idx="220">
                  <c:v>3/9/2025</c:v>
                </c:pt>
                <c:pt idx="221">
                  <c:v>3/11/2025</c:v>
                </c:pt>
                <c:pt idx="222">
                  <c:v>4/2/2025</c:v>
                </c:pt>
                <c:pt idx="223">
                  <c:v>4/5/2025</c:v>
                </c:pt>
                <c:pt idx="224">
                  <c:v>4/6/2025</c:v>
                </c:pt>
                <c:pt idx="225">
                  <c:v>4/7/2025</c:v>
                </c:pt>
                <c:pt idx="226">
                  <c:v>4/8/2025</c:v>
                </c:pt>
                <c:pt idx="227">
                  <c:v>4/9/2025</c:v>
                </c:pt>
                <c:pt idx="228">
                  <c:v>4/10/2025</c:v>
                </c:pt>
                <c:pt idx="229">
                  <c:v>4/11/2025</c:v>
                </c:pt>
                <c:pt idx="230">
                  <c:v>4/12/2025</c:v>
                </c:pt>
                <c:pt idx="231">
                  <c:v>5/3/2025</c:v>
                </c:pt>
                <c:pt idx="232">
                  <c:v>5/4/2025</c:v>
                </c:pt>
                <c:pt idx="233">
                  <c:v>5/6/2025</c:v>
                </c:pt>
                <c:pt idx="234">
                  <c:v>5/8/2025</c:v>
                </c:pt>
                <c:pt idx="235">
                  <c:v>5/10/2025</c:v>
                </c:pt>
                <c:pt idx="236">
                  <c:v>5/11/2025</c:v>
                </c:pt>
                <c:pt idx="237">
                  <c:v>5/12/2025</c:v>
                </c:pt>
                <c:pt idx="238">
                  <c:v>6/2/2025</c:v>
                </c:pt>
                <c:pt idx="239">
                  <c:v>6/3/2025</c:v>
                </c:pt>
                <c:pt idx="240">
                  <c:v>6/7/2025</c:v>
                </c:pt>
                <c:pt idx="241">
                  <c:v>6/9/2025</c:v>
                </c:pt>
                <c:pt idx="242">
                  <c:v>6/10/2025</c:v>
                </c:pt>
                <c:pt idx="243">
                  <c:v>6/11/2025</c:v>
                </c:pt>
                <c:pt idx="244">
                  <c:v>6/12/2025</c:v>
                </c:pt>
                <c:pt idx="245">
                  <c:v>7/2/2025</c:v>
                </c:pt>
                <c:pt idx="246">
                  <c:v>7/3/2025</c:v>
                </c:pt>
                <c:pt idx="247">
                  <c:v>7/4/2025</c:v>
                </c:pt>
                <c:pt idx="248">
                  <c:v>7/7/2025</c:v>
                </c:pt>
                <c:pt idx="249">
                  <c:v>8/2/2025</c:v>
                </c:pt>
                <c:pt idx="250">
                  <c:v>8/3/2025</c:v>
                </c:pt>
                <c:pt idx="251">
                  <c:v>8/4/2025</c:v>
                </c:pt>
                <c:pt idx="252">
                  <c:v>8/5/2025</c:v>
                </c:pt>
                <c:pt idx="253">
                  <c:v>8/6/2025</c:v>
                </c:pt>
                <c:pt idx="254">
                  <c:v>8/7/2025</c:v>
                </c:pt>
                <c:pt idx="255">
                  <c:v>8/9/2025</c:v>
                </c:pt>
                <c:pt idx="256">
                  <c:v>9/1/2025</c:v>
                </c:pt>
                <c:pt idx="257">
                  <c:v>9/2/2025</c:v>
                </c:pt>
                <c:pt idx="258">
                  <c:v>9/3/2025</c:v>
                </c:pt>
                <c:pt idx="259">
                  <c:v>9/4/2025</c:v>
                </c:pt>
                <c:pt idx="260">
                  <c:v>9/5/2025</c:v>
                </c:pt>
                <c:pt idx="261">
                  <c:v>9/6/2025</c:v>
                </c:pt>
                <c:pt idx="262">
                  <c:v>9/7/2025</c:v>
                </c:pt>
                <c:pt idx="263">
                  <c:v>9/8/2025</c:v>
                </c:pt>
                <c:pt idx="264">
                  <c:v>9/10/2025</c:v>
                </c:pt>
                <c:pt idx="265">
                  <c:v>9/11/2025</c:v>
                </c:pt>
                <c:pt idx="266">
                  <c:v>10/1/2025</c:v>
                </c:pt>
                <c:pt idx="267">
                  <c:v>10/4/2025</c:v>
                </c:pt>
                <c:pt idx="268">
                  <c:v>10/7/2025</c:v>
                </c:pt>
                <c:pt idx="269">
                  <c:v>10/8/2025</c:v>
                </c:pt>
                <c:pt idx="270">
                  <c:v>10/10/2025</c:v>
                </c:pt>
                <c:pt idx="271">
                  <c:v>10/12/2025</c:v>
                </c:pt>
                <c:pt idx="272">
                  <c:v>11/2/2025</c:v>
                </c:pt>
                <c:pt idx="273">
                  <c:v>11/4/2025</c:v>
                </c:pt>
                <c:pt idx="274">
                  <c:v>11/5/2025</c:v>
                </c:pt>
                <c:pt idx="275">
                  <c:v>11/6/2025</c:v>
                </c:pt>
                <c:pt idx="276">
                  <c:v>11/10/2025</c:v>
                </c:pt>
                <c:pt idx="277">
                  <c:v>11/12/2025</c:v>
                </c:pt>
                <c:pt idx="278">
                  <c:v>12/1/2025</c:v>
                </c:pt>
                <c:pt idx="279">
                  <c:v>12/3/2025</c:v>
                </c:pt>
                <c:pt idx="280">
                  <c:v>12/4/2025</c:v>
                </c:pt>
                <c:pt idx="281">
                  <c:v>12/5/2025</c:v>
                </c:pt>
                <c:pt idx="282">
                  <c:v>12/6/2025</c:v>
                </c:pt>
                <c:pt idx="283">
                  <c:v>12/9/2025</c:v>
                </c:pt>
                <c:pt idx="284">
                  <c:v>12/10/2025</c:v>
                </c:pt>
                <c:pt idx="285">
                  <c:v>12/12/2025</c:v>
                </c:pt>
                <c:pt idx="286">
                  <c:v>1/4/2026</c:v>
                </c:pt>
                <c:pt idx="287">
                  <c:v>2/1/2026</c:v>
                </c:pt>
                <c:pt idx="288">
                  <c:v>2/4/2026</c:v>
                </c:pt>
                <c:pt idx="289">
                  <c:v>2/5/2026</c:v>
                </c:pt>
                <c:pt idx="290">
                  <c:v>3/1/2026</c:v>
                </c:pt>
                <c:pt idx="291">
                  <c:v>3/4/2026</c:v>
                </c:pt>
                <c:pt idx="292">
                  <c:v>3/5/2026</c:v>
                </c:pt>
                <c:pt idx="293">
                  <c:v>4/1/2026</c:v>
                </c:pt>
                <c:pt idx="294">
                  <c:v>4/2/2026</c:v>
                </c:pt>
                <c:pt idx="295">
                  <c:v>4/3/2026</c:v>
                </c:pt>
                <c:pt idx="296">
                  <c:v>4/4/2026</c:v>
                </c:pt>
                <c:pt idx="297">
                  <c:v>4/5/2026</c:v>
                </c:pt>
                <c:pt idx="298">
                  <c:v>5/1/2026</c:v>
                </c:pt>
                <c:pt idx="299">
                  <c:v>5/3/2026</c:v>
                </c:pt>
                <c:pt idx="300">
                  <c:v>5/5/2026</c:v>
                </c:pt>
                <c:pt idx="301">
                  <c:v>6/1/2026</c:v>
                </c:pt>
                <c:pt idx="302">
                  <c:v>6/3/2026</c:v>
                </c:pt>
                <c:pt idx="303">
                  <c:v>6/4/2026</c:v>
                </c:pt>
                <c:pt idx="304">
                  <c:v>7/3/2026</c:v>
                </c:pt>
                <c:pt idx="305">
                  <c:v>7/4/2026</c:v>
                </c:pt>
                <c:pt idx="306">
                  <c:v>7/5/2026</c:v>
                </c:pt>
                <c:pt idx="307">
                  <c:v>8/1/2026</c:v>
                </c:pt>
                <c:pt idx="308">
                  <c:v>8/2/2026</c:v>
                </c:pt>
                <c:pt idx="309">
                  <c:v>8/3/2026</c:v>
                </c:pt>
                <c:pt idx="310">
                  <c:v>8/4/2026</c:v>
                </c:pt>
                <c:pt idx="311">
                  <c:v>8/5/2026</c:v>
                </c:pt>
                <c:pt idx="312">
                  <c:v>9/1/2026</c:v>
                </c:pt>
                <c:pt idx="313">
                  <c:v>9/2/2026</c:v>
                </c:pt>
                <c:pt idx="314">
                  <c:v>9/4/2026</c:v>
                </c:pt>
                <c:pt idx="315">
                  <c:v>9/5/2026</c:v>
                </c:pt>
                <c:pt idx="316">
                  <c:v>10/2/2026</c:v>
                </c:pt>
                <c:pt idx="317">
                  <c:v>10/5/2026</c:v>
                </c:pt>
                <c:pt idx="318">
                  <c:v>11/1/2026</c:v>
                </c:pt>
                <c:pt idx="319">
                  <c:v>11/2/2026</c:v>
                </c:pt>
                <c:pt idx="320">
                  <c:v>11/3/2026</c:v>
                </c:pt>
                <c:pt idx="321">
                  <c:v>11/4/2026</c:v>
                </c:pt>
                <c:pt idx="322">
                  <c:v>11/5/2026</c:v>
                </c:pt>
                <c:pt idx="323">
                  <c:v>12/1/2026</c:v>
                </c:pt>
                <c:pt idx="324">
                  <c:v>12/2/2026</c:v>
                </c:pt>
                <c:pt idx="325">
                  <c:v>12/5/2026</c:v>
                </c:pt>
                <c:pt idx="326">
                  <c:v>(blank)</c:v>
                </c:pt>
              </c:strCache>
            </c:strRef>
          </c:cat>
          <c:val>
            <c:numRef>
              <c:f>'Sales Dashboard'!$H$6:$H$333</c:f>
              <c:numCache>
                <c:formatCode>General</c:formatCode>
                <c:ptCount val="327"/>
                <c:pt idx="0">
                  <c:v>1785</c:v>
                </c:pt>
                <c:pt idx="1">
                  <c:v>574930</c:v>
                </c:pt>
                <c:pt idx="2">
                  <c:v>275000</c:v>
                </c:pt>
                <c:pt idx="3">
                  <c:v>100</c:v>
                </c:pt>
                <c:pt idx="4">
                  <c:v>12080</c:v>
                </c:pt>
                <c:pt idx="5">
                  <c:v>180000</c:v>
                </c:pt>
                <c:pt idx="6">
                  <c:v>305589.5</c:v>
                </c:pt>
                <c:pt idx="7">
                  <c:v>143760</c:v>
                </c:pt>
                <c:pt idx="8">
                  <c:v>15360</c:v>
                </c:pt>
                <c:pt idx="9">
                  <c:v>69325</c:v>
                </c:pt>
                <c:pt idx="10">
                  <c:v>18780</c:v>
                </c:pt>
                <c:pt idx="11">
                  <c:v>142408.25</c:v>
                </c:pt>
                <c:pt idx="12">
                  <c:v>21710</c:v>
                </c:pt>
                <c:pt idx="13">
                  <c:v>79800</c:v>
                </c:pt>
                <c:pt idx="14">
                  <c:v>1062</c:v>
                </c:pt>
                <c:pt idx="15">
                  <c:v>650.25</c:v>
                </c:pt>
                <c:pt idx="16">
                  <c:v>140</c:v>
                </c:pt>
                <c:pt idx="17">
                  <c:v>68</c:v>
                </c:pt>
                <c:pt idx="18">
                  <c:v>12320</c:v>
                </c:pt>
                <c:pt idx="19">
                  <c:v>28160</c:v>
                </c:pt>
                <c:pt idx="20">
                  <c:v>198900</c:v>
                </c:pt>
                <c:pt idx="21">
                  <c:v>20505</c:v>
                </c:pt>
                <c:pt idx="22">
                  <c:v>14820</c:v>
                </c:pt>
                <c:pt idx="23">
                  <c:v>59850</c:v>
                </c:pt>
                <c:pt idx="24">
                  <c:v>43732.5</c:v>
                </c:pt>
                <c:pt idx="25">
                  <c:v>10127</c:v>
                </c:pt>
                <c:pt idx="26">
                  <c:v>69540</c:v>
                </c:pt>
                <c:pt idx="27">
                  <c:v>76.5</c:v>
                </c:pt>
                <c:pt idx="28">
                  <c:v>89400</c:v>
                </c:pt>
                <c:pt idx="29">
                  <c:v>10200</c:v>
                </c:pt>
                <c:pt idx="30">
                  <c:v>360</c:v>
                </c:pt>
                <c:pt idx="31">
                  <c:v>133</c:v>
                </c:pt>
                <c:pt idx="32">
                  <c:v>26580</c:v>
                </c:pt>
                <c:pt idx="33">
                  <c:v>200</c:v>
                </c:pt>
                <c:pt idx="34">
                  <c:v>54720</c:v>
                </c:pt>
                <c:pt idx="35">
                  <c:v>24310</c:v>
                </c:pt>
                <c:pt idx="36">
                  <c:v>585</c:v>
                </c:pt>
                <c:pt idx="37">
                  <c:v>18240</c:v>
                </c:pt>
                <c:pt idx="38">
                  <c:v>177659</c:v>
                </c:pt>
                <c:pt idx="39">
                  <c:v>514570</c:v>
                </c:pt>
                <c:pt idx="40">
                  <c:v>70000</c:v>
                </c:pt>
                <c:pt idx="41">
                  <c:v>34200</c:v>
                </c:pt>
                <c:pt idx="42">
                  <c:v>720</c:v>
                </c:pt>
                <c:pt idx="43">
                  <c:v>20220</c:v>
                </c:pt>
                <c:pt idx="44">
                  <c:v>660000</c:v>
                </c:pt>
                <c:pt idx="45">
                  <c:v>748000</c:v>
                </c:pt>
                <c:pt idx="46">
                  <c:v>18096</c:v>
                </c:pt>
                <c:pt idx="47">
                  <c:v>30087</c:v>
                </c:pt>
                <c:pt idx="48">
                  <c:v>55970</c:v>
                </c:pt>
                <c:pt idx="49">
                  <c:v>64600</c:v>
                </c:pt>
                <c:pt idx="50">
                  <c:v>115200</c:v>
                </c:pt>
                <c:pt idx="51">
                  <c:v>2200</c:v>
                </c:pt>
                <c:pt idx="52">
                  <c:v>180</c:v>
                </c:pt>
                <c:pt idx="53">
                  <c:v>139080</c:v>
                </c:pt>
                <c:pt idx="54">
                  <c:v>20825</c:v>
                </c:pt>
                <c:pt idx="55">
                  <c:v>173060</c:v>
                </c:pt>
                <c:pt idx="56">
                  <c:v>18360</c:v>
                </c:pt>
                <c:pt idx="57">
                  <c:v>48</c:v>
                </c:pt>
                <c:pt idx="58">
                  <c:v>144640</c:v>
                </c:pt>
                <c:pt idx="59">
                  <c:v>9350</c:v>
                </c:pt>
                <c:pt idx="60">
                  <c:v>105120</c:v>
                </c:pt>
                <c:pt idx="61">
                  <c:v>19380</c:v>
                </c:pt>
                <c:pt idx="62">
                  <c:v>127713.75</c:v>
                </c:pt>
                <c:pt idx="63">
                  <c:v>415175</c:v>
                </c:pt>
                <c:pt idx="64">
                  <c:v>12000</c:v>
                </c:pt>
                <c:pt idx="65">
                  <c:v>136</c:v>
                </c:pt>
                <c:pt idx="66">
                  <c:v>37400</c:v>
                </c:pt>
                <c:pt idx="67">
                  <c:v>638593</c:v>
                </c:pt>
                <c:pt idx="68">
                  <c:v>235030</c:v>
                </c:pt>
                <c:pt idx="69">
                  <c:v>304</c:v>
                </c:pt>
                <c:pt idx="70">
                  <c:v>120925</c:v>
                </c:pt>
                <c:pt idx="71">
                  <c:v>3240</c:v>
                </c:pt>
                <c:pt idx="72">
                  <c:v>769800</c:v>
                </c:pt>
                <c:pt idx="73">
                  <c:v>84842</c:v>
                </c:pt>
                <c:pt idx="74">
                  <c:v>81</c:v>
                </c:pt>
                <c:pt idx="75">
                  <c:v>22080</c:v>
                </c:pt>
                <c:pt idx="76">
                  <c:v>880000</c:v>
                </c:pt>
                <c:pt idx="77">
                  <c:v>26400</c:v>
                </c:pt>
                <c:pt idx="78">
                  <c:v>5950</c:v>
                </c:pt>
                <c:pt idx="79">
                  <c:v>103512</c:v>
                </c:pt>
                <c:pt idx="80">
                  <c:v>522595</c:v>
                </c:pt>
                <c:pt idx="81">
                  <c:v>154080</c:v>
                </c:pt>
                <c:pt idx="82">
                  <c:v>20400</c:v>
                </c:pt>
                <c:pt idx="83">
                  <c:v>50456.5</c:v>
                </c:pt>
                <c:pt idx="84">
                  <c:v>5202</c:v>
                </c:pt>
                <c:pt idx="85">
                  <c:v>326940</c:v>
                </c:pt>
                <c:pt idx="86">
                  <c:v>576</c:v>
                </c:pt>
                <c:pt idx="87">
                  <c:v>30004</c:v>
                </c:pt>
                <c:pt idx="88">
                  <c:v>969</c:v>
                </c:pt>
                <c:pt idx="89">
                  <c:v>6600</c:v>
                </c:pt>
                <c:pt idx="90">
                  <c:v>11215</c:v>
                </c:pt>
                <c:pt idx="91">
                  <c:v>1026</c:v>
                </c:pt>
                <c:pt idx="92">
                  <c:v>14000</c:v>
                </c:pt>
                <c:pt idx="93">
                  <c:v>10260</c:v>
                </c:pt>
                <c:pt idx="94">
                  <c:v>81600</c:v>
                </c:pt>
                <c:pt idx="95">
                  <c:v>16320</c:v>
                </c:pt>
                <c:pt idx="96">
                  <c:v>1077300</c:v>
                </c:pt>
                <c:pt idx="97">
                  <c:v>91800</c:v>
                </c:pt>
                <c:pt idx="98">
                  <c:v>88400</c:v>
                </c:pt>
                <c:pt idx="99">
                  <c:v>5600</c:v>
                </c:pt>
                <c:pt idx="100">
                  <c:v>136000</c:v>
                </c:pt>
                <c:pt idx="101">
                  <c:v>855</c:v>
                </c:pt>
                <c:pt idx="102">
                  <c:v>46900</c:v>
                </c:pt>
                <c:pt idx="103">
                  <c:v>95</c:v>
                </c:pt>
                <c:pt idx="104">
                  <c:v>25914</c:v>
                </c:pt>
                <c:pt idx="105">
                  <c:v>2400</c:v>
                </c:pt>
                <c:pt idx="106">
                  <c:v>36</c:v>
                </c:pt>
                <c:pt idx="107">
                  <c:v>685740</c:v>
                </c:pt>
                <c:pt idx="108">
                  <c:v>6720</c:v>
                </c:pt>
                <c:pt idx="109">
                  <c:v>241200</c:v>
                </c:pt>
                <c:pt idx="110">
                  <c:v>136650.25</c:v>
                </c:pt>
                <c:pt idx="111">
                  <c:v>990000</c:v>
                </c:pt>
                <c:pt idx="112">
                  <c:v>3360</c:v>
                </c:pt>
                <c:pt idx="113">
                  <c:v>63175</c:v>
                </c:pt>
                <c:pt idx="114">
                  <c:v>176000</c:v>
                </c:pt>
                <c:pt idx="115">
                  <c:v>31790</c:v>
                </c:pt>
                <c:pt idx="116">
                  <c:v>35485</c:v>
                </c:pt>
                <c:pt idx="117">
                  <c:v>40375</c:v>
                </c:pt>
                <c:pt idx="118">
                  <c:v>952</c:v>
                </c:pt>
                <c:pt idx="119">
                  <c:v>46550</c:v>
                </c:pt>
                <c:pt idx="120">
                  <c:v>408</c:v>
                </c:pt>
                <c:pt idx="121">
                  <c:v>4902</c:v>
                </c:pt>
                <c:pt idx="122">
                  <c:v>174320</c:v>
                </c:pt>
                <c:pt idx="123">
                  <c:v>76.5</c:v>
                </c:pt>
                <c:pt idx="124">
                  <c:v>59944</c:v>
                </c:pt>
                <c:pt idx="125">
                  <c:v>1190</c:v>
                </c:pt>
                <c:pt idx="126">
                  <c:v>34020</c:v>
                </c:pt>
                <c:pt idx="127">
                  <c:v>20570</c:v>
                </c:pt>
                <c:pt idx="128">
                  <c:v>11029.5</c:v>
                </c:pt>
                <c:pt idx="129">
                  <c:v>607.5</c:v>
                </c:pt>
                <c:pt idx="130">
                  <c:v>116410</c:v>
                </c:pt>
                <c:pt idx="131">
                  <c:v>33542</c:v>
                </c:pt>
                <c:pt idx="132">
                  <c:v>39900</c:v>
                </c:pt>
                <c:pt idx="133">
                  <c:v>12635</c:v>
                </c:pt>
                <c:pt idx="134">
                  <c:v>352000</c:v>
                </c:pt>
                <c:pt idx="135">
                  <c:v>44132</c:v>
                </c:pt>
                <c:pt idx="136">
                  <c:v>432</c:v>
                </c:pt>
                <c:pt idx="137">
                  <c:v>89520</c:v>
                </c:pt>
                <c:pt idx="138">
                  <c:v>28800</c:v>
                </c:pt>
                <c:pt idx="139">
                  <c:v>3294</c:v>
                </c:pt>
                <c:pt idx="140">
                  <c:v>9450</c:v>
                </c:pt>
                <c:pt idx="141">
                  <c:v>63175</c:v>
                </c:pt>
                <c:pt idx="142">
                  <c:v>33250</c:v>
                </c:pt>
                <c:pt idx="143">
                  <c:v>5600</c:v>
                </c:pt>
                <c:pt idx="144">
                  <c:v>204000</c:v>
                </c:pt>
                <c:pt idx="145">
                  <c:v>137275</c:v>
                </c:pt>
                <c:pt idx="146">
                  <c:v>11900</c:v>
                </c:pt>
                <c:pt idx="147">
                  <c:v>44625</c:v>
                </c:pt>
                <c:pt idx="148">
                  <c:v>54000</c:v>
                </c:pt>
                <c:pt idx="149">
                  <c:v>193800</c:v>
                </c:pt>
                <c:pt idx="150">
                  <c:v>729</c:v>
                </c:pt>
                <c:pt idx="151">
                  <c:v>450</c:v>
                </c:pt>
                <c:pt idx="152">
                  <c:v>8330</c:v>
                </c:pt>
                <c:pt idx="153">
                  <c:v>4800</c:v>
                </c:pt>
                <c:pt idx="154">
                  <c:v>10500</c:v>
                </c:pt>
                <c:pt idx="155">
                  <c:v>808016</c:v>
                </c:pt>
                <c:pt idx="156">
                  <c:v>16800</c:v>
                </c:pt>
                <c:pt idx="157">
                  <c:v>34160</c:v>
                </c:pt>
                <c:pt idx="158">
                  <c:v>2100</c:v>
                </c:pt>
                <c:pt idx="159">
                  <c:v>912</c:v>
                </c:pt>
                <c:pt idx="160">
                  <c:v>9120</c:v>
                </c:pt>
                <c:pt idx="161">
                  <c:v>21350</c:v>
                </c:pt>
                <c:pt idx="162">
                  <c:v>80750</c:v>
                </c:pt>
                <c:pt idx="163">
                  <c:v>48450</c:v>
                </c:pt>
                <c:pt idx="164">
                  <c:v>95</c:v>
                </c:pt>
                <c:pt idx="165">
                  <c:v>168361</c:v>
                </c:pt>
                <c:pt idx="166">
                  <c:v>27200</c:v>
                </c:pt>
                <c:pt idx="167">
                  <c:v>13090</c:v>
                </c:pt>
                <c:pt idx="168">
                  <c:v>33126</c:v>
                </c:pt>
                <c:pt idx="169">
                  <c:v>221</c:v>
                </c:pt>
                <c:pt idx="170">
                  <c:v>864</c:v>
                </c:pt>
                <c:pt idx="171">
                  <c:v>43350</c:v>
                </c:pt>
                <c:pt idx="172">
                  <c:v>8160</c:v>
                </c:pt>
                <c:pt idx="173">
                  <c:v>27229.5</c:v>
                </c:pt>
                <c:pt idx="174">
                  <c:v>726.75</c:v>
                </c:pt>
                <c:pt idx="175">
                  <c:v>420750</c:v>
                </c:pt>
                <c:pt idx="176">
                  <c:v>153</c:v>
                </c:pt>
                <c:pt idx="177">
                  <c:v>836000</c:v>
                </c:pt>
                <c:pt idx="178">
                  <c:v>765</c:v>
                </c:pt>
                <c:pt idx="179">
                  <c:v>9800</c:v>
                </c:pt>
                <c:pt idx="180">
                  <c:v>816</c:v>
                </c:pt>
                <c:pt idx="181">
                  <c:v>9975</c:v>
                </c:pt>
                <c:pt idx="182">
                  <c:v>36</c:v>
                </c:pt>
                <c:pt idx="183">
                  <c:v>15840</c:v>
                </c:pt>
                <c:pt idx="184">
                  <c:v>3920</c:v>
                </c:pt>
                <c:pt idx="185">
                  <c:v>15706</c:v>
                </c:pt>
                <c:pt idx="186">
                  <c:v>21660</c:v>
                </c:pt>
                <c:pt idx="187">
                  <c:v>7797</c:v>
                </c:pt>
                <c:pt idx="188">
                  <c:v>8925</c:v>
                </c:pt>
                <c:pt idx="189">
                  <c:v>171</c:v>
                </c:pt>
                <c:pt idx="190">
                  <c:v>183600</c:v>
                </c:pt>
                <c:pt idx="191">
                  <c:v>228000</c:v>
                </c:pt>
                <c:pt idx="192">
                  <c:v>40935</c:v>
                </c:pt>
                <c:pt idx="193">
                  <c:v>6650</c:v>
                </c:pt>
                <c:pt idx="194">
                  <c:v>720</c:v>
                </c:pt>
                <c:pt idx="195">
                  <c:v>702590</c:v>
                </c:pt>
                <c:pt idx="196">
                  <c:v>224</c:v>
                </c:pt>
                <c:pt idx="197">
                  <c:v>15012.5</c:v>
                </c:pt>
                <c:pt idx="198">
                  <c:v>53200</c:v>
                </c:pt>
                <c:pt idx="199">
                  <c:v>10410</c:v>
                </c:pt>
                <c:pt idx="200">
                  <c:v>17050</c:v>
                </c:pt>
                <c:pt idx="201">
                  <c:v>132000</c:v>
                </c:pt>
                <c:pt idx="202">
                  <c:v>110000</c:v>
                </c:pt>
                <c:pt idx="203">
                  <c:v>441009.5</c:v>
                </c:pt>
                <c:pt idx="204">
                  <c:v>61251</c:v>
                </c:pt>
                <c:pt idx="205">
                  <c:v>3150</c:v>
                </c:pt>
                <c:pt idx="206">
                  <c:v>149985</c:v>
                </c:pt>
                <c:pt idx="207">
                  <c:v>17340</c:v>
                </c:pt>
                <c:pt idx="208">
                  <c:v>4800</c:v>
                </c:pt>
                <c:pt idx="209">
                  <c:v>4143</c:v>
                </c:pt>
                <c:pt idx="210">
                  <c:v>137700</c:v>
                </c:pt>
                <c:pt idx="211">
                  <c:v>990000</c:v>
                </c:pt>
                <c:pt idx="212">
                  <c:v>220</c:v>
                </c:pt>
                <c:pt idx="213">
                  <c:v>47085</c:v>
                </c:pt>
                <c:pt idx="214">
                  <c:v>522600</c:v>
                </c:pt>
                <c:pt idx="215">
                  <c:v>440000</c:v>
                </c:pt>
                <c:pt idx="216">
                  <c:v>2100</c:v>
                </c:pt>
                <c:pt idx="217">
                  <c:v>2322</c:v>
                </c:pt>
                <c:pt idx="218">
                  <c:v>3420</c:v>
                </c:pt>
                <c:pt idx="219">
                  <c:v>182400</c:v>
                </c:pt>
                <c:pt idx="220">
                  <c:v>261250</c:v>
                </c:pt>
                <c:pt idx="221">
                  <c:v>40800</c:v>
                </c:pt>
                <c:pt idx="222">
                  <c:v>680476.25</c:v>
                </c:pt>
                <c:pt idx="223">
                  <c:v>378</c:v>
                </c:pt>
                <c:pt idx="224">
                  <c:v>109725</c:v>
                </c:pt>
                <c:pt idx="225">
                  <c:v>301761</c:v>
                </c:pt>
                <c:pt idx="226">
                  <c:v>47250</c:v>
                </c:pt>
                <c:pt idx="227">
                  <c:v>35640</c:v>
                </c:pt>
                <c:pt idx="228">
                  <c:v>912</c:v>
                </c:pt>
                <c:pt idx="229">
                  <c:v>420</c:v>
                </c:pt>
                <c:pt idx="230">
                  <c:v>548</c:v>
                </c:pt>
                <c:pt idx="231">
                  <c:v>89040</c:v>
                </c:pt>
                <c:pt idx="232">
                  <c:v>432</c:v>
                </c:pt>
                <c:pt idx="233">
                  <c:v>8925</c:v>
                </c:pt>
                <c:pt idx="234">
                  <c:v>56000</c:v>
                </c:pt>
                <c:pt idx="235">
                  <c:v>212544.5</c:v>
                </c:pt>
                <c:pt idx="236">
                  <c:v>573237</c:v>
                </c:pt>
                <c:pt idx="237">
                  <c:v>4400</c:v>
                </c:pt>
                <c:pt idx="238">
                  <c:v>81834.25</c:v>
                </c:pt>
                <c:pt idx="239">
                  <c:v>33660</c:v>
                </c:pt>
                <c:pt idx="240">
                  <c:v>627000</c:v>
                </c:pt>
                <c:pt idx="241">
                  <c:v>12000</c:v>
                </c:pt>
                <c:pt idx="242">
                  <c:v>9920.25</c:v>
                </c:pt>
                <c:pt idx="243">
                  <c:v>273</c:v>
                </c:pt>
                <c:pt idx="244">
                  <c:v>663</c:v>
                </c:pt>
                <c:pt idx="245">
                  <c:v>71330</c:v>
                </c:pt>
                <c:pt idx="246">
                  <c:v>41800</c:v>
                </c:pt>
                <c:pt idx="247">
                  <c:v>792285</c:v>
                </c:pt>
                <c:pt idx="248">
                  <c:v>12960</c:v>
                </c:pt>
                <c:pt idx="249">
                  <c:v>251200</c:v>
                </c:pt>
                <c:pt idx="250">
                  <c:v>39850</c:v>
                </c:pt>
                <c:pt idx="251">
                  <c:v>420.75</c:v>
                </c:pt>
                <c:pt idx="252">
                  <c:v>679250</c:v>
                </c:pt>
                <c:pt idx="253">
                  <c:v>34000</c:v>
                </c:pt>
                <c:pt idx="254">
                  <c:v>21660</c:v>
                </c:pt>
                <c:pt idx="255">
                  <c:v>60520</c:v>
                </c:pt>
                <c:pt idx="256">
                  <c:v>161500</c:v>
                </c:pt>
                <c:pt idx="257">
                  <c:v>114.75</c:v>
                </c:pt>
                <c:pt idx="258">
                  <c:v>35530</c:v>
                </c:pt>
                <c:pt idx="259">
                  <c:v>104540</c:v>
                </c:pt>
                <c:pt idx="260">
                  <c:v>999999</c:v>
                </c:pt>
                <c:pt idx="261">
                  <c:v>7140</c:v>
                </c:pt>
                <c:pt idx="262">
                  <c:v>76800</c:v>
                </c:pt>
                <c:pt idx="263">
                  <c:v>247</c:v>
                </c:pt>
                <c:pt idx="264">
                  <c:v>648</c:v>
                </c:pt>
                <c:pt idx="265">
                  <c:v>535.5</c:v>
                </c:pt>
                <c:pt idx="266">
                  <c:v>29700</c:v>
                </c:pt>
                <c:pt idx="267">
                  <c:v>56108</c:v>
                </c:pt>
                <c:pt idx="268">
                  <c:v>17340</c:v>
                </c:pt>
                <c:pt idx="269">
                  <c:v>432</c:v>
                </c:pt>
                <c:pt idx="270">
                  <c:v>35640</c:v>
                </c:pt>
                <c:pt idx="271">
                  <c:v>15840</c:v>
                </c:pt>
                <c:pt idx="272">
                  <c:v>478</c:v>
                </c:pt>
                <c:pt idx="273">
                  <c:v>56000</c:v>
                </c:pt>
                <c:pt idx="274">
                  <c:v>85.5</c:v>
                </c:pt>
                <c:pt idx="275">
                  <c:v>50575</c:v>
                </c:pt>
                <c:pt idx="276">
                  <c:v>9138.75</c:v>
                </c:pt>
                <c:pt idx="277">
                  <c:v>25340</c:v>
                </c:pt>
                <c:pt idx="278">
                  <c:v>128</c:v>
                </c:pt>
                <c:pt idx="279">
                  <c:v>9600</c:v>
                </c:pt>
                <c:pt idx="280">
                  <c:v>20825</c:v>
                </c:pt>
                <c:pt idx="281">
                  <c:v>47600</c:v>
                </c:pt>
                <c:pt idx="282">
                  <c:v>162</c:v>
                </c:pt>
                <c:pt idx="283">
                  <c:v>54</c:v>
                </c:pt>
                <c:pt idx="284">
                  <c:v>497.25</c:v>
                </c:pt>
                <c:pt idx="285">
                  <c:v>264000</c:v>
                </c:pt>
                <c:pt idx="286">
                  <c:v>990969</c:v>
                </c:pt>
                <c:pt idx="287">
                  <c:v>441920</c:v>
                </c:pt>
                <c:pt idx="288">
                  <c:v>3600</c:v>
                </c:pt>
                <c:pt idx="289">
                  <c:v>173526.75</c:v>
                </c:pt>
                <c:pt idx="290">
                  <c:v>9065</c:v>
                </c:pt>
                <c:pt idx="291">
                  <c:v>513</c:v>
                </c:pt>
                <c:pt idx="292">
                  <c:v>170100</c:v>
                </c:pt>
                <c:pt idx="293">
                  <c:v>54700</c:v>
                </c:pt>
                <c:pt idx="294">
                  <c:v>1870</c:v>
                </c:pt>
                <c:pt idx="295">
                  <c:v>56000</c:v>
                </c:pt>
                <c:pt idx="296">
                  <c:v>64851</c:v>
                </c:pt>
                <c:pt idx="297">
                  <c:v>137275</c:v>
                </c:pt>
                <c:pt idx="298">
                  <c:v>150900</c:v>
                </c:pt>
                <c:pt idx="299">
                  <c:v>15600</c:v>
                </c:pt>
                <c:pt idx="300">
                  <c:v>324</c:v>
                </c:pt>
                <c:pt idx="301">
                  <c:v>170000</c:v>
                </c:pt>
                <c:pt idx="302">
                  <c:v>114000</c:v>
                </c:pt>
                <c:pt idx="303">
                  <c:v>10710</c:v>
                </c:pt>
                <c:pt idx="304">
                  <c:v>8778</c:v>
                </c:pt>
                <c:pt idx="305">
                  <c:v>65025</c:v>
                </c:pt>
                <c:pt idx="306">
                  <c:v>56384.75</c:v>
                </c:pt>
                <c:pt idx="307">
                  <c:v>612</c:v>
                </c:pt>
                <c:pt idx="308">
                  <c:v>8500</c:v>
                </c:pt>
                <c:pt idx="309">
                  <c:v>88570</c:v>
                </c:pt>
                <c:pt idx="310">
                  <c:v>26220</c:v>
                </c:pt>
                <c:pt idx="311">
                  <c:v>8330</c:v>
                </c:pt>
                <c:pt idx="312">
                  <c:v>13888</c:v>
                </c:pt>
                <c:pt idx="313">
                  <c:v>37698</c:v>
                </c:pt>
                <c:pt idx="314">
                  <c:v>138</c:v>
                </c:pt>
                <c:pt idx="315">
                  <c:v>11970</c:v>
                </c:pt>
                <c:pt idx="316">
                  <c:v>408</c:v>
                </c:pt>
                <c:pt idx="317">
                  <c:v>304</c:v>
                </c:pt>
                <c:pt idx="318">
                  <c:v>129314</c:v>
                </c:pt>
                <c:pt idx="319">
                  <c:v>47600</c:v>
                </c:pt>
                <c:pt idx="320">
                  <c:v>157980</c:v>
                </c:pt>
                <c:pt idx="321">
                  <c:v>28900</c:v>
                </c:pt>
                <c:pt idx="322">
                  <c:v>224</c:v>
                </c:pt>
                <c:pt idx="323">
                  <c:v>36000</c:v>
                </c:pt>
                <c:pt idx="324">
                  <c:v>144</c:v>
                </c:pt>
                <c:pt idx="325">
                  <c:v>68400</c:v>
                </c:pt>
                <c:pt idx="326">
                  <c:v>832140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D-479B-A06D-B047D0E4F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479175"/>
        <c:axId val="1239837191"/>
      </c:lineChart>
      <c:catAx>
        <c:axId val="1225479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37191"/>
        <c:crosses val="autoZero"/>
        <c:auto val="1"/>
        <c:lblAlgn val="ctr"/>
        <c:lblOffset val="100"/>
        <c:noMultiLvlLbl val="0"/>
      </c:catAx>
      <c:valAx>
        <c:axId val="1239837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79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13</xdr:row>
      <xdr:rowOff>161925</xdr:rowOff>
    </xdr:from>
    <xdr:to>
      <xdr:col>8</xdr:col>
      <xdr:colOff>400050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7EF77-1A14-D933-5284-C0CEB4989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561975</xdr:colOff>
      <xdr:row>18</xdr:row>
      <xdr:rowOff>28575</xdr:rowOff>
    </xdr:from>
    <xdr:to>
      <xdr:col>17</xdr:col>
      <xdr:colOff>161925</xdr:colOff>
      <xdr:row>32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FC66A3-DE4F-22B2-492A-0911F4501E42}"/>
            </a:ext>
            <a:ext uri="{147F2762-F138-4A5C-976F-8EAC2B608ADB}">
              <a16:predDERef xmlns:a16="http://schemas.microsoft.com/office/drawing/2014/main" pred="{BA67EF77-1A14-D933-5284-C0CEB4989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104775</xdr:colOff>
      <xdr:row>0</xdr:row>
      <xdr:rowOff>47625</xdr:rowOff>
    </xdr:from>
    <xdr:to>
      <xdr:col>12</xdr:col>
      <xdr:colOff>276225</xdr:colOff>
      <xdr:row>14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61DF7E-FAD1-21C6-028A-2344B53D0C8B}"/>
            </a:ext>
            <a:ext uri="{147F2762-F138-4A5C-976F-8EAC2B608ADB}">
              <a16:predDERef xmlns:a16="http://schemas.microsoft.com/office/drawing/2014/main" pred="{0DFC66A3-DE4F-22B2-492A-0911F4501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21</xdr:row>
      <xdr:rowOff>180975</xdr:rowOff>
    </xdr:from>
    <xdr:to>
      <xdr:col>1</xdr:col>
      <xdr:colOff>819150</xdr:colOff>
      <xdr:row>35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BAF2806E-F795-DE15-F805-228BEDA1201D}"/>
                </a:ext>
                <a:ext uri="{147F2762-F138-4A5C-976F-8EAC2B608ADB}">
                  <a16:predDERef xmlns:a16="http://schemas.microsoft.com/office/drawing/2014/main" pred="{8661DF7E-FAD1-21C6-028A-2344B53D0C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181475"/>
              <a:ext cx="16002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0</xdr:colOff>
      <xdr:row>0</xdr:row>
      <xdr:rowOff>0</xdr:rowOff>
    </xdr:from>
    <xdr:to>
      <xdr:col>15</xdr:col>
      <xdr:colOff>819150</xdr:colOff>
      <xdr:row>11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y">
              <a:extLst>
                <a:ext uri="{FF2B5EF4-FFF2-40B4-BE49-F238E27FC236}">
                  <a16:creationId xmlns:a16="http://schemas.microsoft.com/office/drawing/2014/main" id="{F79C90B0-878E-CFFD-D2C8-5A1F95B133D0}"/>
                </a:ext>
                <a:ext uri="{147F2762-F138-4A5C-976F-8EAC2B608ADB}">
                  <a16:predDERef xmlns:a16="http://schemas.microsoft.com/office/drawing/2014/main" pred="{BAF2806E-F795-DE15-F805-228BEDA120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39350" y="0"/>
              <a:ext cx="1914525" cy="224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2.760188310189" createdVersion="8" refreshedVersion="8" minRefreshableVersion="3" recordCount="500" xr:uid="{D90C1F2C-1E43-430F-B77B-C9DBD1911C3D}">
  <cacheSource type="worksheet">
    <worksheetSource name="Table1"/>
  </cacheSource>
  <cacheFields count="29">
    <cacheField name="Order ID" numFmtId="0">
      <sharedItems count="495">
        <s v="ORD10001"/>
        <s v="ORD10006"/>
        <s v="ORD10007"/>
        <s v="ORD10008"/>
        <s v="ORD10009"/>
        <s v="ORD10010"/>
        <s v="ORD10011"/>
        <s v="ORD10012"/>
        <s v="ORD10013"/>
        <s v="ORD10014"/>
        <s v="ORD10015"/>
        <s v="ORD10016"/>
        <s v="ORD10017"/>
        <s v="ORD10018"/>
        <s v="ORD10019"/>
        <s v="ORD10020"/>
        <s v="ORD10021"/>
        <s v="ORD10022"/>
        <s v="ORD10023"/>
        <s v="ORD10024"/>
        <s v="ORD10025"/>
        <s v="ORD10026"/>
        <s v="ORD10027"/>
        <s v="ORD10028"/>
        <s v="ORD10029"/>
        <s v="ORD10030"/>
        <s v="ORD10031"/>
        <s v="ORD10032"/>
        <s v="ORD10033"/>
        <s v="ORD10034"/>
        <s v="ORD10035"/>
        <s v="ORD10036"/>
        <s v="ORD10037"/>
        <s v="ORD10038"/>
        <s v="ORD10039"/>
        <s v="ORD10040"/>
        <s v="ORD10041"/>
        <s v="ORD10042"/>
        <s v="ORD10043"/>
        <s v="ORD10044"/>
        <s v="ORD10045"/>
        <s v="ORD10046"/>
        <s v="ORD10047"/>
        <s v="ORD10048"/>
        <s v="ORD10049"/>
        <s v="ORD10050"/>
        <s v="ORD10051"/>
        <s v="ORD10052"/>
        <s v="ORD10053"/>
        <s v="ORD10054"/>
        <s v="ORD10055"/>
        <s v="ORD10056"/>
        <s v="ORD10057"/>
        <s v="ORD10058"/>
        <s v="ORD10059"/>
        <s v="ORD10060"/>
        <s v="ORD10061"/>
        <s v="ORD10062"/>
        <s v="ORD10063"/>
        <s v="ORD10064"/>
        <s v="ORD10065"/>
        <s v="ORD10066"/>
        <s v="ORD10067"/>
        <s v="ORD10068"/>
        <s v="ORD10069"/>
        <s v="ORD10070"/>
        <s v="ORD10071"/>
        <s v="ORD10072"/>
        <s v="ORD10073"/>
        <s v="ORD10074"/>
        <s v="ORD10075"/>
        <s v="ORD10076"/>
        <s v="ORD10077"/>
        <s v="ORD10078"/>
        <s v="ORD10079"/>
        <s v="ORD10080"/>
        <s v="ORD10081"/>
        <s v="ORD10082"/>
        <s v="ORD10083"/>
        <s v="ORD10084"/>
        <s v="ORD10085"/>
        <s v="ORD10086"/>
        <s v="ORD10087"/>
        <s v="ORD10088"/>
        <s v="ORD10089"/>
        <s v="ORD10090"/>
        <s v="ORD10091"/>
        <s v="ORD10092"/>
        <s v="ORD10093"/>
        <s v="ORD10094"/>
        <s v="ORD10095"/>
        <s v="ORD10096"/>
        <s v="ORD10097"/>
        <s v="ORD10098"/>
        <s v="ORD10099"/>
        <s v="ORD10100"/>
        <s v="ORD10101"/>
        <s v="ORD10102"/>
        <s v="ORD10103"/>
        <s v="ORD10104"/>
        <s v="ORD10105"/>
        <s v="ORD10106"/>
        <s v="ORD10107"/>
        <s v="ORD10108"/>
        <s v="ORD10109"/>
        <s v="ORD10110"/>
        <s v="ORD10111"/>
        <s v="ORD10112"/>
        <s v="ORD10113"/>
        <s v="ORD10114"/>
        <s v="ORD10115"/>
        <s v="ORD10116"/>
        <s v="ORD10117"/>
        <s v="ORD10118"/>
        <s v="ORD10119"/>
        <s v="ORD10120"/>
        <s v="ORD10121"/>
        <s v="ORD10122"/>
        <s v="ORD10123"/>
        <s v="ORD10124"/>
        <s v="ORD10125"/>
        <s v="ORD10126"/>
        <s v="ORD10127"/>
        <s v="ORD10128"/>
        <s v="ORD10129"/>
        <s v="ORD10130"/>
        <s v="ORD10131"/>
        <s v="ORD10132"/>
        <s v="ORD10133"/>
        <s v="ORD10134"/>
        <s v="ORD10135"/>
        <s v="ORD10136"/>
        <s v="ORD10137"/>
        <s v="ORD10138"/>
        <s v="ORD10139"/>
        <s v="ORD10140"/>
        <s v="ORD10141"/>
        <s v="ORD10142"/>
        <s v="ORD10143"/>
        <s v="ORD10144"/>
        <s v="ORD10145"/>
        <s v="ORD10146"/>
        <s v="ORD10147"/>
        <s v="ORD10148"/>
        <s v="ORD10150"/>
        <s v="ORD10151"/>
        <s v="ORD10152"/>
        <s v="ORD10153"/>
        <s v="ORD10154"/>
        <s v="ORD10155"/>
        <s v="ORD10156"/>
        <s v="ORD10157"/>
        <s v="ORD10158"/>
        <s v="ORD10159"/>
        <s v="ORD10160"/>
        <s v="ORD10161"/>
        <s v="ORD10162"/>
        <s v="ORD10163"/>
        <s v="ORD10164"/>
        <s v="ORD10165"/>
        <s v="ORD10166"/>
        <s v="ORD10167"/>
        <s v="ORD10168"/>
        <s v="ORD10169"/>
        <s v="ORD10170"/>
        <s v="ORD10171"/>
        <s v="ORD10172"/>
        <s v="ORD10173"/>
        <s v="ORD10174"/>
        <s v="ORD10175"/>
        <s v="ORD10176"/>
        <s v="ORD10177"/>
        <s v="ORD10178"/>
        <s v="ORD10179"/>
        <s v="ORD10180"/>
        <s v="ORD10181"/>
        <s v="ORD10182"/>
        <s v="ORD10183"/>
        <s v="ORD10184"/>
        <s v="ORD10185"/>
        <s v="ORD10186"/>
        <s v="ORD10187"/>
        <s v="ORD10188"/>
        <s v="ORD10189"/>
        <s v="ORD10190"/>
        <s v="ORD10191"/>
        <s v="ORD10192"/>
        <s v="ORD10193"/>
        <s v="ORD10194"/>
        <s v="ORD10195"/>
        <s v="ORD10196"/>
        <s v="ORD10197"/>
        <s v="ORD10198"/>
        <s v="ORD10199"/>
        <s v="ORD10200"/>
        <s v="ORD10201"/>
        <s v="ORD10202"/>
        <s v="ORD10203"/>
        <s v="ORD10204"/>
        <s v="ORD10205"/>
        <s v="ORD10206"/>
        <s v="ORD10207"/>
        <s v="ORD10208"/>
        <s v="ORD10209"/>
        <s v="ORD10210"/>
        <s v="ORD10211"/>
        <s v="ORD10212"/>
        <s v="ORD10213"/>
        <s v="ORD10214"/>
        <s v="ORD10215"/>
        <s v="ORD10216"/>
        <s v="ORD10217"/>
        <s v="ORD10218"/>
        <s v="ORD10219"/>
        <s v="ORD10220"/>
        <s v="ORD10221"/>
        <s v="ORD10222"/>
        <s v="ORD10223"/>
        <s v="ORD10224"/>
        <s v="ORD10225"/>
        <s v="ORD10226"/>
        <s v="ORD10227"/>
        <s v="ORD10228"/>
        <s v="ORD10229"/>
        <s v="ORD10230"/>
        <s v="ORD10231"/>
        <s v="ORD10232"/>
        <s v="ORD10233"/>
        <s v="ORD10234"/>
        <s v="ORD10235"/>
        <s v="ORD10236"/>
        <s v="ORD10237"/>
        <s v="ORD10238"/>
        <s v="ORD10239"/>
        <s v="ORD10240"/>
        <s v="ORD10241"/>
        <s v="ORD10242"/>
        <s v="ORD10243"/>
        <s v="ORD10244"/>
        <s v="ORD10245"/>
        <s v="ORD10246"/>
        <s v="ORD10247"/>
        <s v="ORD10248"/>
        <s v="ORD10249"/>
        <s v="ORD10250"/>
        <s v="ORD10251"/>
        <s v="ORD10252"/>
        <s v="ORD10253"/>
        <s v="ORD10254"/>
        <s v="ORD10255"/>
        <s v="ORD10256"/>
        <s v="ORD10257"/>
        <s v="ORD10258"/>
        <s v="ORD10259"/>
        <s v="ORD10260"/>
        <s v="ORD10261"/>
        <s v="ORD10262"/>
        <s v="ORD10263"/>
        <s v="ORD10264"/>
        <s v="ORD10265"/>
        <s v="ORD10266"/>
        <s v="ORD10267"/>
        <s v="ORD10268"/>
        <s v="ORD10269"/>
        <s v="ORD10270"/>
        <s v="ORD10271"/>
        <s v="ORD10272"/>
        <s v="ORD10273"/>
        <s v="ORD10274"/>
        <s v="ORD10275"/>
        <s v="ORD10276"/>
        <s v="ORD10277"/>
        <s v="ORD10278"/>
        <s v="ORD10279"/>
        <s v="ORD10280"/>
        <s v="ORD10281"/>
        <s v="ORD10282"/>
        <s v="ORD10283"/>
        <s v="ORD10284"/>
        <s v="ORD10285"/>
        <s v="ORD10286"/>
        <s v="ORD10287"/>
        <s v="ORD10288"/>
        <s v="ORD10289"/>
        <s v="ORD10290"/>
        <s v="ORD10291"/>
        <s v="ORD10292"/>
        <s v="ORD10293"/>
        <s v="ORD10294"/>
        <s v="ORD10295"/>
        <s v="ORD10296"/>
        <s v="ORD10297"/>
        <s v="ORD10298"/>
        <s v="ORD10299"/>
        <s v="ORD10300"/>
        <s v="ORD10301"/>
        <s v="ORD10302"/>
        <s v="ORD10303"/>
        <s v="ORD10304"/>
        <s v="ORD10305"/>
        <s v="ORD10306"/>
        <s v="ORD10307"/>
        <s v="ORD10308"/>
        <s v="ORD10309"/>
        <s v="ORD10310"/>
        <s v="ORD10311"/>
        <s v="ORD10312"/>
        <s v="ORD10313"/>
        <s v="ORD10314"/>
        <s v="ORD10315"/>
        <s v="ORD10316"/>
        <s v="ORD10317"/>
        <s v="ORD10318"/>
        <s v="ORD10319"/>
        <s v="ORD10320"/>
        <s v="ORD10321"/>
        <s v="ORD10322"/>
        <s v="ORD10323"/>
        <s v="ORD10324"/>
        <s v="ORD10325"/>
        <s v="ORD10326"/>
        <s v="ORD10327"/>
        <s v="ORD10328"/>
        <s v="ORD10329"/>
        <s v="ORD10330"/>
        <s v="ORD10331"/>
        <s v="ORD10332"/>
        <s v="ORD10333"/>
        <s v="ORD10334"/>
        <s v="ORD10335"/>
        <s v="ORD10336"/>
        <s v="ORD10337"/>
        <s v="ORD10338"/>
        <s v="ORD10339"/>
        <s v="ORD10340"/>
        <s v="ORD10341"/>
        <s v="ORD10342"/>
        <s v="ORD10343"/>
        <s v="ORD10344"/>
        <s v="ORD10345"/>
        <s v="ORD10346"/>
        <s v="ORD10347"/>
        <s v="ORD10348"/>
        <s v="ORD10349"/>
        <s v="ORD10350"/>
        <s v="ORD10351"/>
        <s v="ORD10352"/>
        <s v="ORD10353"/>
        <s v="ORD10354"/>
        <s v="ORD10355"/>
        <s v="ORD10356"/>
        <s v="ORD10357"/>
        <s v="ORD10358"/>
        <s v="ORD10359"/>
        <s v="ORD10360"/>
        <s v="ORD10361"/>
        <s v="ORD10362"/>
        <s v="ORD10363"/>
        <s v="ORD10364"/>
        <s v="ORD10365"/>
        <s v="ORD10366"/>
        <s v="ORD10367"/>
        <s v="ORD10368"/>
        <s v="ORD10369"/>
        <s v="ORD10370"/>
        <s v="ORD10371"/>
        <s v="ORD10372"/>
        <s v="ORD10373"/>
        <s v="ORD10374"/>
        <s v="ORD10375"/>
        <s v="ORD10376"/>
        <s v="ORD10377"/>
        <s v="ORD10378"/>
        <s v="ORD10379"/>
        <s v="ORD10380"/>
        <s v="ORD10381"/>
        <s v="ORD10382"/>
        <s v="ORD10383"/>
        <s v="ORD10384"/>
        <s v="ORD10385"/>
        <s v="ORD10386"/>
        <s v="ORD10387"/>
        <s v="ORD10388"/>
        <s v="ORD10389"/>
        <s v="ORD10390"/>
        <s v="ORD10391"/>
        <s v="ORD10392"/>
        <s v="ORD10393"/>
        <s v="ORD10394"/>
        <s v="ORD10395"/>
        <s v="ORD10396"/>
        <s v="ORD10397"/>
        <s v="ORD10398"/>
        <s v="ORD10399"/>
        <s v="ORD10400"/>
        <s v="ORD10401"/>
        <s v="ORD10402"/>
        <s v="ORD10403"/>
        <s v="ORD10404"/>
        <s v="ORD10405"/>
        <s v="ORD10406"/>
        <s v="ORD10407"/>
        <s v="ORD10408"/>
        <s v="ORD10409"/>
        <s v="ORD10410"/>
        <s v="ORD10411"/>
        <s v="ORD10412"/>
        <s v="ORD10413"/>
        <s v="ORD10414"/>
        <s v="ORD10415"/>
        <s v="ORD10416"/>
        <s v="ORD10417"/>
        <s v="ORD10418"/>
        <s v="ORD10419"/>
        <s v="ORD10420"/>
        <s v="ORD10421"/>
        <s v="ORD10422"/>
        <s v="ORD10423"/>
        <s v="ORD10424"/>
        <s v="ORD10425"/>
        <s v="ORD10426"/>
        <s v="ORD10427"/>
        <s v="ORD10428"/>
        <s v="ORD10429"/>
        <s v="ORD10430"/>
        <s v="ORD10431"/>
        <s v="ORD10432"/>
        <s v="ORD10433"/>
        <s v="ORD10434"/>
        <s v="ORD10435"/>
        <s v="ORD10436"/>
        <s v="ORD10437"/>
        <s v="ORD10438"/>
        <s v="ORD10439"/>
        <s v="ORD10440"/>
        <s v="ORD10441"/>
        <s v="ORD10442"/>
        <s v="ORD10443"/>
        <s v="ORD10444"/>
        <s v="ORD10445"/>
        <s v="ORD10446"/>
        <s v="ORD10447"/>
        <s v="ORD10448"/>
        <s v="ORD10449"/>
        <s v="ORD10450"/>
        <s v="ORD10451"/>
        <s v="ORD10452"/>
        <s v="ORD10453"/>
        <s v="ORD10454"/>
        <s v="ORD10455"/>
        <s v="ORD10456"/>
        <s v="ORD10457"/>
        <s v="ORD10458"/>
        <s v="ORD10459"/>
        <s v="ORD10460"/>
        <s v="ORD10461"/>
        <s v="ORD10462"/>
        <s v="ORD10463"/>
        <s v="ORD10464"/>
        <s v="ORD10465"/>
        <s v="ORD10466"/>
        <s v="ORD10467"/>
        <s v="ORD10468"/>
        <s v="ORD10469"/>
        <s v="ORD10470"/>
        <s v="ORD10471"/>
        <s v="ORD10472"/>
        <s v="ORD10473"/>
        <s v="ORD10474"/>
        <s v="ORD10475"/>
        <s v="ORD10476"/>
        <s v="ORD10477"/>
        <s v="ORD10478"/>
        <s v="ORD10479"/>
        <s v="ORD10480"/>
        <s v="ORD10481"/>
        <s v="ORD10482"/>
        <s v="ORD10483"/>
        <s v="ORD10484"/>
        <s v="ORD10485"/>
        <s v="ORD10486"/>
        <s v="ORD10487"/>
        <s v="ORD10488"/>
        <s v="ORD10489"/>
        <s v="ORD10490"/>
        <s v="ORD10491"/>
        <s v="ORD10492"/>
        <s v="ORD10493"/>
        <s v="ORD10494"/>
        <s v="ORD10495"/>
        <s v="ORD10496"/>
        <s v="ORD10497"/>
        <s v="ORD10498"/>
        <s v="ORD10499"/>
        <s v="ORD10500"/>
      </sharedItems>
    </cacheField>
    <cacheField name="Customer_ID" numFmtId="0">
      <sharedItems/>
    </cacheField>
    <cacheField name="Product_ID" numFmtId="0">
      <sharedItems/>
    </cacheField>
    <cacheField name="Order_Date" numFmtId="0">
      <sharedItems containsDate="1" containsBlank="1" containsMixedTypes="1" minDate="2025-01-01T00:00:00" maxDate="2026-12-06T00:00:00" count="327">
        <d v="2025-03-09T00:00:00"/>
        <s v="18/09/2025"/>
        <s v="27/04/2025"/>
        <s v="21/03/2026"/>
        <s v="27/09/2025"/>
        <d v="2026-04-01T00:00:00"/>
        <s v="31/02/2025"/>
        <s v="13/04/2025"/>
        <s v="31/01/2026"/>
        <s v="25/03/2025"/>
        <s v="19/09/2025"/>
        <d v="2025-08-03T00:00:00"/>
        <d v="2025-10-01T00:00:00"/>
        <d v="2025-09-03T00:00:00"/>
        <s v="26/07/2025"/>
        <d v="2026-08-04T00:00:00"/>
        <s v="22/02/2026"/>
        <s v="28/02/2026"/>
        <d v="2025-01-12T00:00:00"/>
        <s v="25/06/2025"/>
        <s v="26/04/2025"/>
        <d v="2025-03-01T00:00:00"/>
        <s v="19/04/2025"/>
        <s v="22/12/2025"/>
        <d v="2026-09-04T00:00:00"/>
        <s v="24/06/2025"/>
        <s v="22/05/2025"/>
        <s v="13/03/2026"/>
        <d v="2025-08-09T00:00:00"/>
        <d v="2026-11-01T00:00:00"/>
        <s v="16/06/2025"/>
        <d v="2025-01-07T00:00:00"/>
        <d v="2025-07-03T00:00:00"/>
        <d v="2025-09-10T00:00:00"/>
        <s v="19/11/2025"/>
        <d v="2025-05-11T00:00:00"/>
        <d v="2026-08-03T00:00:00"/>
        <s v="13/02/2025"/>
        <d v="2025-05-10T00:00:00"/>
        <d v="2026-10-02T00:00:00"/>
        <d v="2025-04-06T00:00:00"/>
        <d v="2026-08-02T00:00:00"/>
        <s v="30/03/2025"/>
        <s v="25/04/2025"/>
        <s v="13/10/2025"/>
        <d v="2025-11-10T00:00:00"/>
        <s v="27/11/2025"/>
        <s v="19/04/2026"/>
        <s v="28/03/2025"/>
        <s v="25/08/2025"/>
        <s v="19/08/2025"/>
        <s v="27/07/2025"/>
        <s v="21/02/2025"/>
        <d v="2025-10-08T00:00:00"/>
        <s v="24/03/2026"/>
        <s v="15/06/2025"/>
        <d v="2025-05-03T00:00:00"/>
        <s v="16/08/2025"/>
        <s v="13/05/2026"/>
        <d v="2025-01-03T00:00:00"/>
        <d v="2025-09-02T00:00:00"/>
        <d v="2026-09-01T00:00:00"/>
        <d v="2025-01-09T00:00:00"/>
        <d v="2026-09-02T00:00:00"/>
        <s v="14/12/2025"/>
        <d v="2025-07-04T00:00:00"/>
        <s v="24/12/2025"/>
        <s v="30/08/2025"/>
        <s v="13/12/2025"/>
        <d v="2026-04-02T00:00:00"/>
        <s v="26/01/2026"/>
        <s v="27/06/2025"/>
        <s v="17/03/2026"/>
        <d v="2025-09-06T00:00:00"/>
        <s v="15/11/2025"/>
        <d v="2025-06-11T00:00:00"/>
        <d v="2025-01-01T00:00:00"/>
        <s v="25/04/2026"/>
        <s v="18/03/2025"/>
        <s v="30/10/2025"/>
        <s v="31/10/2025"/>
        <d v="2025-10-04T00:00:00"/>
        <s v="16/03/2026"/>
        <s v="15/09/2025"/>
        <d v="2026-11-03T00:00:00"/>
        <s v="20/08/2025"/>
        <s v="13/08/2025"/>
        <s v="16/03/2025"/>
        <d v="2025-04-09T00:00:00"/>
        <d v="2025-12-04T00:00:00"/>
        <d v="2026-04-05T00:00:00"/>
        <s v="18/01/2026"/>
        <s v="14/03/2026"/>
        <d v="2025-09-05T00:00:00"/>
        <d v="2026-07-05T00:00:00"/>
        <s v="21/04/2025"/>
        <d v="2025-11-12T00:00:00"/>
        <s v="13/01/2025"/>
        <s v="17/03/2025"/>
        <s v="25/02/2025"/>
        <s v="26/02/2025"/>
        <d v="2025-10-07T00:00:00"/>
        <s v="18/11/2025"/>
        <d v="2025-09-04T00:00:00"/>
        <d v="2026-03-04T00:00:00"/>
        <s v="23/10/2025"/>
        <d v="2025-03-04T00:00:00"/>
        <s v="24/08/2025"/>
        <s v="31/05/2025"/>
        <s v="30/05/2025"/>
        <d v="2026-03-01T00:00:00"/>
        <s v="20/10/2025"/>
        <d v="2025-11-05T00:00:00"/>
        <d v="2026-02-01T00:00:00"/>
        <s v="20/04/2026"/>
        <d v="2025-04-08T00:00:00"/>
        <s v="27/04/2026"/>
        <s v="17/02/2026"/>
        <d v="2026-04-04T00:00:00"/>
        <d v="2025-08-06T00:00:00"/>
        <s v="25/07/2025"/>
        <s v="16/01/2025"/>
        <d v="2025-04-02T00:00:00"/>
        <s v="22/01/2025"/>
        <d v="2025-11-04T00:00:00"/>
        <d v="2025-04-07T00:00:00"/>
        <s v="17/12/2025"/>
        <d v="2025-10-10T00:00:00"/>
        <d v="2026-07-03T00:00:00"/>
        <s v="23/12/2025"/>
        <d v="2025-07-07T00:00:00"/>
        <d v="2026-03-05T00:00:00"/>
        <s v="29/11/2025"/>
        <s v="14/07/2025"/>
        <s v="13/03/2025"/>
        <s v="22/07/2025"/>
        <s v="21/07/2025"/>
        <s v="19/07/2025"/>
        <d v="2025-04-11T00:00:00"/>
        <s v="19/06/2025"/>
        <s v="26/03/2025"/>
        <d v="2025-06-07T00:00:00"/>
        <d v="2026-01-04T00:00:00"/>
        <s v="28/10/2025"/>
        <d v="2025-06-02T00:00:00"/>
        <s v="14/03/2025"/>
        <d v="2025-02-12T00:00:00"/>
        <s v="14/02/2026"/>
        <d v="2025-09-11T00:00:00"/>
        <d v="2025-07-02T00:00:00"/>
        <s v="26/05/2025"/>
        <d v="2025-04-10T00:00:00"/>
        <s v="15/05/2025"/>
        <s v="14/06/2025"/>
        <s v="22/04/2025"/>
        <s v="16/12/2025"/>
        <d v="2026-12-05T00:00:00"/>
        <s v="16/11/2025"/>
        <s v="16/02/2025"/>
        <s v="28/04/2025"/>
        <s v="15/04/2026"/>
        <s v="20/02/2025"/>
        <s v="24/05/2025"/>
        <d v="2026-06-01T00:00:00"/>
        <d v="2025-06-03T00:00:00"/>
        <d v="2026-06-04T00:00:00"/>
        <s v="17/01/2026"/>
        <s v="21/09/2025"/>
        <s v="18/12/2025"/>
        <d v="2025-02-06T00:00:00"/>
        <s v="22/04/2026"/>
        <d v="2026-06-03T00:00:00"/>
        <s v="28/02/2025"/>
        <s v="30/01/2026"/>
        <s v="29/04/2026"/>
        <s v="18/05/2025"/>
        <s v="26/03/2026"/>
        <s v="19/01/2026"/>
        <d v="2026-02-05T00:00:00"/>
        <s v="20/07/2025"/>
        <s v="19/02/2025"/>
        <s v="20/04/2025"/>
        <d v="2025-05-06T00:00:00"/>
        <s v="20/05/2025"/>
        <s v="24/01/2026"/>
        <d v="2025-11-06T00:00:00"/>
        <s v="16/01/2026"/>
        <s v="20/02/2026"/>
        <d v="2025-09-07T00:00:00"/>
        <d v="2025-08-02T00:00:00"/>
        <s v="27/01/2026"/>
        <d v="2026-08-01T00:00:00"/>
        <s v="16/05/2026"/>
        <s v="25/05/2025"/>
        <s v="28/12/2025"/>
        <s v="23/03/2025"/>
        <s v="15/12/2025"/>
        <d v="2025-03-11T00:00:00"/>
        <d v="2026-09-05T00:00:00"/>
        <d v="2025-08-07T00:00:00"/>
        <d v="2025-12-12T00:00:00"/>
        <d v="2025-03-05T00:00:00"/>
        <d v="2025-09-01T00:00:00"/>
        <s v="17/04/2025"/>
        <d v="2025-09-08T00:00:00"/>
        <s v="22/06/2025"/>
        <s v="19/05/2025"/>
        <s v="29/03/2025"/>
        <s v="18/02/2026"/>
        <s v="21/01/2026"/>
        <s v="17/09/2025"/>
        <d v="2025-12-05T00:00:00"/>
        <d v="2025-06-09T00:00:00"/>
        <s v="23/04/2025"/>
        <s v="21/02/2026"/>
        <s v="22/09/2025"/>
        <d v="2026-08-05T00:00:00"/>
        <s v="27/03/2025"/>
        <d v="2025-12-03T00:00:00"/>
        <s v="13/02/2026"/>
        <d v="2025-11-02T00:00:00"/>
        <s v="17/01/2025"/>
        <d v="2025-01-04T00:00:00"/>
        <s v="25/02/2026"/>
        <s v="16/05/2025"/>
        <s v="23/07/2025"/>
        <s v="23/04/2026"/>
        <d v="2025-02-03T00:00:00"/>
        <s v="28/08/2025"/>
        <d v="2025-06-10T00:00:00"/>
        <s v="26/04/2026"/>
        <d v="2025-08-05T00:00:00"/>
        <s v="26/12/2025"/>
        <s v="24/02/2026"/>
        <s v="27/02/2025"/>
        <d v="2025-03-06T00:00:00"/>
        <d v="2025-10-12T00:00:00"/>
        <s v="25/11/2025"/>
        <s v="29/10/2025"/>
        <d v="2026-05-03T00:00:00"/>
        <s v="26/08/2025"/>
        <d v="2025-05-04T00:00:00"/>
        <d v="2025-04-12T00:00:00"/>
        <d v="2026-05-01T00:00:00"/>
        <s v="28/07/2025"/>
        <s v="15/10/2025"/>
        <d v="2025-06-12T00:00:00"/>
        <d v="2025-05-08T00:00:00"/>
        <s v="16/04/2026"/>
        <d v="2025-05-12T00:00:00"/>
        <s v="30/07/2025"/>
        <s v="18/07/2025"/>
        <s v="\"/>
        <d v="2026-11-04T00:00:00"/>
        <d v="2026-10-05T00:00:00"/>
        <s v="23/01/2026"/>
        <s v="30/04/2025"/>
        <d v="2025-03-02T00:00:00"/>
        <m/>
        <d v="2025-12-06T00:00:00"/>
        <d v="2025-01-11T00:00:00"/>
        <s v="24/01/2025"/>
        <d v="2025-01-10T00:00:00"/>
        <s v="29/09/2025"/>
        <s v="14/05/2025"/>
        <s v="19/02/2026"/>
        <s v="25/01/2025"/>
        <s v="20/06/2025"/>
        <s v="28/05/2025"/>
        <s v="28/01/2025"/>
        <d v="2025-03-08T00:00:00"/>
        <s v="15/01/2025"/>
        <s v="31/01/2025"/>
        <s v="13/05/2025"/>
        <s v="27/12/2025"/>
        <d v="2025-02-07T00:00:00"/>
        <s v="27/01/2025"/>
        <d v="2026-11-05T00:00:00"/>
        <d v="2026-11-02T00:00:00"/>
        <s v="27/03/2026"/>
        <s v="17/04/2026"/>
        <s v="29/12/2025"/>
        <d v="2025-12-01T00:00:00"/>
        <s v="13/01/2026"/>
        <s v="15/03/2026"/>
        <s v="27/08/2025"/>
        <d v="2025-12-10T00:00:00"/>
        <s v="14/01/2026"/>
        <d v="2025-01-02T00:00:00"/>
        <s v="22/02/2025"/>
        <s v="18/04/2025"/>
        <s v="20/03/2025"/>
        <s v="22/10/2025"/>
        <s v="31/12/2025"/>
        <s v="21/06/2025"/>
        <d v="2025-02-05T00:00:00"/>
        <s v="29/06/2025"/>
        <d v="2026-12-02T00:00:00"/>
        <d v="2025-03-03T00:00:00"/>
        <s v="24/04/2026"/>
        <s v="17/02/2025"/>
        <s v="22/03/2026"/>
        <d v="2026-02-04T00:00:00"/>
        <s v="18/02/2025"/>
        <s v="29/03/2026"/>
        <d v="2025-04-05T00:00:00"/>
        <s v="23/08/2025"/>
        <s v="29/05/2025"/>
        <d v="2025-12-09T00:00:00"/>
        <d v="2026-04-03T00:00:00"/>
        <d v="2025-01-08T00:00:00"/>
        <d v="2025-08-04T00:00:00"/>
        <d v="2025-02-11T00:00:00"/>
        <s v="18/10/2025"/>
        <s v="28/01/2026"/>
        <s v="21/01/2025"/>
        <s v="19/10/2025"/>
        <d v="2026-12-01T00:00:00"/>
        <s v="26/01/2025"/>
        <d v="2026-07-04T00:00:00"/>
        <s v="26/06/2025"/>
        <s v="23/03/2026"/>
        <d v="2026-05-05T00:00:00"/>
        <s v="23/02/2025"/>
        <s v="29/07/2025"/>
        <s v="21/10/2025"/>
        <s v="16/09/2025"/>
      </sharedItems>
    </cacheField>
    <cacheField name="Delivery_Date" numFmtId="0">
      <sharedItems containsDate="1" containsBlank="1" containsMixedTypes="1" minDate="2025-01-02T00:00:00" maxDate="2026-12-04T00:00:00"/>
    </cacheField>
    <cacheField name="Customer_Name" numFmtId="0">
      <sharedItems/>
    </cacheField>
    <cacheField name="Gender" numFmtId="0">
      <sharedItems/>
    </cacheField>
    <cacheField name="DOB" numFmtId="0">
      <sharedItems containsDate="1" containsMixedTypes="1" minDate="1975-02-09T00:00:00" maxDate="2004-12-11T00:00:00"/>
    </cacheField>
    <cacheField name="City" numFmtId="0">
      <sharedItems containsBlank="1"/>
    </cacheField>
    <cacheField name="Region" numFmtId="0">
      <sharedItems count="4">
        <s v="South"/>
        <s v="North"/>
        <s v="West"/>
        <s v="East"/>
      </sharedItems>
    </cacheField>
    <cacheField name="Category" numFmtId="0">
      <sharedItems count="4">
        <s v="Electronics"/>
        <s v="Home Appliances"/>
        <s v="Stationery"/>
        <s v="Stationary"/>
      </sharedItems>
    </cacheField>
    <cacheField name="Product_Name" numFmtId="0">
      <sharedItems/>
    </cacheField>
    <cacheField name="Quantity" numFmtId="0">
      <sharedItems containsMixedTypes="1" containsNumber="1" containsInteger="1" minValue="-3" maxValue="20"/>
    </cacheField>
    <cacheField name="Unit_Price" numFmtId="0">
      <sharedItems containsSemiMixedTypes="0" containsString="0" containsNumber="1" containsInteger="1" minValue="20" maxValue="55000"/>
    </cacheField>
    <cacheField name="Discount_%" numFmtId="0">
      <sharedItems containsSemiMixedTypes="0" containsString="0" containsNumber="1" containsInteger="1" minValue="0" maxValue="65"/>
    </cacheField>
    <cacheField name="Sales" numFmtId="0">
      <sharedItems containsSemiMixedTypes="0" containsString="0" containsNumber="1" minValue="19" maxValue="1045000"/>
    </cacheField>
    <cacheField name="Rating" numFmtId="0">
      <sharedItems containsSemiMixedTypes="0" containsString="0" containsNumber="1" containsInteger="1" minValue="1" maxValue="5"/>
    </cacheField>
    <cacheField name="Payment_Mode" numFmtId="0">
      <sharedItems/>
    </cacheField>
    <cacheField name="Salesperson" numFmtId="0">
      <sharedItems containsBlank="1"/>
    </cacheField>
    <cacheField name="Email" numFmtId="0">
      <sharedItems/>
    </cacheField>
    <cacheField name="Phone" numFmtId="0">
      <sharedItems containsSemiMixedTypes="0" containsString="0" containsNumber="1" containsInteger="1" minValue="98765" maxValue="9999889465"/>
    </cacheField>
    <cacheField name="Order_Status" numFmtId="0">
      <sharedItems/>
    </cacheField>
    <cacheField name="Customer Classification" numFmtId="0">
      <sharedItems/>
    </cacheField>
    <cacheField name="Standarized Customer Name" numFmtId="0">
      <sharedItems/>
    </cacheField>
    <cacheField name="Customer Code" numFmtId="0">
      <sharedItems/>
    </cacheField>
    <cacheField name="Standerized Email" numFmtId="0">
      <sharedItems/>
    </cacheField>
    <cacheField name="Customer age " numFmtId="0">
      <sharedItems containsMixedTypes="1" containsNumber="1" containsInteger="1" minValue="21" maxValue="51"/>
    </cacheField>
    <cacheField name="Delivery Time" numFmtId="0">
      <sharedItems containsMixedTypes="1" containsNumber="1" containsInteger="1" minValue="1" maxValue="359"/>
    </cacheField>
    <cacheField name="DELIVERY status" numFmtId="0">
      <sharedItems/>
    </cacheField>
  </cacheFields>
  <extLst>
    <ext xmlns:x14="http://schemas.microsoft.com/office/spreadsheetml/2009/9/main" uri="{725AE2AE-9491-48be-B2B4-4EB974FC3084}">
      <x14:pivotCacheDefinition pivotCacheId="1706136953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C010"/>
    <s v="P101"/>
    <x v="0"/>
    <s v="14/09/2025"/>
    <s v="pooja shah"/>
    <s v="Female"/>
    <s v="16/09/1994"/>
    <s v="Bengaluru"/>
    <x v="0"/>
    <x v="0"/>
    <s v="Laptop"/>
    <n v="5"/>
    <n v="55000"/>
    <n v="5"/>
    <n v="261250"/>
    <n v="3"/>
    <s v="NetBanking"/>
    <s v="Aisha"/>
    <s v="pooja.shah@company.com"/>
    <n v="9380975626"/>
    <s v="Pending"/>
    <s v=""/>
    <s v="Pooja Shah"/>
    <s v="poo010Be"/>
    <s v="pooja.shah@company.com"/>
    <s v=""/>
    <s v=""/>
    <s v="Delayed"/>
  </r>
  <r>
    <x v="0"/>
    <s v="C008"/>
    <s v="P202"/>
    <x v="1"/>
    <s v="22/09/2025"/>
    <s v="Kavya Nair"/>
    <s v="Female"/>
    <d v="1976-01-08T00:00:00"/>
    <s v="Hyderabad"/>
    <x v="0"/>
    <x v="1"/>
    <s v="Iron"/>
    <n v="4"/>
    <n v="2200"/>
    <n v="10"/>
    <n v="7920"/>
    <n v="4"/>
    <s v="Cash"/>
    <s v="Ritika"/>
    <s v="KAvya.nair@company.com"/>
    <n v="9431429797"/>
    <s v="Completed"/>
    <s v="Silver"/>
    <s v="Kavya Nair"/>
    <s v="Kav008Hy"/>
    <s v="kavya.nair@company.com"/>
    <n v="50"/>
    <n v="4"/>
    <s v="On time"/>
  </r>
  <r>
    <x v="0"/>
    <s v="C008"/>
    <s v="P104"/>
    <x v="2"/>
    <d v="2025-04-05T00:00:00"/>
    <s v="Kavya Nair"/>
    <s v="Female"/>
    <s v="16/10/2000"/>
    <s v="Delhi"/>
    <x v="1"/>
    <x v="0"/>
    <s v="Monitor"/>
    <n v="17"/>
    <n v="12000"/>
    <n v="10"/>
    <n v="183600"/>
    <n v="1"/>
    <s v="NetBanking"/>
    <s v="Rahul"/>
    <s v="KAvya.nair@company.com"/>
    <n v="9129865339"/>
    <s v="Completed"/>
    <s v="Blacklisted"/>
    <s v="Kavya Nair"/>
    <s v="Kav008De"/>
    <s v="kavya.nair@company.com"/>
    <n v="50"/>
    <s v=""/>
    <s v="Delayed"/>
  </r>
  <r>
    <x v="0"/>
    <s v="C008"/>
    <s v="P202"/>
    <x v="3"/>
    <d v="2026-02-04T00:00:00"/>
    <s v="Kavya Nair"/>
    <s v="Female"/>
    <d v="2004-07-03T00:00:00"/>
    <s v="Bengaluru"/>
    <x v="0"/>
    <x v="1"/>
    <s v="Iron"/>
    <n v="5"/>
    <n v="2200"/>
    <n v="5"/>
    <n v="10450"/>
    <n v="5"/>
    <s v="NetBanking"/>
    <s v="Aisha"/>
    <s v="KAvya.nair@company.com"/>
    <n v="9600261125"/>
    <s v="Cancelled"/>
    <s v="Blacklisted"/>
    <s v="Kavya Nair"/>
    <s v="Kav008Be"/>
    <s v="kavya.nair@company.com"/>
    <s v=""/>
    <s v=""/>
    <s v="Delayed"/>
  </r>
  <r>
    <x v="0"/>
    <s v="C009"/>
    <s v="P103"/>
    <x v="4"/>
    <d v="2025-07-10T00:00:00"/>
    <s v="Mohit Verma"/>
    <s v="Male"/>
    <s v="13/04/1976"/>
    <s v="Delhi"/>
    <x v="1"/>
    <x v="0"/>
    <s v="Keyboard"/>
    <n v="8"/>
    <n v="1200"/>
    <n v="5"/>
    <n v="9120"/>
    <n v="2"/>
    <s v="Card"/>
    <s v="Aisha"/>
    <s v="mohit.verma@company.com"/>
    <n v="9724635978"/>
    <s v="Pending"/>
    <s v="Blacklisted"/>
    <s v="Mohit Verma"/>
    <s v="Moh009De"/>
    <s v="mohit.verma@company.com"/>
    <n v="22"/>
    <s v=""/>
    <s v="Delayed"/>
  </r>
  <r>
    <x v="1"/>
    <s v="C007"/>
    <s v="P202"/>
    <x v="5"/>
    <d v="2026-12-01T00:00:00"/>
    <s v="arjun Rao"/>
    <s v="Male"/>
    <d v="1988-07-02T00:00:00"/>
    <s v="Hyderabad"/>
    <x v="0"/>
    <x v="1"/>
    <s v="Iron"/>
    <n v="4"/>
    <n v="2200"/>
    <n v="0"/>
    <n v="8800"/>
    <n v="1"/>
    <s v="UPI"/>
    <s v="Ritika"/>
    <s v="arjun.rao@company.com"/>
    <n v="9780584905"/>
    <s v="Completed"/>
    <s v="Blacklisted"/>
    <s v="Arjun Rao"/>
    <s v="arj007Hy"/>
    <s v="arjun.rao@company.com"/>
    <s v=""/>
    <s v=""/>
    <s v="Delayed"/>
  </r>
  <r>
    <x v="2"/>
    <s v="C008"/>
    <s v="P201"/>
    <x v="6"/>
    <s v="25/02/2026"/>
    <s v="Kavya Nair"/>
    <s v="Female"/>
    <s v="20/03/2003"/>
    <s v="Hyderabad"/>
    <x v="0"/>
    <x v="1"/>
    <s v="Mixer"/>
    <n v="2"/>
    <n v="3500"/>
    <n v="5"/>
    <n v="6650"/>
    <n v="1"/>
    <s v="UPI"/>
    <s v="Ritika"/>
    <s v="KAvya.nair@company.com"/>
    <n v="9958252176"/>
    <s v="Completed"/>
    <s v="Blacklisted"/>
    <s v="Kavya Nair"/>
    <s v="Kav008Hy"/>
    <s v="kavya.nair@company.com"/>
    <n v="38"/>
    <n v="359"/>
    <s v="Delayed"/>
  </r>
  <r>
    <x v="3"/>
    <s v="C002"/>
    <s v="P104"/>
    <x v="7"/>
    <s v="19/04/2025"/>
    <s v="Priya Patel"/>
    <s v="Female"/>
    <d v="1995-07-03T00:00:00"/>
    <s v="Mumbai"/>
    <x v="2"/>
    <x v="1"/>
    <s v="Monitor"/>
    <n v="14"/>
    <n v="12000"/>
    <n v="15"/>
    <n v="142800"/>
    <n v="4"/>
    <s v="NetBanking"/>
    <s v="Ritika"/>
    <s v="priYa.patel@company.com"/>
    <n v="9705521654"/>
    <s v="Completed"/>
    <s v="Gold"/>
    <s v="Priya Patel"/>
    <s v="Pri002Mu"/>
    <s v="priya.patel@company.com"/>
    <s v=""/>
    <n v="6"/>
    <s v="Delayed"/>
  </r>
  <r>
    <x v="4"/>
    <s v="C008"/>
    <s v="P104"/>
    <x v="8"/>
    <d v="2026-02-02T00:00:00"/>
    <s v="Kavya Nair"/>
    <s v="Female"/>
    <d v="1997-06-04T00:00:00"/>
    <s v="Pune"/>
    <x v="2"/>
    <x v="1"/>
    <s v="Monitor"/>
    <n v="4"/>
    <n v="12000"/>
    <n v="15"/>
    <n v="40800"/>
    <n v="4"/>
    <s v="UPI"/>
    <s v="Neha"/>
    <s v="KAvya.nair@company.com"/>
    <n v="9588041011"/>
    <s v="Completed"/>
    <s v="Silver"/>
    <s v="Kavya Nair"/>
    <s v="kav008Pu"/>
    <s v="kavya.nair@company.com"/>
    <n v="31"/>
    <s v=""/>
    <s v="Delayed"/>
  </r>
  <r>
    <x v="5"/>
    <s v="C002"/>
    <s v="P301"/>
    <x v="9"/>
    <s v="27/03/2025"/>
    <s v="Priya Patel"/>
    <s v="Female"/>
    <d v="1990-07-01T00:00:00"/>
    <s v="Mumbai"/>
    <x v="2"/>
    <x v="2"/>
    <s v="Notebook"/>
    <n v="6"/>
    <n v="60"/>
    <n v="0"/>
    <n v="360"/>
    <n v="4"/>
    <s v="Card"/>
    <s v="Neha"/>
    <s v="priYa.patel@company.com"/>
    <n v="9340540608"/>
    <s v="Completed"/>
    <s v="Silver"/>
    <s v="Priya Patel"/>
    <s v="Pri002Mu"/>
    <s v="priya.patel@company.com"/>
    <n v="29"/>
    <n v="2"/>
    <s v="On time"/>
  </r>
  <r>
    <x v="6"/>
    <s v="C003"/>
    <s v="P202"/>
    <x v="10"/>
    <s v="23/09/2025"/>
    <s v="Rohit Singh"/>
    <s v="Male"/>
    <d v="1982-10-05T00:00:00"/>
    <s v="Delhi"/>
    <x v="1"/>
    <x v="1"/>
    <s v="Iron"/>
    <n v="-3"/>
    <n v="2200"/>
    <n v="0"/>
    <n v="35200"/>
    <n v="2"/>
    <s v="Card"/>
    <s v="Rahul"/>
    <s v="rohit.singh@company.com"/>
    <n v="9521710321"/>
    <s v="Pending"/>
    <s v="Blacklisted"/>
    <s v="Rohit Singh"/>
    <s v="Roh003De"/>
    <s v="rohit.singh@company.com"/>
    <n v="36"/>
    <n v="4"/>
    <s v="On time"/>
  </r>
  <r>
    <x v="7"/>
    <s v="C008"/>
    <s v="P201"/>
    <x v="11"/>
    <s v="15/03/2025"/>
    <s v="Kavya Nair"/>
    <s v="Female"/>
    <s v="23/01/1982"/>
    <s v="Ahmedabad"/>
    <x v="2"/>
    <x v="1"/>
    <s v="Mixer"/>
    <n v="10"/>
    <n v="3500"/>
    <n v="5"/>
    <n v="33250"/>
    <n v="5"/>
    <s v="Card"/>
    <s v="Aisha"/>
    <s v="KAvya.nair@company.com"/>
    <n v="9123535241"/>
    <s v="Cancelled"/>
    <s v="Blacklisted"/>
    <s v="Kavya Nair"/>
    <s v="Kav008Ah"/>
    <s v="kavya.nair@company.com"/>
    <n v="44"/>
    <s v=""/>
    <s v="Delayed"/>
  </r>
  <r>
    <x v="8"/>
    <s v="C002"/>
    <s v="P202"/>
    <x v="12"/>
    <s v="15/01/2025"/>
    <s v="Priya Patel"/>
    <s v="Female"/>
    <d v="1992-06-07T00:00:00"/>
    <s v="Pune"/>
    <x v="2"/>
    <x v="1"/>
    <s v="Iron"/>
    <n v="15"/>
    <n v="2200"/>
    <n v="10"/>
    <n v="29700"/>
    <n v="1"/>
    <s v="UPI"/>
    <s v="Neha"/>
    <s v="priYa.patel@company.com"/>
    <n v="9367316892"/>
    <s v="Pending"/>
    <s v="Blacklisted"/>
    <s v="Priya Patel"/>
    <s v="Pri002Pu"/>
    <s v="priya.patel@company.com"/>
    <s v=""/>
    <s v=""/>
    <s v="Delayed"/>
  </r>
  <r>
    <x v="9"/>
    <s v="C003"/>
    <s v="P202"/>
    <x v="13"/>
    <s v="13/03/2025"/>
    <s v="Rohit Singh"/>
    <s v="Male"/>
    <s v="19/03/2002"/>
    <s v="Mumbai"/>
    <x v="2"/>
    <x v="1"/>
    <s v="Iron"/>
    <n v="17"/>
    <n v="2200"/>
    <n v="5"/>
    <n v="35530"/>
    <n v="1"/>
    <s v="Cash"/>
    <s v="Karan"/>
    <s v="rohit.singh@company.com"/>
    <n v="9778489803"/>
    <s v="Completed"/>
    <s v="Blacklisted"/>
    <s v="Rohit Singh"/>
    <s v="roh003Mu"/>
    <s v="rohit.singh@company.com"/>
    <n v="34"/>
    <s v=""/>
    <s v="Delayed"/>
  </r>
  <r>
    <x v="10"/>
    <s v="C008"/>
    <s v="P201"/>
    <x v="14"/>
    <d v="2025-07-08T00:00:00"/>
    <s v="Kavya Nair"/>
    <s v="Female"/>
    <s v="17/01/2001"/>
    <s v="Mumbai"/>
    <x v="2"/>
    <x v="1"/>
    <s v="Mixer"/>
    <n v="15"/>
    <n v="3500"/>
    <n v="15"/>
    <n v="44625"/>
    <n v="2"/>
    <s v="Cash"/>
    <s v="Neha"/>
    <s v="KAvya.nair@company.com"/>
    <n v="9582960180"/>
    <s v="Cancelled"/>
    <s v="Blacklisted"/>
    <s v="Kavya Nair"/>
    <s v="Kav008Mu"/>
    <s v="kavya.nair@company.com"/>
    <s v=""/>
    <s v=""/>
    <s v="Delayed"/>
  </r>
  <r>
    <x v="11"/>
    <s v="C010"/>
    <s v="P103"/>
    <x v="15"/>
    <d v="2026-11-04T00:00:00"/>
    <s v="pooja shah"/>
    <s v="Female"/>
    <d v="2002-11-04T00:00:00"/>
    <s v="Hyderabad"/>
    <x v="0"/>
    <x v="0"/>
    <s v="Keyboard"/>
    <n v="3"/>
    <n v="1200"/>
    <n v="5"/>
    <n v="3420"/>
    <n v="5"/>
    <s v="UPI"/>
    <s v="Ritika"/>
    <s v="pooja.shahcompany.com"/>
    <n v="9611394005"/>
    <s v="Completed"/>
    <s v="Silver"/>
    <s v="Pooja Shah"/>
    <s v="Poo010Hy"/>
    <s v="invalid email"/>
    <s v=""/>
    <s v=""/>
    <s v="Delayed"/>
  </r>
  <r>
    <x v="12"/>
    <s v="C004"/>
    <s v="P203"/>
    <x v="16"/>
    <d v="2026-03-03T00:00:00"/>
    <s v="Amit Sharma"/>
    <s v="Female"/>
    <s v="16/01/2002"/>
    <s v="Pune"/>
    <x v="2"/>
    <x v="1"/>
    <s v="Microwave"/>
    <n v="13"/>
    <n v="8500"/>
    <n v="20"/>
    <n v="88400"/>
    <n v="4"/>
    <s v="Card"/>
    <s v="Rahul"/>
    <s v="anita.gupta@company.com"/>
    <n v="9692599404"/>
    <s v="Pending"/>
    <s v=""/>
    <s v="Amit Sharma"/>
    <s v="Ami004Pu"/>
    <s v="anita.gupta@company.com"/>
    <n v="23"/>
    <s v=""/>
    <s v="Delayed"/>
  </r>
  <r>
    <x v="13"/>
    <s v="C007"/>
    <s v="P203"/>
    <x v="17"/>
    <d v="2026-05-03T00:00:00"/>
    <s v="arjun Rao"/>
    <s v="Male"/>
    <d v="1989-09-10T00:00:00"/>
    <s v="Ahmedabad"/>
    <x v="2"/>
    <x v="1"/>
    <s v="Microwave"/>
    <n v="4"/>
    <n v="8500"/>
    <n v="20"/>
    <n v="27200"/>
    <n v="5"/>
    <s v="Card"/>
    <s v="Aisha"/>
    <s v="arjun.rao@company.com"/>
    <n v="9426119622"/>
    <s v="Pending"/>
    <s v=""/>
    <s v="Arjun Rao"/>
    <s v="Arj007Ah"/>
    <s v="arjun.rao@company.com"/>
    <s v=""/>
    <s v=""/>
    <s v="Delayed"/>
  </r>
  <r>
    <x v="14"/>
    <s v="C007"/>
    <s v="P102"/>
    <x v="18"/>
    <d v="2025-04-12T00:00:00"/>
    <s v="arjun Rao"/>
    <s v="Male"/>
    <s v="28/10/1991"/>
    <s v="Mumbai"/>
    <x v="2"/>
    <x v="0"/>
    <s v="Mouse"/>
    <n v="9"/>
    <n v="700"/>
    <n v="5"/>
    <n v="5985"/>
    <n v="3"/>
    <s v="UPI"/>
    <s v="Ritika"/>
    <s v="arjun.rao@company.com"/>
    <n v="9184436009"/>
    <s v="Pending"/>
    <s v=""/>
    <s v="Arjun Rao"/>
    <s v="arj007Mu"/>
    <s v="arjun.rao@company.com"/>
    <n v="37"/>
    <s v=""/>
    <s v="Delayed"/>
  </r>
  <r>
    <x v="15"/>
    <s v="C008"/>
    <s v="P101"/>
    <x v="19"/>
    <d v="2025-03-07T00:00:00"/>
    <s v="Kavya Nair"/>
    <s v="Female"/>
    <d v="1990-01-03T00:00:00"/>
    <s v="Ahmedabad"/>
    <x v="2"/>
    <x v="0"/>
    <s v="Laptop"/>
    <n v="8"/>
    <n v="55000"/>
    <n v="20"/>
    <n v="352000"/>
    <n v="1"/>
    <s v="Cash"/>
    <s v="Karan"/>
    <s v="KAvya.nair@company.com"/>
    <n v="9263774934"/>
    <s v="Completed"/>
    <s v="Blacklisted"/>
    <s v="Kavya Nair"/>
    <s v="Kav008Ah"/>
    <s v="kavya.nair@company.com"/>
    <s v=""/>
    <s v=""/>
    <s v="Delayed"/>
  </r>
  <r>
    <x v="16"/>
    <s v="C003"/>
    <s v="P102"/>
    <x v="20"/>
    <d v="2025-05-05T00:00:00"/>
    <s v="Rohit Singh"/>
    <s v="Male"/>
    <s v="18/07/2002"/>
    <s v="Delhi"/>
    <x v="1"/>
    <x v="0"/>
    <s v="Mouse"/>
    <n v="10"/>
    <n v="700"/>
    <n v="20"/>
    <n v="5600"/>
    <n v="4"/>
    <s v="Card"/>
    <s v="Aisha"/>
    <s v="rohit.singh@company.com"/>
    <n v="9473159572"/>
    <s v="Cancelled"/>
    <s v="Blacklisted"/>
    <s v="Rohit Singh"/>
    <s v="Roh003De"/>
    <s v="rohit.singh@company.com"/>
    <n v="36"/>
    <s v=""/>
    <s v="Delayed"/>
  </r>
  <r>
    <x v="17"/>
    <s v="C008"/>
    <s v="P201"/>
    <x v="21"/>
    <d v="2025-08-01T00:00:00"/>
    <s v="Kavya Nair"/>
    <s v="Female"/>
    <s v="15/12/2004"/>
    <s v="Bengaluru"/>
    <x v="0"/>
    <x v="1"/>
    <s v="Mixer"/>
    <n v="1"/>
    <n v="3500"/>
    <n v="5"/>
    <n v="3325"/>
    <n v="3"/>
    <s v="UPI"/>
    <s v="Neha"/>
    <s v="KAvya.nair@company.com"/>
    <n v="9660493688"/>
    <s v="Cancelled"/>
    <s v="Blacklisted"/>
    <s v="Kavya Nair"/>
    <s v="Kav008Be"/>
    <s v="kavya.nair@company.com"/>
    <s v=""/>
    <s v=""/>
    <s v="Delayed"/>
  </r>
  <r>
    <x v="18"/>
    <s v="C002"/>
    <s v="P102"/>
    <x v="22"/>
    <s v="30/04/2025"/>
    <s v="Priya Patel"/>
    <s v="Female"/>
    <d v="1984-04-07T00:00:00"/>
    <s v="Jaipur"/>
    <x v="1"/>
    <x v="0"/>
    <s v="Mouse"/>
    <n v="19"/>
    <n v="700"/>
    <n v="15"/>
    <n v="11305"/>
    <n v="3"/>
    <s v="NetBanking"/>
    <s v="Karan"/>
    <s v="priYa.patel@company.com"/>
    <n v="9513325819"/>
    <s v="Pending"/>
    <s v=""/>
    <s v="Priya Patel"/>
    <s v="Pri002Ja"/>
    <s v="priya.patel@company.com"/>
    <s v=""/>
    <n v="11"/>
    <s v="Delayed"/>
  </r>
  <r>
    <x v="19"/>
    <s v="C009"/>
    <s v="P101"/>
    <x v="23"/>
    <d v="2026-01-01T00:00:00"/>
    <s v="Mohit Verma"/>
    <s v="Male"/>
    <s v="25/02/1978"/>
    <s v="Bengaluru"/>
    <x v="0"/>
    <x v="0"/>
    <s v="Laptop"/>
    <n v="12"/>
    <n v="55000"/>
    <n v="0"/>
    <n v="660000"/>
    <n v="1"/>
    <s v="Card"/>
    <s v="Rahul"/>
    <s v="mohit.verma@company.com"/>
    <n v="9641063242"/>
    <s v="Pending"/>
    <s v="Blacklisted"/>
    <s v="Mohit Verma"/>
    <s v="Moh009Be"/>
    <s v="mohit.verma@company.com"/>
    <n v="42"/>
    <s v=""/>
    <s v="Delayed"/>
  </r>
  <r>
    <x v="20"/>
    <s v="C005"/>
    <s v="P302"/>
    <x v="24"/>
    <s v="20/04/2026"/>
    <s v="Vikas Mehta"/>
    <s v="Male"/>
    <d v="1991-03-08T00:00:00"/>
    <s v="Mumbai"/>
    <x v="2"/>
    <x v="2"/>
    <s v="Pen"/>
    <n v="1"/>
    <n v="20"/>
    <n v="5"/>
    <n v="19"/>
    <n v="5"/>
    <s v="Card"/>
    <s v="Ritika"/>
    <s v="vikas.mehta@company.com"/>
    <n v="9277372518"/>
    <s v="Cancelled"/>
    <s v="Blacklisted"/>
    <s v="Vikas Mehta"/>
    <s v="Vik005Mu"/>
    <s v="vikas.mehta@company.com"/>
    <s v=""/>
    <s v=""/>
    <s v="Delayed"/>
  </r>
  <r>
    <x v="21"/>
    <s v="C007"/>
    <s v="P302"/>
    <x v="25"/>
    <d v="2025-02-07T00:00:00"/>
    <s v="arjun Rao"/>
    <s v="Male"/>
    <d v="1977-11-12T00:00:00"/>
    <s v="Mumbai"/>
    <x v="2"/>
    <x v="2"/>
    <s v="Pen"/>
    <n v="2"/>
    <n v="20"/>
    <n v="15"/>
    <n v="34"/>
    <n v="1"/>
    <s v="UPI"/>
    <s v="Ritika"/>
    <s v="arjun.rao@company.com"/>
    <n v="9193154372"/>
    <s v="Pending"/>
    <s v="Blacklisted"/>
    <s v="Arjun Rao"/>
    <s v="arj007Mu"/>
    <s v="arjun.rao@company.com"/>
    <n v="35"/>
    <s v=""/>
    <s v="Delayed"/>
  </r>
  <r>
    <x v="22"/>
    <s v="C009"/>
    <s v="P201"/>
    <x v="26"/>
    <s v="25/05/2025"/>
    <s v="Mohit Verma"/>
    <s v="Male"/>
    <d v="1992-08-02T00:00:00"/>
    <s v="Ahmedabad"/>
    <x v="2"/>
    <x v="1"/>
    <s v="Mixer"/>
    <n v="12"/>
    <n v="3500"/>
    <n v="15"/>
    <n v="35700"/>
    <n v="4"/>
    <s v="Cash"/>
    <s v="Rahul"/>
    <s v="mohit.verma@company.com"/>
    <n v="9400073244"/>
    <s v="Cancelled"/>
    <s v="Blacklisted"/>
    <s v="Mohit Verma"/>
    <s v="Moh009Ah"/>
    <s v="mohit.verma@company.com"/>
    <n v="48"/>
    <n v="3"/>
    <s v="On time"/>
  </r>
  <r>
    <x v="23"/>
    <s v="C008"/>
    <s v="P103"/>
    <x v="27"/>
    <s v="20/03/2026"/>
    <s v="Kavya Nair"/>
    <s v="Female"/>
    <d v="2004-05-06T00:00:00"/>
    <s v="Ahmedabad"/>
    <x v="2"/>
    <x v="0"/>
    <s v="Keyboard"/>
    <n v="11"/>
    <n v="1200"/>
    <n v="0"/>
    <n v="13200"/>
    <n v="2"/>
    <s v="UPI"/>
    <s v="Karan"/>
    <s v="KAvya.nair@company.com"/>
    <n v="9771556720"/>
    <s v="Completed"/>
    <s v="Blacklisted"/>
    <s v="Kavya Nair"/>
    <s v="Kav008Ah"/>
    <s v="kavya.nair@company.com"/>
    <n v="34"/>
    <n v="7"/>
    <s v="Delayed"/>
  </r>
  <r>
    <x v="24"/>
    <s v="C003"/>
    <s v="P203"/>
    <x v="28"/>
    <s v="20/09/2025"/>
    <s v="Rohit Singh"/>
    <s v="Male"/>
    <d v="2001-11-08T00:00:00"/>
    <s v="Pune"/>
    <x v="2"/>
    <x v="1"/>
    <s v="Microwave"/>
    <n v="6"/>
    <n v="8500"/>
    <n v="65"/>
    <n v="51000"/>
    <n v="1"/>
    <s v="Card"/>
    <s v="Aisha"/>
    <s v="rohit.singh@company.com"/>
    <n v="9127480734"/>
    <s v="Completed"/>
    <s v="Blacklisted"/>
    <s v="Rohit Singh"/>
    <s v="Roh003Pu"/>
    <s v="rohit.singh@company.com"/>
    <n v="22"/>
    <s v=""/>
    <s v="Delayed"/>
  </r>
  <r>
    <x v="25"/>
    <s v="C006"/>
    <s v="P301"/>
    <x v="29"/>
    <s v="16/01/2026"/>
    <s v="Sneha Joshi"/>
    <s v="Female"/>
    <d v="1981-04-04T00:00:00"/>
    <s v="Pune"/>
    <x v="2"/>
    <x v="2"/>
    <s v="Notebook"/>
    <n v="2"/>
    <n v="60"/>
    <n v="5"/>
    <n v="114"/>
    <n v="3"/>
    <s v="Cash"/>
    <s v="Karan"/>
    <s v="sneha.joshi@company.com"/>
    <n v="9512997042"/>
    <s v="Cancelled"/>
    <s v="Blacklisted"/>
    <s v="Sneha Joshi"/>
    <s v="Sne006Pu"/>
    <s v="sneha.joshi@company.com"/>
    <n v="24"/>
    <s v=""/>
    <s v="Delayed"/>
  </r>
  <r>
    <x v="26"/>
    <s v="C008"/>
    <s v="P303"/>
    <x v="30"/>
    <s v="26/06/2025"/>
    <s v="Kavya Nair"/>
    <s v="Female"/>
    <d v="1996-02-07T00:00:00"/>
    <s v="Bengaluru"/>
    <x v="0"/>
    <x v="2"/>
    <s v="Marker"/>
    <n v="19"/>
    <n v="45"/>
    <n v="20"/>
    <n v="684"/>
    <n v="4"/>
    <s v="NetBanking"/>
    <s v="Aisha"/>
    <s v="KAvya.nair@company.com"/>
    <n v="9372748661"/>
    <s v="Cancelled"/>
    <s v="Blacklisted"/>
    <s v="Kavya Nair"/>
    <s v="Kav008Be"/>
    <s v="kavya.nair@company.com"/>
    <n v="45"/>
    <n v="10"/>
    <s v="Delayed"/>
  </r>
  <r>
    <x v="27"/>
    <s v="C002"/>
    <s v="P104"/>
    <x v="31"/>
    <s v="13/07/2025"/>
    <s v="Priya Patel"/>
    <s v="Female"/>
    <s v="15/11/1976"/>
    <s v="Ahmedabad"/>
    <x v="2"/>
    <x v="0"/>
    <s v="Monitor"/>
    <n v="11"/>
    <n v="12000"/>
    <n v="0"/>
    <n v="132000"/>
    <n v="3"/>
    <s v="UPI"/>
    <s v="Ritika"/>
    <s v="priYa.patel@company.com"/>
    <n v="9570437805"/>
    <s v="Pending"/>
    <s v=""/>
    <s v="Priya Patel"/>
    <s v="Pri002Ah"/>
    <s v="priya.patel@company.com"/>
    <n v="30"/>
    <s v=""/>
    <s v="Delayed"/>
  </r>
  <r>
    <x v="28"/>
    <s v="C006"/>
    <s v="P202"/>
    <x v="32"/>
    <s v="15/03/2025"/>
    <s v="Sneha Joshi"/>
    <s v="Female"/>
    <s v="28/10/1988"/>
    <s v="Bengaluru"/>
    <x v="0"/>
    <x v="1"/>
    <s v="Iron"/>
    <n v="20"/>
    <n v="2200"/>
    <n v="5"/>
    <n v="41800"/>
    <n v="1"/>
    <s v="Cash"/>
    <s v="Rahul"/>
    <s v="sneha.joshi@company.com"/>
    <n v="9310669113"/>
    <s v="Pending"/>
    <s v="Blacklisted"/>
    <s v="Sneha Joshi"/>
    <s v="Sne006Be"/>
    <s v="sneha.joshi@company.com"/>
    <s v=""/>
    <s v=""/>
    <s v="Delayed"/>
  </r>
  <r>
    <x v="29"/>
    <s v="C007"/>
    <s v="P302"/>
    <x v="25"/>
    <d v="2025-04-07T00:00:00"/>
    <s v="arjun Rao"/>
    <s v="Male"/>
    <s v="23/06/2004"/>
    <s v="Ahmedabad"/>
    <x v="2"/>
    <x v="2"/>
    <s v="Pen"/>
    <n v="3"/>
    <n v="20"/>
    <n v="0"/>
    <n v="60"/>
    <n v="2"/>
    <s v="Card"/>
    <s v="Ritika"/>
    <s v="wrongmail"/>
    <n v="9437132894"/>
    <s v="Cancelled"/>
    <s v="Blacklisted"/>
    <s v="Arjun Rao"/>
    <s v="Arj007Ah"/>
    <s v="invalid email"/>
    <s v=""/>
    <s v=""/>
    <s v="Delayed"/>
  </r>
  <r>
    <x v="30"/>
    <s v="C003"/>
    <s v="P303"/>
    <x v="33"/>
    <s v="19/10/2025"/>
    <s v="Rohit Singh"/>
    <s v="Male"/>
    <s v="22/04/1996"/>
    <s v="Pune"/>
    <x v="2"/>
    <x v="2"/>
    <s v="Marker"/>
    <n v="18"/>
    <n v="45"/>
    <n v="20"/>
    <n v="648"/>
    <n v="4"/>
    <s v="NetBanking"/>
    <s v="Ritika"/>
    <s v="rohit.singh@company.com"/>
    <n v="9762437243"/>
    <s v="Cancelled"/>
    <s v="Blacklisted"/>
    <s v="Rohit Singh"/>
    <s v="Roh003Pu"/>
    <s v="rohit.singh@company.com"/>
    <s v=""/>
    <s v=""/>
    <s v="Delayed"/>
  </r>
  <r>
    <x v="31"/>
    <s v="C003"/>
    <s v="P103"/>
    <x v="34"/>
    <s v="26/11/2025"/>
    <s v="Rohit Singh"/>
    <s v="Male"/>
    <d v="1979-07-07T00:00:00"/>
    <s v="Bengaluru"/>
    <x v="0"/>
    <x v="0"/>
    <s v="Keyboard"/>
    <n v="4"/>
    <n v="1200"/>
    <n v="20"/>
    <n v="3840"/>
    <n v="3"/>
    <s v="NetBanking"/>
    <s v="Aisha"/>
    <s v="rohit.singh@company.com"/>
    <n v="9149046970"/>
    <s v="Completed"/>
    <s v="Silver"/>
    <s v="Rohit Singh"/>
    <s v="Roh003Be"/>
    <s v="rohit.singh@company.com"/>
    <s v=""/>
    <n v="7"/>
    <s v="Delayed"/>
  </r>
  <r>
    <x v="32"/>
    <s v="C009"/>
    <s v="P101"/>
    <x v="35"/>
    <s v="14/11/2025"/>
    <s v="Mohit Verma"/>
    <s v="Male"/>
    <s v="27/09/1980"/>
    <s v="Kolkata"/>
    <x v="3"/>
    <x v="0"/>
    <s v="Laptop"/>
    <n v="10"/>
    <n v="55000"/>
    <n v="0"/>
    <n v="550000"/>
    <n v="1"/>
    <s v="UPI"/>
    <s v="Rahul"/>
    <s v="mohit.verma@company.com"/>
    <n v="9869182901"/>
    <s v="Cancelled"/>
    <s v="Blacklisted"/>
    <s v="Mohit Verma"/>
    <s v="Moh009Ko"/>
    <s v="mohit.verma@company.com"/>
    <n v="47"/>
    <s v=""/>
    <s v="Delayed"/>
  </r>
  <r>
    <x v="33"/>
    <s v="C006"/>
    <s v="P201"/>
    <x v="36"/>
    <s v="20/03/2026"/>
    <s v="Sneha Joshi"/>
    <s v="Female"/>
    <s v="21/06/1980"/>
    <s v="Delhi"/>
    <x v="1"/>
    <x v="1"/>
    <s v="Mixer"/>
    <n v="20"/>
    <n v="3500"/>
    <n v="10"/>
    <n v="63000"/>
    <n v="3"/>
    <s v="Card"/>
    <s v="Rahul"/>
    <s v="sneha.joshi@company.com"/>
    <n v="9283578533"/>
    <s v="Cancelled"/>
    <s v="Blacklisted"/>
    <s v="Sneha Joshi"/>
    <s v="Sne006De"/>
    <s v="sneha.joshi@company.com"/>
    <s v=""/>
    <s v=""/>
    <s v="Delayed"/>
  </r>
  <r>
    <x v="34"/>
    <s v="C008"/>
    <s v="P302"/>
    <x v="37"/>
    <s v="19/02/2025"/>
    <s v="Kavya Nair"/>
    <s v="Female"/>
    <s v="17/06/1979"/>
    <s v="Pune"/>
    <x v="2"/>
    <x v="2"/>
    <s v="Pen"/>
    <n v="5"/>
    <n v="1200"/>
    <n v="0"/>
    <n v="100"/>
    <n v="1"/>
    <s v="Cash"/>
    <s v="Rahul"/>
    <s v="KAvya.nair@company.com"/>
    <n v="9963005771"/>
    <s v="Cancelled"/>
    <s v="Blacklisted"/>
    <s v="Kavya Nair"/>
    <s v="kav008Pu"/>
    <s v="kavya.nair@company.com"/>
    <s v=""/>
    <n v="6"/>
    <s v="Delayed"/>
  </r>
  <r>
    <x v="35"/>
    <s v="C010"/>
    <s v="P203"/>
    <x v="38"/>
    <s v="15/10/2025"/>
    <s v="pooja shah"/>
    <s v="Female"/>
    <s v="18/06/1992"/>
    <s v="Mumbai"/>
    <x v="2"/>
    <x v="1"/>
    <s v="Microwave"/>
    <n v="20"/>
    <n v="8500"/>
    <n v="0"/>
    <n v="170000"/>
    <n v="1"/>
    <s v="UPI"/>
    <s v="Neha"/>
    <s v="pooja.shah@company.com"/>
    <n v="9484632635"/>
    <s v="Cancelled"/>
    <s v="Blacklisted"/>
    <s v="Pooja Shah"/>
    <s v="Poo010Mu"/>
    <s v="pooja.shah@company.com"/>
    <s v=""/>
    <s v=""/>
    <s v="Delayed"/>
  </r>
  <r>
    <x v="36"/>
    <s v="C007"/>
    <s v="P301"/>
    <x v="39"/>
    <d v="2026-12-02T00:00:00"/>
    <s v="arjun Rao"/>
    <s v="Male"/>
    <d v="1994-06-06T00:00:00"/>
    <s v="Bengaluru"/>
    <x v="0"/>
    <x v="2"/>
    <s v="Notebook"/>
    <n v="8"/>
    <n v="60"/>
    <n v="15"/>
    <n v="408"/>
    <n v="5"/>
    <s v="UPI"/>
    <s v="Rahul"/>
    <s v="arjun.rao@company.com"/>
    <n v="9276319484"/>
    <s v="Pending"/>
    <s v=""/>
    <s v="Arjun Rao"/>
    <s v="Arj007Be"/>
    <s v="arjun.rao@company.com"/>
    <s v=""/>
    <s v=""/>
    <s v="Delayed"/>
  </r>
  <r>
    <x v="37"/>
    <s v="C010"/>
    <s v="P201"/>
    <x v="40"/>
    <s v="16/06/2025"/>
    <s v="pooja shah"/>
    <s v="Female"/>
    <s v="22/09/1988"/>
    <s v="Pune"/>
    <x v="2"/>
    <x v="1"/>
    <s v="Mixer"/>
    <n v="8"/>
    <n v="3500"/>
    <n v="5"/>
    <n v="26600"/>
    <n v="1"/>
    <s v="Card"/>
    <s v="Neha"/>
    <s v="pooja.shah@company.com"/>
    <n v="9619034852"/>
    <s v="Pending"/>
    <s v="Blacklisted"/>
    <s v="Pooja Shah"/>
    <s v="Poo010Pu"/>
    <s v="pooja.shah@company.com"/>
    <n v="32"/>
    <s v=""/>
    <s v="Delayed"/>
  </r>
  <r>
    <x v="38"/>
    <s v="C009"/>
    <s v="P203"/>
    <x v="41"/>
    <s v="14/02/2026"/>
    <s v="Mohit Verma"/>
    <s v="Male"/>
    <s v="14/07/2001"/>
    <s v="Jaipur"/>
    <x v="1"/>
    <x v="1"/>
    <s v="Microwave"/>
    <n v="1"/>
    <n v="8500"/>
    <n v="0"/>
    <n v="8500"/>
    <n v="2"/>
    <s v="Card"/>
    <s v="Neha"/>
    <s v="mohit.verma@company.com"/>
    <n v="9636416962"/>
    <s v="Pending"/>
    <s v="Blacklisted"/>
    <s v="Mohit Verma"/>
    <s v="Moh009Ja"/>
    <s v="mohit.verma@company.com"/>
    <s v=""/>
    <s v=""/>
    <s v="Delayed"/>
  </r>
  <r>
    <x v="39"/>
    <s v="C001"/>
    <s v="P303"/>
    <x v="42"/>
    <s v="31/03/2025"/>
    <s v="Amit Sharma"/>
    <s v="Male"/>
    <d v="1991-09-08T00:00:00"/>
    <s v="Pune"/>
    <x v="2"/>
    <x v="2"/>
    <s v="Marker"/>
    <n v="8"/>
    <n v="45"/>
    <n v="15"/>
    <n v="306"/>
    <n v="2"/>
    <s v="Card"/>
    <s v="Aisha"/>
    <s v="amit.sharma@company.com"/>
    <n v="9357133880"/>
    <s v="Completed"/>
    <s v="Blacklisted"/>
    <s v="Amit Sharma"/>
    <s v="ami001Pu"/>
    <s v="amit.sharma@company.com"/>
    <s v=""/>
    <n v="1"/>
    <s v="On time"/>
  </r>
  <r>
    <x v="40"/>
    <s v="C006"/>
    <s v="P202"/>
    <x v="43"/>
    <s v="28/04/2025"/>
    <s v="Sneha Joshi"/>
    <s v="Female"/>
    <s v="21/10/1988"/>
    <s v="Pune"/>
    <x v="2"/>
    <x v="1"/>
    <s v="Iron"/>
    <n v="16"/>
    <n v="2200"/>
    <n v="5"/>
    <n v="33440"/>
    <n v="5"/>
    <s v="Card"/>
    <s v="Aisha"/>
    <s v="sneha.joshi@company.com"/>
    <n v="9575210324"/>
    <s v="Cancelled"/>
    <s v="Blacklisted"/>
    <s v="Sneha Joshi"/>
    <s v="Sne006Pu"/>
    <s v="sneha.joshi@company.com"/>
    <n v="35"/>
    <n v="3"/>
    <s v="On time"/>
  </r>
  <r>
    <x v="41"/>
    <s v="C009"/>
    <s v="P201"/>
    <x v="44"/>
    <s v="23/10/2025"/>
    <s v="Mohit Verma"/>
    <s v="Male"/>
    <s v="19/11/2002"/>
    <s v="Bengaluru"/>
    <x v="0"/>
    <x v="1"/>
    <s v="Mixer"/>
    <n v="19"/>
    <n v="3500"/>
    <n v="20"/>
    <n v="53200"/>
    <n v="3"/>
    <s v="Cash"/>
    <s v="Karan"/>
    <s v="mohit.verma@company.com"/>
    <n v="9276080204"/>
    <s v="Cancelled"/>
    <s v="Blacklisted"/>
    <s v="Mohit Verma"/>
    <s v="Moh009Be"/>
    <s v="mohit.verma@company.com"/>
    <s v=""/>
    <n v="10"/>
    <s v="Delayed"/>
  </r>
  <r>
    <x v="42"/>
    <s v="C006"/>
    <s v="P102"/>
    <x v="45"/>
    <s v="14/10/2025"/>
    <s v="Sneha Joshi"/>
    <s v="Female"/>
    <d v="2000-06-07T00:00:00"/>
    <s v="Pune"/>
    <x v="2"/>
    <x v="0"/>
    <s v="Mouse"/>
    <n v="15"/>
    <n v="700"/>
    <n v="15"/>
    <n v="8925"/>
    <n v="4"/>
    <s v="UPI"/>
    <s v="Neha"/>
    <s v="sneha.joshicompany.com"/>
    <n v="9856624471"/>
    <s v="Completed"/>
    <s v="Silver"/>
    <s v="Sneha Joshi"/>
    <s v="Sne006Pu"/>
    <s v="invalid email"/>
    <s v=""/>
    <s v=""/>
    <s v="Delayed"/>
  </r>
  <r>
    <x v="43"/>
    <s v="C006"/>
    <s v="P102"/>
    <x v="46"/>
    <d v="2025-03-12T00:00:00"/>
    <s v="Sneha Joshi"/>
    <s v="Female"/>
    <s v="26/11/1998"/>
    <s v="Jaipur"/>
    <x v="1"/>
    <x v="0"/>
    <s v="Mouse"/>
    <n v="19"/>
    <n v="700"/>
    <n v="20"/>
    <n v="10640"/>
    <n v="1"/>
    <s v="Cash"/>
    <s v="Neha"/>
    <s v="sneha.joshi@company.com"/>
    <n v="9238141322"/>
    <s v="Completed"/>
    <s v="Blacklisted"/>
    <s v="Sneha Joshi"/>
    <s v="Sne006Ja"/>
    <s v="sneha.joshi@company.com"/>
    <n v="26"/>
    <s v=""/>
    <s v="Delayed"/>
  </r>
  <r>
    <x v="44"/>
    <s v="C009"/>
    <s v="P104"/>
    <x v="47"/>
    <m/>
    <s v="Mohit Verma"/>
    <s v="Male"/>
    <d v="1996-03-06T00:00:00"/>
    <s v="Delhi"/>
    <x v="1"/>
    <x v="0"/>
    <s v="Monitor"/>
    <n v="19"/>
    <n v="12000"/>
    <n v="0"/>
    <n v="228000"/>
    <n v="1"/>
    <s v="NetBanking"/>
    <s v="Aisha"/>
    <s v="mohit.verma@company.com"/>
    <n v="9890380030"/>
    <s v="Completed"/>
    <s v="Blacklisted"/>
    <s v="Mohit Verma"/>
    <s v="Moh009De"/>
    <s v="mohit.verma@company.com"/>
    <s v=""/>
    <s v=""/>
    <s v="Pending"/>
  </r>
  <r>
    <x v="45"/>
    <s v="C004"/>
    <s v="P103"/>
    <x v="47"/>
    <s v="21/04/2026"/>
    <s v="Anita Gupta"/>
    <s v="Female"/>
    <s v="15/03/1987"/>
    <s v="Pune"/>
    <x v="2"/>
    <x v="0"/>
    <s v="Keyboard"/>
    <n v="6"/>
    <n v="1200"/>
    <n v="5"/>
    <n v="6840"/>
    <n v="2"/>
    <s v="Cash"/>
    <s v="Ritika"/>
    <s v="anita.gupta@company.com"/>
    <n v="9495893170"/>
    <s v="Pending"/>
    <s v="Blacklisted"/>
    <s v="Anita Gupta"/>
    <s v="Ani004Pu"/>
    <s v="anita.gupta@company.com"/>
    <n v="30"/>
    <n v="2"/>
    <s v="On time"/>
  </r>
  <r>
    <x v="46"/>
    <s v="C010"/>
    <s v="P202"/>
    <x v="48"/>
    <d v="2025-07-04T00:00:00"/>
    <s v="pooja shah"/>
    <s v="Female"/>
    <s v="20/02/1979"/>
    <s v="Bengaluru"/>
    <x v="0"/>
    <x v="1"/>
    <s v="Iron"/>
    <n v="7"/>
    <n v="2200"/>
    <n v="15"/>
    <n v="13090"/>
    <n v="1"/>
    <s v="UPI"/>
    <s v="Aisha"/>
    <s v="pooja.shah@company.com"/>
    <n v="9485166307"/>
    <s v="Completed"/>
    <s v="Blacklisted"/>
    <s v="Pooja Shah"/>
    <s v="poo010Be"/>
    <s v="pooja.shah@company.com"/>
    <s v=""/>
    <s v=""/>
    <s v="Delayed"/>
  </r>
  <r>
    <x v="47"/>
    <s v="C002"/>
    <s v="P301"/>
    <x v="49"/>
    <s v="28/08/2025"/>
    <s v="Priya Patel"/>
    <s v="Female"/>
    <d v="2000-09-08T00:00:00"/>
    <s v="Jaipur"/>
    <x v="1"/>
    <x v="2"/>
    <s v="Notebook"/>
    <n v="8"/>
    <n v="60"/>
    <n v="10"/>
    <n v="432"/>
    <n v="5"/>
    <s v="Card"/>
    <s v="Aisha"/>
    <s v="priYa.patel@company.com"/>
    <n v="9924709648"/>
    <s v="Cancelled"/>
    <s v="Blacklisted"/>
    <s v="Priya Patel"/>
    <s v="Pri002Ja"/>
    <s v="priya.patel@company.com"/>
    <s v=""/>
    <n v="3"/>
    <s v="On time"/>
  </r>
  <r>
    <x v="48"/>
    <s v="C005"/>
    <s v="P101"/>
    <x v="50"/>
    <s v="23/08/2025"/>
    <s v="Vikas Mehta"/>
    <s v="Male"/>
    <s v="17/01/1976"/>
    <s v="Kolkata"/>
    <x v="3"/>
    <x v="0"/>
    <s v="Laptop"/>
    <n v="12"/>
    <n v="55000"/>
    <n v="5"/>
    <n v="627000"/>
    <n v="2"/>
    <s v="UPI"/>
    <s v="Rahul"/>
    <s v="vikas.mehta@company.com"/>
    <n v="9350554626"/>
    <s v="Pending"/>
    <s v="Blacklisted"/>
    <s v="Vikas Mehta"/>
    <s v="Vik005Ko"/>
    <s v="vikas.mehta@company.com"/>
    <n v="26"/>
    <n v="4"/>
    <s v="On time"/>
  </r>
  <r>
    <x v="49"/>
    <s v="C008"/>
    <s v="P102"/>
    <x v="51"/>
    <d v="2025-05-08T00:00:00"/>
    <s v="Kavya Nair"/>
    <s v="Female"/>
    <d v="1975-04-04T00:00:00"/>
    <s v="Jaipur"/>
    <x v="1"/>
    <x v="0"/>
    <s v="Mouse"/>
    <n v="3"/>
    <n v="700"/>
    <n v="0"/>
    <n v="2100"/>
    <n v="3"/>
    <s v="Card"/>
    <s v="Karan"/>
    <s v="KAvya.nair@company.com"/>
    <n v="9743295580"/>
    <s v="Cancelled"/>
    <s v="Blacklisted"/>
    <s v="Kavya Nair"/>
    <s v="Kav008Ja"/>
    <s v="kavya.nair@company.com"/>
    <s v=""/>
    <s v=""/>
    <s v="Delayed"/>
  </r>
  <r>
    <x v="50"/>
    <s v="C003"/>
    <s v="P301"/>
    <x v="52"/>
    <s v="26/02/2025"/>
    <s v="Rohit Singh"/>
    <s v="Male"/>
    <d v="1976-11-12T00:00:00"/>
    <s v="Ahmedabad"/>
    <x v="2"/>
    <x v="2"/>
    <s v="Notebook"/>
    <n v="19"/>
    <n v="60"/>
    <n v="15"/>
    <n v="969"/>
    <n v="4"/>
    <s v="Card"/>
    <s v="Rahul"/>
    <s v="rohit.singh@company.com"/>
    <n v="9822926495"/>
    <s v="Cancelled"/>
    <s v="Blacklisted"/>
    <s v="Rohit Singh"/>
    <s v="RoH003Ah"/>
    <s v="rohit.singh@company.com"/>
    <n v="51"/>
    <n v="5"/>
    <s v="On time"/>
  </r>
  <r>
    <x v="51"/>
    <s v="C001"/>
    <s v="P301"/>
    <x v="53"/>
    <d v="2025-11-08T00:00:00"/>
    <s v="Amit Sharma"/>
    <s v="Male"/>
    <d v="1979-03-12T00:00:00"/>
    <s v="Jaipur"/>
    <x v="1"/>
    <x v="2"/>
    <s v="Notebook"/>
    <n v="9"/>
    <n v="60"/>
    <n v="20"/>
    <n v="432"/>
    <n v="1"/>
    <s v="NetBanking"/>
    <s v="Neha"/>
    <s v="amit.sharma@company.com"/>
    <n v="9518298190"/>
    <s v="Pending"/>
    <s v="Blacklisted"/>
    <s v="Amit Sharma"/>
    <s v="Ami001Ja"/>
    <s v="amit.sharma@company.com"/>
    <n v="49"/>
    <s v=""/>
    <s v="Delayed"/>
  </r>
  <r>
    <x v="52"/>
    <s v="C001"/>
    <s v="P102"/>
    <x v="54"/>
    <s v="30/03/2026"/>
    <s v="Amit Sharma"/>
    <s v="Male"/>
    <s v="27/12/1978"/>
    <s v="Bengaluru"/>
    <x v="0"/>
    <x v="0"/>
    <s v="Mouse"/>
    <n v="6"/>
    <n v="700"/>
    <n v="0"/>
    <n v="4200"/>
    <n v="4"/>
    <s v="UPI"/>
    <s v="Rahul"/>
    <s v="amit.sharmcompany.com"/>
    <n v="9366223547"/>
    <s v="Cancelled"/>
    <s v="Blacklisted"/>
    <s v="Amit Sharma"/>
    <s v="Ami001Be"/>
    <s v="invalid email"/>
    <n v="47"/>
    <n v="6"/>
    <s v="Delayed"/>
  </r>
  <r>
    <x v="53"/>
    <s v="C003"/>
    <s v="P303"/>
    <x v="27"/>
    <s v="19/03/2026"/>
    <s v="Rohit Singh"/>
    <s v="Male"/>
    <s v="15/04/1975"/>
    <s v="Delhi"/>
    <x v="1"/>
    <x v="2"/>
    <s v="Marker"/>
    <n v="18"/>
    <n v="45"/>
    <n v="5"/>
    <n v="769.5"/>
    <n v="1"/>
    <s v="Card"/>
    <s v="Aisha"/>
    <s v="rohit.singh@company.com"/>
    <n v="9701988524"/>
    <s v="Pending"/>
    <s v="Blacklisted"/>
    <s v="Rohit Singh"/>
    <s v="Roh003De"/>
    <s v="rohit.singh@company.com"/>
    <s v=""/>
    <n v="6"/>
    <s v="Delayed"/>
  </r>
  <r>
    <x v="54"/>
    <s v="C007"/>
    <s v="P302"/>
    <x v="55"/>
    <s v="26/06/2025"/>
    <s v="arjun Rao"/>
    <s v="Male"/>
    <s v="19/12/1988"/>
    <s v="Jaipur"/>
    <x v="1"/>
    <x v="2"/>
    <s v="Pen"/>
    <n v="8"/>
    <n v="20"/>
    <n v="5"/>
    <n v="152"/>
    <n v="1"/>
    <s v="Card"/>
    <s v="Ritika"/>
    <s v="arjun.rao@company.com"/>
    <n v="9836327649"/>
    <s v="Completed"/>
    <s v="Blacklisted"/>
    <s v="Arjun Rao"/>
    <s v="Arj007Ja"/>
    <s v="arjun.rao@company.com"/>
    <s v=""/>
    <n v="11"/>
    <s v="Delayed"/>
  </r>
  <r>
    <x v="55"/>
    <s v="C005"/>
    <s v="P102"/>
    <x v="56"/>
    <d v="2025-06-03T00:00:00"/>
    <s v="Vikas Mehta"/>
    <s v="Male"/>
    <d v="1979-07-03T00:00:00"/>
    <s v="Jaipur"/>
    <x v="1"/>
    <x v="0"/>
    <s v="Mouse"/>
    <n v="8"/>
    <n v="700"/>
    <n v="10"/>
    <n v="5040"/>
    <n v="1"/>
    <s v="NetBanking"/>
    <s v="Aisha"/>
    <s v="vikas.mehta@company.com"/>
    <n v="9261800516"/>
    <s v="Cancelled"/>
    <s v="Blacklisted"/>
    <s v="Vikas Mehta"/>
    <s v="Vik005Ja"/>
    <s v="vikas.mehta@company.com"/>
    <s v=""/>
    <s v=""/>
    <s v="Delayed"/>
  </r>
  <r>
    <x v="56"/>
    <s v="C008"/>
    <s v="P302"/>
    <x v="24"/>
    <s v="19/04/2026"/>
    <s v="Kavya Nair"/>
    <s v="Female"/>
    <s v="17/12/2003"/>
    <s v="Delhi"/>
    <x v="1"/>
    <x v="2"/>
    <s v="Pen"/>
    <n v="7"/>
    <n v="20"/>
    <n v="15"/>
    <n v="119"/>
    <n v="5"/>
    <s v="Card"/>
    <s v="Rahul"/>
    <s v="KAvya.nair@company.com"/>
    <n v="9950802015"/>
    <s v="Completed"/>
    <s v="Silver"/>
    <s v="Kavya Nair"/>
    <s v="Kav008De"/>
    <s v="kavya.nair@company.com"/>
    <n v="47"/>
    <s v=""/>
    <s v="Delayed"/>
  </r>
  <r>
    <x v="57"/>
    <s v="C002"/>
    <s v="P302"/>
    <x v="57"/>
    <s v="25/08/2025"/>
    <s v="Priya Patel"/>
    <s v="Female"/>
    <d v="1984-05-04T00:00:00"/>
    <s v="Pune"/>
    <x v="2"/>
    <x v="2"/>
    <s v="Pen"/>
    <n v="16"/>
    <n v="20"/>
    <n v="0"/>
    <n v="320"/>
    <n v="5"/>
    <s v="NetBanking"/>
    <s v="Aisha"/>
    <s v="priYa.patel@company.com"/>
    <n v="9595183767"/>
    <s v="Pending"/>
    <s v=""/>
    <s v="Priya Patel"/>
    <s v="Pri002Pu"/>
    <s v="priya.patel@company.com"/>
    <s v=""/>
    <n v="9"/>
    <s v="Delayed"/>
  </r>
  <r>
    <x v="58"/>
    <s v="C010"/>
    <s v="P303"/>
    <x v="58"/>
    <s v="20/05/2026"/>
    <s v="pooja shah"/>
    <s v="Female"/>
    <s v="13/04/1996"/>
    <s v="Mumbai"/>
    <x v="2"/>
    <x v="2"/>
    <s v="Marker"/>
    <n v="15"/>
    <n v="45"/>
    <n v="0"/>
    <n v="675"/>
    <n v="4"/>
    <s v="Cash"/>
    <s v="Aisha"/>
    <s v="pooja.shah@company.com"/>
    <n v="9560201307"/>
    <s v="Cancelled"/>
    <s v="Blacklisted"/>
    <s v="Pooja Shah"/>
    <s v="Poo010Mu"/>
    <s v="pooja.shah@company.com"/>
    <n v="42"/>
    <n v="7"/>
    <s v="Delayed"/>
  </r>
  <r>
    <x v="59"/>
    <s v="C006"/>
    <s v="P102"/>
    <x v="59"/>
    <d v="2025-05-03T00:00:00"/>
    <s v="Sneha Joshi"/>
    <s v="Female"/>
    <d v="2003-08-09T00:00:00"/>
    <s v="Ahmedabad"/>
    <x v="2"/>
    <x v="0"/>
    <s v="Mouse"/>
    <n v="15"/>
    <n v="700"/>
    <n v="10"/>
    <n v="9450"/>
    <n v="3"/>
    <s v="NetBanking"/>
    <s v="Karan"/>
    <s v="sneha.joshi@company.com"/>
    <n v="9826484650"/>
    <s v="Completed"/>
    <s v="Silver"/>
    <s v="Sneha Joshi"/>
    <s v="Sne006Ah"/>
    <s v="sneha.joshi@company.com"/>
    <s v=""/>
    <s v=""/>
    <s v="Delayed"/>
  </r>
  <r>
    <x v="60"/>
    <s v="C010"/>
    <s v="P303"/>
    <x v="60"/>
    <d v="2025-12-02T00:00:00"/>
    <s v="pooja shah"/>
    <s v="Female"/>
    <s v="24/09/1992"/>
    <s v="Kolkata"/>
    <x v="3"/>
    <x v="2"/>
    <s v="Marker"/>
    <n v="3"/>
    <n v="45"/>
    <n v="15"/>
    <n v="114.75"/>
    <n v="2"/>
    <s v="UPI"/>
    <s v="Neha"/>
    <s v="pooja.shah@company.com"/>
    <n v="9219978007"/>
    <s v="Pending"/>
    <s v="Blacklisted"/>
    <s v="Pooja Shah"/>
    <s v="Poo010Ko"/>
    <s v="pooja.shah@company.com"/>
    <n v="23"/>
    <s v=""/>
    <s v="Delayed"/>
  </r>
  <r>
    <x v="61"/>
    <s v="C002"/>
    <s v="P202"/>
    <x v="61"/>
    <d v="2026-10-01T00:00:00"/>
    <s v="Priya Patel"/>
    <s v="Female"/>
    <s v="19/09/1986"/>
    <s v="Kolkata"/>
    <x v="3"/>
    <x v="1"/>
    <s v="Iron"/>
    <n v="7"/>
    <n v="2200"/>
    <n v="15"/>
    <n v="13090"/>
    <n v="5"/>
    <s v="UPI"/>
    <s v="Neha"/>
    <s v="priYa.patel@company.com"/>
    <n v="9662063276"/>
    <s v="Completed"/>
    <s v="Silver"/>
    <s v="Priya Patel"/>
    <s v="Pri002Ko"/>
    <s v="priya.patel@company.com"/>
    <s v=""/>
    <s v=""/>
    <s v="Delayed"/>
  </r>
  <r>
    <x v="62"/>
    <s v="C008"/>
    <s v="P303"/>
    <x v="62"/>
    <d v="2025-05-09T00:00:00"/>
    <s v="Kavya Nair"/>
    <s v="Female"/>
    <s v="28/05/1985"/>
    <s v="Delhi"/>
    <x v="1"/>
    <x v="2"/>
    <s v="Marker"/>
    <n v="19"/>
    <n v="45"/>
    <n v="10"/>
    <n v="769.5"/>
    <n v="5"/>
    <s v="Card"/>
    <s v="Neha"/>
    <s v="KAvya.nair@company.com"/>
    <n v="9190393639"/>
    <s v="Cancelled"/>
    <s v="Blacklisted"/>
    <s v="Kavya Nair"/>
    <s v="Kav008De"/>
    <s v="kavya.nair@company.com"/>
    <s v=""/>
    <s v=""/>
    <s v="Delayed"/>
  </r>
  <r>
    <x v="63"/>
    <s v="C006"/>
    <s v="P201"/>
    <x v="63"/>
    <s v="14/02/2026"/>
    <s v="Sneha Joshi"/>
    <s v="Female"/>
    <s v="27/08/1979"/>
    <s v="Hyderabad"/>
    <x v="0"/>
    <x v="1"/>
    <s v="Mixer"/>
    <n v="7"/>
    <n v="3500"/>
    <n v="15"/>
    <n v="20825"/>
    <n v="1"/>
    <s v="Cash"/>
    <s v="Karan"/>
    <s v="sneha.joshi@company.com"/>
    <n v="9106328582"/>
    <s v="Pending"/>
    <s v="Blacklisted"/>
    <s v="Sneha Joshi"/>
    <s v="Sne006Hy"/>
    <s v="sneha.joshi@company.com"/>
    <s v=""/>
    <s v=""/>
    <s v="Delayed"/>
  </r>
  <r>
    <x v="64"/>
    <s v="C010"/>
    <s v="P203"/>
    <x v="64"/>
    <s v="19/12/2025"/>
    <s v="pooja shah"/>
    <s v="Female"/>
    <s v="22/12/1976"/>
    <s v="Jaipur"/>
    <x v="1"/>
    <x v="1"/>
    <s v="Microwave"/>
    <n v="7"/>
    <n v="8500"/>
    <n v="20"/>
    <n v="47600"/>
    <n v="4"/>
    <s v="NetBanking"/>
    <s v="Neha"/>
    <s v="pooja.shah@company.com"/>
    <n v="9264401015"/>
    <s v="Completed"/>
    <s v="Silver"/>
    <s v="Pooja Shah"/>
    <s v="Poo010Ja"/>
    <s v="pooja.shah@company.com"/>
    <s v=""/>
    <n v="5"/>
    <s v="On time"/>
  </r>
  <r>
    <x v="65"/>
    <s v="C008"/>
    <s v="P101"/>
    <x v="65"/>
    <d v="2025-10-04T00:00:00"/>
    <s v="Kavya Nair"/>
    <s v="Female"/>
    <d v="2000-05-02T00:00:00"/>
    <s v="Bengaluru"/>
    <x v="0"/>
    <x v="0"/>
    <s v="Laptop"/>
    <n v="16"/>
    <n v="55000"/>
    <n v="10"/>
    <n v="792000"/>
    <n v="1"/>
    <s v="Card"/>
    <s v="Aisha"/>
    <s v="KAvya.nair@company.com"/>
    <n v="9959237375"/>
    <s v="Completed"/>
    <s v="Blacklisted"/>
    <s v="Kavya Nair"/>
    <s v="Kav008Be"/>
    <s v="kavya.nair@company.com"/>
    <s v=""/>
    <s v=""/>
    <s v="Delayed"/>
  </r>
  <r>
    <x v="66"/>
    <s v="C004"/>
    <s v="P104"/>
    <x v="66"/>
    <d v="2026-03-01T00:00:00"/>
    <s v="Anita Gupta"/>
    <s v="Female"/>
    <s v="24/02/1987"/>
    <s v="Mumbai"/>
    <x v="2"/>
    <x v="0"/>
    <s v="Monitor"/>
    <n v="2"/>
    <n v="12000"/>
    <n v="20"/>
    <n v="19200"/>
    <n v="1"/>
    <s v="Cash"/>
    <s v="Karan"/>
    <s v="anita.gupta@company.com"/>
    <n v="9561836580"/>
    <s v="Pending"/>
    <s v="Blacklisted"/>
    <s v="Anita Gupta"/>
    <s v="Ani004Mu"/>
    <s v="anita.gupta@company.com"/>
    <n v="26"/>
    <s v=""/>
    <s v="Delayed"/>
  </r>
  <r>
    <x v="67"/>
    <s v="C003"/>
    <s v="P303"/>
    <x v="67"/>
    <d v="2025-05-09T00:00:00"/>
    <s v="Rohit Singh"/>
    <s v="Male"/>
    <s v="24/07/1984"/>
    <s v="Bengaluru"/>
    <x v="0"/>
    <x v="2"/>
    <s v="Marker"/>
    <n v="4"/>
    <n v="45"/>
    <n v="5"/>
    <n v="171"/>
    <n v="1"/>
    <s v="Card"/>
    <s v="Rahul"/>
    <s v="rohit.singh@company.com"/>
    <n v="9512666401"/>
    <s v="Pending"/>
    <s v="Blacklisted"/>
    <s v="Rohit Singh"/>
    <s v="Roh003Be"/>
    <s v="rohit.singh@company.com"/>
    <s v=""/>
    <s v=""/>
    <s v="Delayed"/>
  </r>
  <r>
    <x v="68"/>
    <s v="C008"/>
    <s v="P103"/>
    <x v="68"/>
    <s v="23/12/2025"/>
    <s v="Kavya Nair"/>
    <s v="Female"/>
    <s v="22/09/1981"/>
    <s v="Jaipur"/>
    <x v="1"/>
    <x v="0"/>
    <s v="Keyboard"/>
    <n v="1"/>
    <n v="1200"/>
    <n v="5"/>
    <n v="1140"/>
    <n v="3"/>
    <s v="UPI"/>
    <s v="Aisha"/>
    <s v="KAvya.nair@company.com"/>
    <n v="9808988530"/>
    <s v="Cancelled"/>
    <s v="Blacklisted"/>
    <s v="Kavya Nair"/>
    <s v="Kav008Ja"/>
    <s v="kavya.nair@company.com"/>
    <s v=""/>
    <n v="10"/>
    <s v="Delayed"/>
  </r>
  <r>
    <x v="69"/>
    <s v="C010"/>
    <s v="P202"/>
    <x v="69"/>
    <s v="16/02/2026"/>
    <s v="pooja shah"/>
    <s v="Female"/>
    <s v="20/06/1980"/>
    <m/>
    <x v="0"/>
    <x v="1"/>
    <s v="Iron"/>
    <n v="1"/>
    <n v="2200"/>
    <n v="15"/>
    <n v="1870"/>
    <n v="4"/>
    <s v="Card"/>
    <s v="Aisha"/>
    <s v="pooja.shah@company.com"/>
    <n v="9286410494"/>
    <s v="Completed"/>
    <s v="Silver"/>
    <s v="Pooja Shah"/>
    <s v="Poo010"/>
    <s v="pooja.shah@company.com"/>
    <s v=""/>
    <s v=""/>
    <s v="Delayed"/>
  </r>
  <r>
    <x v="70"/>
    <s v="C003"/>
    <s v="P103"/>
    <x v="70"/>
    <s v="28/01/2026"/>
    <s v="Rohit Singh"/>
    <s v="Male"/>
    <d v="1982-02-11T00:00:00"/>
    <s v="Pune"/>
    <x v="2"/>
    <x v="0"/>
    <s v="Keyboard"/>
    <n v="3"/>
    <n v="1200"/>
    <n v="10"/>
    <n v="3240"/>
    <n v="5"/>
    <s v="Cash"/>
    <s v="Rahul"/>
    <s v="rohit.singh@company.com"/>
    <n v="9311555196"/>
    <s v="Completed"/>
    <s v="Silver"/>
    <s v="Rohit Singh"/>
    <s v="Roh003Pu"/>
    <s v="rohit.singh@company.com"/>
    <s v=""/>
    <n v="2"/>
    <s v="On time"/>
  </r>
  <r>
    <x v="71"/>
    <s v="C008"/>
    <s v="P201"/>
    <x v="71"/>
    <d v="2025-07-07T00:00:00"/>
    <s v="Kavya Nair"/>
    <s v="Female"/>
    <d v="1980-10-01T00:00:00"/>
    <s v="Bengaluru"/>
    <x v="0"/>
    <x v="1"/>
    <s v="Mixer"/>
    <n v="10"/>
    <n v="3500"/>
    <n v="20"/>
    <n v="28000"/>
    <n v="5"/>
    <s v="Card"/>
    <s v="Ritika"/>
    <s v="KAvya.nair@company.com"/>
    <n v="9101810266"/>
    <s v="Completed"/>
    <s v="Silver"/>
    <s v="Kavya Nair"/>
    <s v="Kav008Be"/>
    <s v="kavya.nair@company.com"/>
    <n v="44"/>
    <s v=""/>
    <s v="Delayed"/>
  </r>
  <r>
    <x v="72"/>
    <s v="C007"/>
    <s v="P102"/>
    <x v="72"/>
    <s v="19/03/2026"/>
    <s v="arjun Rao"/>
    <s v="Male"/>
    <s v="27/04/1981"/>
    <s v="Delhi"/>
    <x v="1"/>
    <x v="0"/>
    <s v="Mouse"/>
    <n v="18"/>
    <n v="700"/>
    <n v="5"/>
    <n v="11970"/>
    <n v="3"/>
    <s v="Card"/>
    <s v="Neha"/>
    <s v="arjun.rao@company.com"/>
    <n v="9464556593"/>
    <s v="Cancelled"/>
    <s v="Blacklisted"/>
    <s v="Arjun Rao"/>
    <s v="Arj007De"/>
    <s v="arjun.rao@company.com"/>
    <n v="46"/>
    <n v="2"/>
    <s v="On time"/>
  </r>
  <r>
    <x v="73"/>
    <s v="C005"/>
    <s v="P102"/>
    <x v="73"/>
    <s v="18/06/2025"/>
    <s v="Vikas Mehta"/>
    <s v="Male"/>
    <d v="1985-12-03T00:00:00"/>
    <s v="Bengaluru"/>
    <x v="0"/>
    <x v="0"/>
    <s v="Mouse"/>
    <n v="12"/>
    <n v="700"/>
    <n v="15"/>
    <n v="7140"/>
    <n v="2"/>
    <s v="UPI"/>
    <s v="Rahul"/>
    <s v="vikas.mehta@company.com"/>
    <n v="9338278358"/>
    <s v="Completed"/>
    <s v="Blacklisted"/>
    <s v="Vikas Mehta"/>
    <s v="Vik005Be"/>
    <s v="vikas.mehta@company.com"/>
    <s v=""/>
    <s v=""/>
    <s v="Delayed"/>
  </r>
  <r>
    <x v="74"/>
    <s v="C009"/>
    <s v="P103"/>
    <x v="74"/>
    <s v="16/11/2025"/>
    <s v="Mohit Verma"/>
    <s v="Male"/>
    <s v="15/03/1999"/>
    <s v="Mumbai"/>
    <x v="2"/>
    <x v="0"/>
    <s v="Keyboard"/>
    <n v="8"/>
    <n v="1200"/>
    <n v="0"/>
    <n v="9600"/>
    <n v="4"/>
    <s v="Card"/>
    <s v="Rahul"/>
    <s v="mohit.verma@company.com"/>
    <n v="9621410770"/>
    <s v="Pending"/>
    <s v=""/>
    <s v="Mohit Verma"/>
    <s v="Moh009Mu"/>
    <s v="mohit.verma@company.com"/>
    <n v="40"/>
    <n v="1"/>
    <s v="On time"/>
  </r>
  <r>
    <x v="75"/>
    <s v="C003"/>
    <s v="P301"/>
    <x v="75"/>
    <d v="2025-10-11T00:00:00"/>
    <s v="Rohit Singh"/>
    <s v="Male"/>
    <d v="1983-07-07T00:00:00"/>
    <s v="Pune"/>
    <x v="2"/>
    <x v="2"/>
    <s v="Notebook"/>
    <n v="2"/>
    <n v="60"/>
    <n v="0"/>
    <n v="120"/>
    <n v="2"/>
    <s v="UPI"/>
    <s v="Rahul"/>
    <s v="rohit.singh@company.com"/>
    <n v="9981333189"/>
    <s v="Completed"/>
    <s v="Blacklisted"/>
    <s v="Rohit Singh"/>
    <s v="Roh003Pu"/>
    <s v="rohit.singh@company.com"/>
    <s v=""/>
    <s v=""/>
    <s v="Delayed"/>
  </r>
  <r>
    <x v="76"/>
    <s v="C001"/>
    <s v="P303"/>
    <x v="76"/>
    <d v="2025-07-01T00:00:00"/>
    <s v="Amit Sharma"/>
    <s v="Male"/>
    <d v="1989-06-03T00:00:00"/>
    <s v="Pune"/>
    <x v="2"/>
    <x v="2"/>
    <s v="Marker"/>
    <n v="10"/>
    <n v="45"/>
    <n v="15"/>
    <n v="382.5"/>
    <n v="3"/>
    <s v="NetBanking"/>
    <s v="Ritika"/>
    <s v="amit.sharma@company.com"/>
    <n v="9723450355"/>
    <s v="Cancelled"/>
    <s v="Blacklisted"/>
    <s v="Amit Sharma"/>
    <s v="Ami001Pu"/>
    <s v="amit.sharma@company.com"/>
    <n v="43"/>
    <s v=""/>
    <s v="Delayed"/>
  </r>
  <r>
    <x v="77"/>
    <s v="C005"/>
    <s v="P201"/>
    <x v="77"/>
    <d v="2026-03-05T00:00:00"/>
    <s v="Vikas Mehta"/>
    <s v="Male"/>
    <s v="20/06/1982"/>
    <s v="Kolkata"/>
    <x v="3"/>
    <x v="1"/>
    <s v="Mixer"/>
    <n v="12"/>
    <n v="3500"/>
    <n v="5"/>
    <n v="39900"/>
    <n v="3"/>
    <s v="NetBanking"/>
    <s v="Aisha"/>
    <s v="vikas.mehta@company.com"/>
    <n v="9886243907"/>
    <s v="Pending"/>
    <s v=""/>
    <s v="Vikas Mehta"/>
    <s v="Vik005Ko"/>
    <s v="vikas.mehta@company.com"/>
    <n v="37"/>
    <s v=""/>
    <s v="Delayed"/>
  </r>
  <r>
    <x v="78"/>
    <s v="C003"/>
    <s v="P301"/>
    <x v="10"/>
    <s v="27/09/2025"/>
    <s v="Rohit Singh"/>
    <s v="Male"/>
    <s v="23/06/2001"/>
    <s v="Mumbai"/>
    <x v="2"/>
    <x v="2"/>
    <s v="Notebook"/>
    <n v="2"/>
    <n v="60"/>
    <n v="15"/>
    <n v="102"/>
    <n v="1"/>
    <s v="UPI"/>
    <s v="Neha"/>
    <s v="rohit.singh@company.com"/>
    <n v="9473931904"/>
    <s v="Completed"/>
    <s v="Blacklisted"/>
    <s v="Rohit Singh"/>
    <s v="roh003Mu"/>
    <s v="rohit.singh@company.com"/>
    <s v=""/>
    <n v="8"/>
    <s v="Delayed"/>
  </r>
  <r>
    <x v="79"/>
    <s v="C003"/>
    <s v="P103"/>
    <x v="78"/>
    <s v="21/03/2025"/>
    <s v="Rohit Singh"/>
    <s v="Male"/>
    <s v="19/07/1983"/>
    <s v="Hyderabad"/>
    <x v="0"/>
    <x v="0"/>
    <s v="Keyboard"/>
    <n v="18"/>
    <n v="1200"/>
    <n v="15"/>
    <n v="18360"/>
    <n v="3"/>
    <s v="Card"/>
    <s v="Neha"/>
    <s v="rohit.singh@company.com"/>
    <n v="9287159610"/>
    <s v="Pending"/>
    <s v=""/>
    <s v="Rohit Singh"/>
    <s v="Roh003Hy"/>
    <s v="rohit.singh@company.com"/>
    <s v=""/>
    <n v="3"/>
    <s v="On time"/>
  </r>
  <r>
    <x v="80"/>
    <s v="C008"/>
    <s v="P104"/>
    <x v="79"/>
    <s v="31/10/2025"/>
    <s v="Kavya Nair"/>
    <s v="Female"/>
    <s v="24/03/1993"/>
    <s v="Mumbai"/>
    <x v="2"/>
    <x v="0"/>
    <s v="Monitor"/>
    <n v="18"/>
    <n v="12000"/>
    <n v="15"/>
    <n v="183600"/>
    <n v="2"/>
    <s v="Cash"/>
    <s v="Rahul"/>
    <s v="KAvya.nair@company.com"/>
    <n v="9876513858"/>
    <s v="Completed"/>
    <s v="Blacklisted"/>
    <s v="Kavya Nair"/>
    <s v="Kav008Mu"/>
    <s v="kavya.nair@company.com"/>
    <s v=""/>
    <n v="1"/>
    <s v="On time"/>
  </r>
  <r>
    <x v="81"/>
    <s v="C007"/>
    <s v="P302"/>
    <x v="80"/>
    <d v="2025-11-11T00:00:00"/>
    <s v="arjun Rao"/>
    <s v="Male"/>
    <d v="1995-10-05T00:00:00"/>
    <s v="Ahmedabad"/>
    <x v="2"/>
    <x v="2"/>
    <s v="Pen"/>
    <n v="7"/>
    <n v="20"/>
    <n v="0"/>
    <n v="140"/>
    <n v="2"/>
    <s v="Card"/>
    <s v="Ritika"/>
    <s v="arjun.rao@company.com"/>
    <n v="9237400853"/>
    <s v="Cancelled"/>
    <s v="Blacklisted"/>
    <s v="Arjun Rao"/>
    <s v="Arj007Ah"/>
    <s v="arjun.rao@company.com"/>
    <s v=""/>
    <s v=""/>
    <s v="Delayed"/>
  </r>
  <r>
    <x v="82"/>
    <s v="C006"/>
    <s v="P201"/>
    <x v="81"/>
    <s v="18/04/2025"/>
    <s v="Sneha Joshi"/>
    <s v="Female"/>
    <s v="15/02/2001"/>
    <s v="Pune"/>
    <x v="2"/>
    <x v="1"/>
    <s v="Mixer"/>
    <n v="20"/>
    <n v="3500"/>
    <n v="20"/>
    <n v="56000"/>
    <n v="4"/>
    <s v="Card"/>
    <s v="Neha"/>
    <s v="sneha.joshi@company.com"/>
    <n v="9599597595"/>
    <s v="Pending"/>
    <s v=""/>
    <s v="Sneha Joshi"/>
    <s v="Sne006Pu"/>
    <s v="sneha.joshi@company.com"/>
    <n v="31"/>
    <s v=""/>
    <s v="Delayed"/>
  </r>
  <r>
    <x v="83"/>
    <s v="C002"/>
    <s v="P203"/>
    <x v="82"/>
    <s v="26/03/2026"/>
    <s v="Priya Patel"/>
    <s v="Female"/>
    <s v="14/08/1999"/>
    <s v="Ahmedabad"/>
    <x v="2"/>
    <x v="1"/>
    <s v="Microwave"/>
    <n v="8"/>
    <n v="8500"/>
    <n v="20"/>
    <n v="54400"/>
    <n v="3"/>
    <s v="Card"/>
    <s v="Neha"/>
    <s v="priYa.patel@company.com"/>
    <n v="9230007509"/>
    <s v="Pending"/>
    <s v=""/>
    <s v="Priya Patel"/>
    <s v="Pri002Ah"/>
    <s v="priya.patel@company.com"/>
    <s v=""/>
    <n v="10"/>
    <s v="Delayed"/>
  </r>
  <r>
    <x v="84"/>
    <s v="C001"/>
    <s v="P104"/>
    <x v="83"/>
    <s v="24/09/2025"/>
    <s v="Amit Sharma"/>
    <s v="Male"/>
    <s v="20/03/2002"/>
    <s v="Ahmedabad"/>
    <x v="1"/>
    <x v="0"/>
    <s v="Monitor"/>
    <n v="6"/>
    <n v="12000"/>
    <n v="5"/>
    <n v="68400"/>
    <n v="4"/>
    <s v="NetBanking"/>
    <s v="Ritika"/>
    <s v="amit.sharma@company.com"/>
    <n v="9823428025"/>
    <s v="Completed"/>
    <s v="Gold"/>
    <s v="Amit Sharma"/>
    <s v="Ami001Ah"/>
    <s v="amit.sharma@company.com"/>
    <s v=""/>
    <n v="9"/>
    <s v="Delayed"/>
  </r>
  <r>
    <x v="85"/>
    <s v="C008"/>
    <s v="P203"/>
    <x v="84"/>
    <s v="19/03/2026"/>
    <s v="Kavya Nair"/>
    <s v="Female"/>
    <s v="13/06/1992"/>
    <s v="Pune"/>
    <x v="2"/>
    <x v="1"/>
    <s v="Microwave"/>
    <n v="15"/>
    <n v="8500"/>
    <n v="0"/>
    <n v="127500"/>
    <n v="4"/>
    <s v="NetBanking"/>
    <s v="Ritika"/>
    <s v="KAvya.nair@company.com"/>
    <n v="9505048912"/>
    <s v="Cancelled"/>
    <s v="Blacklisted"/>
    <s v="Kavya Nair"/>
    <s v="kav008Pu"/>
    <s v="kavya.nair@company.com"/>
    <s v=""/>
    <s v=""/>
    <s v="Delayed"/>
  </r>
  <r>
    <x v="86"/>
    <s v="C010"/>
    <s v="P103"/>
    <x v="85"/>
    <s v="23/08/2025"/>
    <s v="pooja shah"/>
    <s v="Female"/>
    <s v="18/06/1996"/>
    <s v="Jaipur"/>
    <x v="1"/>
    <x v="0"/>
    <s v="Keyboard"/>
    <n v="5"/>
    <n v="1200"/>
    <n v="15"/>
    <n v="5100"/>
    <n v="1"/>
    <s v="NetBanking"/>
    <s v="Ritika"/>
    <s v="pooja.shah@company.com"/>
    <n v="9508068393"/>
    <s v="Cancelled"/>
    <s v="Blacklisted"/>
    <s v="Pooja Shah"/>
    <s v="Poo010Ja"/>
    <s v="pooja.shah@company.com"/>
    <s v=""/>
    <n v="3"/>
    <s v="On time"/>
  </r>
  <r>
    <x v="87"/>
    <s v="C010"/>
    <s v="P302"/>
    <x v="86"/>
    <s v="14/08/2025"/>
    <s v="pooja shah"/>
    <s v="Female"/>
    <d v="1982-08-11T00:00:00"/>
    <s v="Hyderabad"/>
    <x v="0"/>
    <x v="2"/>
    <s v="Pen"/>
    <n v="4"/>
    <n v="20"/>
    <n v="0"/>
    <n v="80"/>
    <n v="4"/>
    <s v="NetBanking"/>
    <s v="Rahul"/>
    <s v="pooja.shah@company.com"/>
    <n v="9785807771"/>
    <s v="Completed"/>
    <s v="Silver"/>
    <s v="Pooja Shah"/>
    <s v="Poo010Hy"/>
    <s v="pooja.shah@company.com"/>
    <s v=""/>
    <n v="1"/>
    <s v="On time"/>
  </r>
  <r>
    <x v="88"/>
    <s v="C008"/>
    <s v="P302"/>
    <x v="87"/>
    <s v="20/03/2025"/>
    <s v="Kavya Nair"/>
    <s v="Female"/>
    <s v="25/06/1984"/>
    <s v="Bengaluru"/>
    <x v="0"/>
    <x v="2"/>
    <s v="Pen"/>
    <n v="10"/>
    <n v="20"/>
    <n v="0"/>
    <n v="200"/>
    <n v="3"/>
    <s v="Cash"/>
    <s v="Karan"/>
    <s v="KAvya.nair@company.com"/>
    <n v="9215250979"/>
    <s v="Pending"/>
    <s v=""/>
    <s v="Kavya Nair"/>
    <s v="Kav008Be"/>
    <s v="kavya.nair@company.com"/>
    <n v="44"/>
    <n v="4"/>
    <s v="On time"/>
  </r>
  <r>
    <x v="89"/>
    <s v="C004"/>
    <s v="P202"/>
    <x v="88"/>
    <d v="2025-10-09T00:00:00"/>
    <s v="Anita Gupta"/>
    <s v="Female"/>
    <s v="21/06/1994"/>
    <s v="Delhi"/>
    <x v="1"/>
    <x v="1"/>
    <s v="Iron"/>
    <n v="18"/>
    <n v="2200"/>
    <n v="10"/>
    <n v="35640"/>
    <n v="3"/>
    <s v="Cash"/>
    <s v="Ritika"/>
    <s v="anita.gupta@company.com"/>
    <n v="9845884906"/>
    <s v="Cancelled"/>
    <s v="Blacklisted"/>
    <s v="Anita Gupta"/>
    <s v="Ani004De"/>
    <s v="anita.gupta@company.com"/>
    <s v=""/>
    <s v=""/>
    <s v="Delayed"/>
  </r>
  <r>
    <x v="90"/>
    <s v="C001"/>
    <s v="P201"/>
    <x v="89"/>
    <s v="15/04/2025"/>
    <s v="Amit Sharma"/>
    <s v="Male"/>
    <s v="17/10/1990"/>
    <s v="Delhi"/>
    <x v="1"/>
    <x v="1"/>
    <s v="Mixer"/>
    <n v="7"/>
    <n v="3500"/>
    <n v="15"/>
    <n v="20825"/>
    <n v="3"/>
    <s v="NetBanking"/>
    <s v="Rahul"/>
    <s v="amit.sharma@company.com"/>
    <n v="9393097397"/>
    <s v="Completed"/>
    <s v="Silver"/>
    <s v="Amit Sharma"/>
    <s v="Ami001De"/>
    <s v="amit.sharma@company.com"/>
    <s v=""/>
    <s v=""/>
    <s v="Delayed"/>
  </r>
  <r>
    <x v="91"/>
    <s v="C002"/>
    <s v="P203"/>
    <x v="90"/>
    <d v="2026-07-05T00:00:00"/>
    <s v="Priya Patel"/>
    <s v="Female"/>
    <s v="28/01/1987"/>
    <s v="Kolkata"/>
    <x v="3"/>
    <x v="1"/>
    <s v="Microwave"/>
    <n v="19"/>
    <n v="8500"/>
    <n v="15"/>
    <n v="137275"/>
    <n v="4"/>
    <s v="Card"/>
    <s v="Karan"/>
    <s v="priYa.patel@company.com"/>
    <n v="9958032109"/>
    <s v="Pending"/>
    <s v=""/>
    <s v="Priya Patel"/>
    <s v="Pri002Ko"/>
    <s v="priya.patel@company.com"/>
    <s v=""/>
    <s v=""/>
    <s v="Delayed"/>
  </r>
  <r>
    <x v="92"/>
    <s v="C006"/>
    <s v="P104"/>
    <x v="91"/>
    <s v="27/01/2026"/>
    <s v="Sneha Joshi"/>
    <s v="Female"/>
    <s v="21/09/1983"/>
    <s v="Ahmedabad"/>
    <x v="2"/>
    <x v="0"/>
    <s v="Monitor"/>
    <n v="13"/>
    <n v="12000"/>
    <n v="15"/>
    <n v="132600"/>
    <n v="4"/>
    <s v="Cash"/>
    <s v="Rahul"/>
    <s v="sneha.joshi@company.com"/>
    <n v="9755082957"/>
    <s v="Completed"/>
    <s v="Gold"/>
    <s v="Sneha Joshi"/>
    <s v="Sne006Ah"/>
    <s v="sneha.joshi@company.com"/>
    <s v=""/>
    <n v="9"/>
    <s v="Delayed"/>
  </r>
  <r>
    <x v="93"/>
    <s v="C001"/>
    <s v="P302"/>
    <x v="92"/>
    <s v="24/03/2026"/>
    <s v="Amit Sharma"/>
    <s v="Male"/>
    <d v="1989-04-04T00:00:00"/>
    <s v="Pune"/>
    <x v="2"/>
    <x v="2"/>
    <s v="Pen"/>
    <n v="7"/>
    <n v="20"/>
    <n v="0"/>
    <n v="140"/>
    <n v="1"/>
    <s v="Card"/>
    <s v="Karan"/>
    <s v="amit.sharma@company.com"/>
    <n v="9872235856"/>
    <s v="Cancelled"/>
    <s v="Blacklisted"/>
    <s v="Amit Sharma"/>
    <s v="Ami001Pu"/>
    <s v="amit.sharma@company.com"/>
    <s v=""/>
    <n v="10"/>
    <s v="Delayed"/>
  </r>
  <r>
    <x v="94"/>
    <s v="C004"/>
    <s v="P102"/>
    <x v="93"/>
    <d v="2025-11-05T00:00:00"/>
    <s v="Anita Gupta"/>
    <s v="Female"/>
    <s v="25/09/1987"/>
    <s v="Delhi"/>
    <x v="1"/>
    <x v="0"/>
    <s v="Mouse"/>
    <n v="5"/>
    <n v="700"/>
    <n v="15"/>
    <n v="999999"/>
    <n v="4"/>
    <s v="Card"/>
    <s v="Ritika"/>
    <s v="anita.gupta@company.com"/>
    <n v="9335138816"/>
    <s v="Pending"/>
    <s v=""/>
    <s v="Anita Gupta"/>
    <s v="Ani004De"/>
    <s v="anita.gupta@company.com"/>
    <n v="37"/>
    <s v=""/>
    <s v="Delayed"/>
  </r>
  <r>
    <x v="95"/>
    <s v="C007"/>
    <s v="P303"/>
    <x v="94"/>
    <d v="2026-10-05T00:00:00"/>
    <s v="arjun Rao"/>
    <s v="Male"/>
    <d v="1982-07-08T00:00:00"/>
    <s v="Bengaluru"/>
    <x v="0"/>
    <x v="2"/>
    <s v="Marker"/>
    <n v="9"/>
    <n v="45"/>
    <n v="5"/>
    <n v="384.75"/>
    <n v="3"/>
    <s v="Cash"/>
    <s v="Ritika"/>
    <s v="arjun.rao@company.com"/>
    <n v="9750365609"/>
    <s v="Completed"/>
    <s v="Silver"/>
    <s v="Arjun Rao"/>
    <s v="Arj007Be"/>
    <s v="arjun.rao@company.com"/>
    <s v=""/>
    <s v=""/>
    <s v="Delayed"/>
  </r>
  <r>
    <x v="96"/>
    <s v="C003"/>
    <s v="P301"/>
    <x v="95"/>
    <s v="29/04/2025"/>
    <s v="Rohit Singh"/>
    <s v="Male"/>
    <s v="17/07/1986"/>
    <s v="Kolkata"/>
    <x v="3"/>
    <x v="2"/>
    <s v="Notebook"/>
    <n v="19"/>
    <n v="60"/>
    <n v="10"/>
    <n v="1026"/>
    <n v="5"/>
    <s v="NetBanking"/>
    <s v="Neha"/>
    <s v="rohit.singh@company.com"/>
    <n v="9736812737"/>
    <s v="Completed"/>
    <s v="Silver"/>
    <s v="Rohit Singh"/>
    <s v="Roh003Ko"/>
    <s v="rohit.singh@company.com"/>
    <n v="44"/>
    <n v="8"/>
    <s v="Delayed"/>
  </r>
  <r>
    <x v="97"/>
    <s v="C001"/>
    <s v="P102"/>
    <x v="96"/>
    <s v="20/12/2025"/>
    <s v="Amit Sharma"/>
    <s v="Male"/>
    <d v="1987-06-04T00:00:00"/>
    <s v="Ahmedabad"/>
    <x v="2"/>
    <x v="0"/>
    <s v="Mouse"/>
    <n v="4"/>
    <n v="700"/>
    <n v="5"/>
    <n v="2660"/>
    <n v="3"/>
    <s v="NetBanking"/>
    <s v="Aisha"/>
    <s v="amit.sharma@company.com"/>
    <n v="9271420931"/>
    <s v="Completed"/>
    <s v="Silver"/>
    <s v="Amit Sharma"/>
    <s v="Ami001Ah"/>
    <s v="amit.sharma@company.com"/>
    <s v=""/>
    <s v=""/>
    <s v="Delayed"/>
  </r>
  <r>
    <x v="98"/>
    <s v="C001"/>
    <s v="P201"/>
    <x v="94"/>
    <s v="15/05/2026"/>
    <s v="Amit Sharma"/>
    <s v="Male"/>
    <s v="25/02/2004"/>
    <s v="Pune"/>
    <x v="2"/>
    <x v="1"/>
    <s v="Mixer"/>
    <n v="16"/>
    <n v="3500"/>
    <n v="0"/>
    <n v="56000"/>
    <n v="2"/>
    <s v="Card"/>
    <s v="Rahul"/>
    <s v="amit.sharma@company.com"/>
    <n v="9781411370"/>
    <s v="Completed"/>
    <s v="Blacklisted"/>
    <s v="Amit Sharma"/>
    <s v="Ami001Pu"/>
    <s v="amit.sharma@company.com"/>
    <n v="39"/>
    <s v=""/>
    <s v="Delayed"/>
  </r>
  <r>
    <x v="99"/>
    <s v="C006"/>
    <s v="P303"/>
    <x v="97"/>
    <s v="20/01/2025"/>
    <s v="Sneha Joshi"/>
    <s v="Female"/>
    <s v="24/04/2001"/>
    <s v="Bengaluru"/>
    <x v="0"/>
    <x v="2"/>
    <s v="Marker"/>
    <n v="5"/>
    <n v="45"/>
    <n v="20"/>
    <n v="180"/>
    <n v="3"/>
    <s v="Card"/>
    <s v="Ritika"/>
    <s v="sneha.joshi@company.com"/>
    <n v="9584152818"/>
    <s v="Completed"/>
    <s v="Silver"/>
    <s v="Sneha Joshi"/>
    <s v="Sne006Be"/>
    <s v="sneha.joshi@company.com"/>
    <s v=""/>
    <n v="7"/>
    <s v="Delayed"/>
  </r>
  <r>
    <x v="100"/>
    <s v="C007"/>
    <s v="P302"/>
    <x v="98"/>
    <s v="18/03/2025"/>
    <s v="arjun Rao"/>
    <s v="Male"/>
    <d v="1996-01-07T00:00:00"/>
    <s v="Mumbai"/>
    <x v="2"/>
    <x v="2"/>
    <s v="Pen"/>
    <n v="9"/>
    <n v="20"/>
    <n v="10"/>
    <n v="162"/>
    <n v="4"/>
    <s v="Card"/>
    <s v="Ritika"/>
    <s v="arjun.rao@company.com"/>
    <n v="9507986836"/>
    <s v="Pending"/>
    <s v=""/>
    <s v="Arjun Rao"/>
    <s v="arj007Mu"/>
    <s v="arjun.rao@company.com"/>
    <s v=""/>
    <n v="1"/>
    <s v="On time"/>
  </r>
  <r>
    <x v="101"/>
    <s v="C010"/>
    <s v="P103"/>
    <x v="99"/>
    <d v="2025-01-03T00:00:00"/>
    <s v="pooja shah"/>
    <s v="Female"/>
    <d v="1979-06-02T00:00:00"/>
    <s v="Delhi"/>
    <x v="1"/>
    <x v="0"/>
    <s v="Keyboard"/>
    <n v="9"/>
    <n v="1200"/>
    <n v="5"/>
    <n v="10260"/>
    <n v="3"/>
    <s v="UPI"/>
    <s v="Ritika"/>
    <s v="pooja.shah@company.com"/>
    <n v="9518249687"/>
    <s v="Pending"/>
    <s v=""/>
    <s v="Pooja Shah"/>
    <s v="Poo010De"/>
    <s v="pooja.shah@company.com"/>
    <n v="30"/>
    <s v=""/>
    <s v="Delayed"/>
  </r>
  <r>
    <x v="102"/>
    <s v="C002"/>
    <s v="P201"/>
    <x v="100"/>
    <s v="27/02/2025"/>
    <s v="Priya Patel"/>
    <s v="Female"/>
    <d v="1985-12-12T00:00:00"/>
    <s v="Delhi"/>
    <x v="1"/>
    <x v="1"/>
    <s v="Mixer"/>
    <n v="3"/>
    <n v="3500"/>
    <n v="10"/>
    <n v="9450"/>
    <n v="2"/>
    <s v="Card"/>
    <s v="Karan"/>
    <s v="priYa.patel@company.com"/>
    <n v="9179328207"/>
    <s v="Cancelled"/>
    <s v="Blacklisted"/>
    <s v="Priya Patel"/>
    <s v="Pri002De"/>
    <s v="priya.patel@company.com"/>
    <n v="47"/>
    <n v="1"/>
    <s v="On time"/>
  </r>
  <r>
    <x v="103"/>
    <s v="C005"/>
    <s v="P103"/>
    <x v="27"/>
    <s v="18/03/2026"/>
    <s v="Vikas Mehta"/>
    <s v="Male"/>
    <s v="28/01/1992"/>
    <s v="Mumbai"/>
    <x v="2"/>
    <x v="0"/>
    <s v="Keyboard"/>
    <n v="6"/>
    <n v="1200"/>
    <n v="15"/>
    <n v="6120"/>
    <n v="4"/>
    <s v="UPI"/>
    <s v="Ritika"/>
    <s v="vikas.mehta@company.com"/>
    <n v="9778490728"/>
    <s v="Cancelled"/>
    <s v="Blacklisted"/>
    <s v="Vikas Mehta"/>
    <s v="Vik005Mu"/>
    <s v="vikas.mehta@company.com"/>
    <n v="40"/>
    <n v="5"/>
    <s v="On time"/>
  </r>
  <r>
    <x v="104"/>
    <s v="C007"/>
    <s v="P103"/>
    <x v="101"/>
    <d v="2025-12-07T00:00:00"/>
    <s v="arjun Rao"/>
    <s v="Male"/>
    <d v="1993-05-07T00:00:00"/>
    <s v="Jaipur"/>
    <x v="1"/>
    <x v="0"/>
    <s v="Keyboard"/>
    <n v="17"/>
    <n v="1200"/>
    <n v="15"/>
    <n v="17340"/>
    <n v="1"/>
    <s v="Cash"/>
    <s v="Aisha"/>
    <s v="arjun.rao@company.com"/>
    <n v="9223058722"/>
    <s v="Completed"/>
    <s v="Blacklisted"/>
    <s v="Arjun Rao"/>
    <s v="Arj007Ja"/>
    <s v="arjun.rao@company.com"/>
    <s v=""/>
    <s v=""/>
    <s v="Delayed"/>
  </r>
  <r>
    <x v="105"/>
    <s v="C005"/>
    <s v="P203"/>
    <x v="102"/>
    <s v="26/11/2025"/>
    <s v="Vikas Mehta"/>
    <s v="Male"/>
    <s v="13/09/1977"/>
    <s v="Bengaluru"/>
    <x v="0"/>
    <x v="1"/>
    <s v="Microwave"/>
    <n v="15"/>
    <n v="8500"/>
    <n v="0"/>
    <n v="127500"/>
    <n v="3"/>
    <s v="Cash"/>
    <s v="Neha"/>
    <s v="vikas.mehta@company.com"/>
    <n v="9999889465"/>
    <s v="Pending"/>
    <s v=""/>
    <s v="Vikas Mehta"/>
    <s v="Vik005Be"/>
    <s v="vikas.mehta@company.com"/>
    <n v="33"/>
    <n v="8"/>
    <s v="Delayed"/>
  </r>
  <r>
    <x v="106"/>
    <s v="C003"/>
    <s v="P103"/>
    <x v="7"/>
    <s v="19/04/2025"/>
    <s v="Rohit Singh"/>
    <s v="Male"/>
    <d v="1985-11-10T00:00:00"/>
    <s v="Hyderabad"/>
    <x v="0"/>
    <x v="0"/>
    <s v="Keyboard"/>
    <n v="1"/>
    <n v="1200"/>
    <n v="20"/>
    <n v="960"/>
    <n v="1"/>
    <s v="UPI"/>
    <s v="Neha"/>
    <s v="rohit.singh@company.com"/>
    <n v="9489687402"/>
    <s v="Pending"/>
    <s v="Blacklisted"/>
    <s v="Rohit Singh"/>
    <s v="Roh003Hy"/>
    <s v="rohit.singh@company.com"/>
    <s v=""/>
    <n v="6"/>
    <s v="Delayed"/>
  </r>
  <r>
    <x v="107"/>
    <s v="C003"/>
    <s v="P203"/>
    <x v="103"/>
    <s v="18/04/2025"/>
    <s v="Rohit Singh"/>
    <s v="Male"/>
    <d v="2001-02-10T00:00:00"/>
    <s v="Kolkata"/>
    <x v="3"/>
    <x v="1"/>
    <s v="Microwave"/>
    <n v="5"/>
    <n v="8500"/>
    <n v="10"/>
    <n v="38250"/>
    <n v="1"/>
    <s v="Card"/>
    <s v="Aisha"/>
    <s v="rohit.singh@company.com"/>
    <n v="9236963301"/>
    <s v="Completed"/>
    <s v="Blacklisted"/>
    <s v="Rohit Singh"/>
    <s v="Roh003Ko"/>
    <s v="rohit.singh@company.com"/>
    <n v="40"/>
    <s v=""/>
    <s v="Delayed"/>
  </r>
  <r>
    <x v="108"/>
    <s v="C010"/>
    <s v="P303"/>
    <x v="104"/>
    <d v="2026-10-04T00:00:00"/>
    <s v="pooja shah"/>
    <s v="Female"/>
    <d v="1986-08-04T00:00:00"/>
    <s v="Hyderabad"/>
    <x v="0"/>
    <x v="2"/>
    <s v="Marker"/>
    <n v="12"/>
    <n v="45"/>
    <n v="5"/>
    <n v="513"/>
    <n v="2"/>
    <s v="NetBanking"/>
    <s v="Ritika"/>
    <s v="pooja.shah@company.com"/>
    <n v="9653594592"/>
    <s v="Cancelled"/>
    <s v="Blacklisted"/>
    <s v="Pooja Shah"/>
    <s v="Poo010Hy"/>
    <s v="pooja.shah@company.com"/>
    <n v="25"/>
    <s v=""/>
    <s v="Delayed"/>
  </r>
  <r>
    <x v="109"/>
    <s v="C005"/>
    <s v="P301"/>
    <x v="105"/>
    <s v="28/10/2025"/>
    <s v="Vikas Mehta"/>
    <s v="Male"/>
    <s v="21/07/1990"/>
    <s v="Pune"/>
    <x v="2"/>
    <x v="2"/>
    <s v="Notebook"/>
    <n v="5"/>
    <n v="60"/>
    <n v="5"/>
    <n v="285"/>
    <n v="2"/>
    <s v="Cash"/>
    <s v="Aisha"/>
    <s v="vikas.mehta@company.com"/>
    <n v="9781970426"/>
    <s v="Completed"/>
    <s v="Blacklisted"/>
    <s v="Vikas Mehta"/>
    <s v="Vik005Pu"/>
    <s v="vikas.mehta@company.com"/>
    <n v="40"/>
    <n v="5"/>
    <s v="On time"/>
  </r>
  <r>
    <x v="110"/>
    <s v="C010"/>
    <s v="P102"/>
    <x v="106"/>
    <s v="14/04/2025"/>
    <s v="pooja shah"/>
    <s v="Female"/>
    <d v="1994-11-04T00:00:00"/>
    <s v="Kolkata"/>
    <x v="3"/>
    <x v="0"/>
    <s v="Mouse"/>
    <n v="3"/>
    <n v="700"/>
    <n v="0"/>
    <n v="2100"/>
    <n v="4"/>
    <s v="Card"/>
    <s v="Aisha"/>
    <s v="pooja.shah@company.com"/>
    <n v="9862165194"/>
    <s v="Completed"/>
    <s v="Silver"/>
    <s v="Pooja Shah"/>
    <s v="Poo010Ko"/>
    <s v="pooja.shah@company.com"/>
    <s v=""/>
    <s v=""/>
    <s v="Delayed"/>
  </r>
  <r>
    <x v="111"/>
    <s v="C004"/>
    <s v="P302"/>
    <x v="43"/>
    <s v="29/04/2025"/>
    <s v="Anita Gupta"/>
    <s v="Female"/>
    <d v="1992-04-05T00:00:00"/>
    <s v="Delhi"/>
    <x v="1"/>
    <x v="2"/>
    <s v="Pen"/>
    <n v="6"/>
    <n v="20"/>
    <n v="15"/>
    <n v="102"/>
    <n v="5"/>
    <s v="Card"/>
    <s v="Karan"/>
    <s v="anita.gupta@company.com"/>
    <n v="9661280388"/>
    <s v="Completed"/>
    <s v="Silver"/>
    <s v="Anita Gupta"/>
    <s v="Ani004De"/>
    <s v="anita.gupta@company.com"/>
    <n v="31"/>
    <n v="4"/>
    <s v="On time"/>
  </r>
  <r>
    <x v="112"/>
    <s v="C002"/>
    <s v="P102"/>
    <x v="107"/>
    <s v="31/08/2025"/>
    <s v="Priya Patel"/>
    <s v="Female"/>
    <s v="13/05/1980"/>
    <s v="Bengaluru"/>
    <x v="0"/>
    <x v="0"/>
    <s v="Mouse"/>
    <n v="2"/>
    <n v="700"/>
    <n v="15"/>
    <n v="1190"/>
    <n v="4"/>
    <s v="Cash"/>
    <s v="Karan"/>
    <s v="priYa.patel@company.com"/>
    <n v="9896985355"/>
    <s v="Pending"/>
    <s v=""/>
    <s v="Priya Patel"/>
    <s v="Pri002Be"/>
    <s v="priya.patel@company.com"/>
    <n v="34"/>
    <n v="7"/>
    <s v="Delayed"/>
  </r>
  <r>
    <x v="113"/>
    <s v="C001"/>
    <s v="P303"/>
    <x v="108"/>
    <d v="2025-11-06T00:00:00"/>
    <s v="Amit Sharma"/>
    <s v="Male"/>
    <d v="1995-07-09T00:00:00"/>
    <s v="Pune"/>
    <x v="2"/>
    <x v="2"/>
    <s v="Marker"/>
    <n v="16"/>
    <n v="45"/>
    <n v="0"/>
    <n v="720"/>
    <n v="1"/>
    <s v="NetBanking"/>
    <s v="Aisha"/>
    <s v="amit.sharma@company.com"/>
    <n v="9807154421"/>
    <s v="Completed"/>
    <s v="Blacklisted"/>
    <s v="Amit Sharma"/>
    <s v="Ami001Pu"/>
    <s v="amit.sharma@company.com"/>
    <s v=""/>
    <s v=""/>
    <s v="Delayed"/>
  </r>
  <r>
    <x v="114"/>
    <s v="C009"/>
    <s v="P103"/>
    <x v="109"/>
    <d v="2025-02-06T00:00:00"/>
    <s v="Mohit Verma"/>
    <s v="Male"/>
    <d v="1988-08-03T00:00:00"/>
    <s v="Ahmedabad"/>
    <x v="2"/>
    <x v="0"/>
    <s v="Keyboard"/>
    <s v="Ten"/>
    <n v="1200"/>
    <n v="15"/>
    <n v="7140"/>
    <n v="4"/>
    <s v="UPI"/>
    <s v="Karan"/>
    <s v="mohit.verma@company.com"/>
    <n v="9919834000"/>
    <s v="Pending"/>
    <s v=""/>
    <s v="Mohit Verma"/>
    <s v="Moh009Ah"/>
    <s v="mohit.verma@company.com"/>
    <n v="31"/>
    <s v=""/>
    <s v="Delayed"/>
  </r>
  <r>
    <x v="115"/>
    <s v="C002"/>
    <s v="P104"/>
    <x v="50"/>
    <s v="30/08/2025"/>
    <s v="Priya Patel"/>
    <s v="Female"/>
    <d v="1989-07-07T00:00:00"/>
    <s v="Jaipur"/>
    <x v="1"/>
    <x v="0"/>
    <s v="Monitor"/>
    <n v="14"/>
    <n v="12000"/>
    <n v="15"/>
    <n v="142800"/>
    <n v="2"/>
    <s v="NetBanking"/>
    <s v="Aisha"/>
    <s v="priYa.patel@company.com"/>
    <n v="9739798818"/>
    <s v="Pending"/>
    <s v="Blacklisted"/>
    <s v="Priya Patel"/>
    <s v="Pri002Ja"/>
    <s v="priya.patel@company.com"/>
    <n v="38"/>
    <n v="11"/>
    <s v="Delayed"/>
  </r>
  <r>
    <x v="116"/>
    <s v="C003"/>
    <s v="P203"/>
    <x v="64"/>
    <s v="16/12/2025"/>
    <s v="Rohit Singh"/>
    <s v="Male"/>
    <d v="1993-11-11T00:00:00"/>
    <s v="Pune"/>
    <x v="2"/>
    <x v="1"/>
    <s v="Microwave"/>
    <n v="8"/>
    <n v="8500"/>
    <n v="20"/>
    <n v="54400"/>
    <n v="3"/>
    <s v="Card"/>
    <s v="Rahul"/>
    <s v="rohit.singh@company.com"/>
    <n v="9208625306"/>
    <s v="Completed"/>
    <s v="Gold"/>
    <s v="Rohit Singh"/>
    <s v="Roh003Pu"/>
    <s v="rohit.singh@company.com"/>
    <n v="37"/>
    <n v="2"/>
    <s v="On time"/>
  </r>
  <r>
    <x v="117"/>
    <s v="C007"/>
    <s v="P303"/>
    <x v="8"/>
    <d v="2026-10-02T00:00:00"/>
    <s v="arjun Rao"/>
    <s v="Male"/>
    <d v="2000-01-02T00:00:00"/>
    <s v="Bengaluru"/>
    <x v="0"/>
    <x v="2"/>
    <s v="Marker"/>
    <n v="3"/>
    <n v="45"/>
    <n v="0"/>
    <n v="135"/>
    <n v="4"/>
    <s v="UPI"/>
    <s v="Aisha"/>
    <s v="arjun.rao@company.com"/>
    <n v="9970178536"/>
    <s v="Cancelled"/>
    <s v="Blacklisted"/>
    <s v="Arjun Rao"/>
    <s v="Arj007Be"/>
    <s v="arjun.rao@company.com"/>
    <n v="32"/>
    <s v=""/>
    <s v="Delayed"/>
  </r>
  <r>
    <x v="118"/>
    <s v="C001"/>
    <s v="P102"/>
    <x v="110"/>
    <d v="2026-04-01T00:00:00"/>
    <s v="Amit Sharma"/>
    <s v="Male"/>
    <s v="22/06/1986"/>
    <s v="Jaipur"/>
    <x v="1"/>
    <x v="0"/>
    <s v="Mouse"/>
    <n v="13"/>
    <n v="700"/>
    <n v="5"/>
    <n v="8645"/>
    <n v="3"/>
    <s v="Card"/>
    <s v="Neha"/>
    <s v="amit.sharma@company.com"/>
    <n v="9633745195"/>
    <s v="Pending"/>
    <s v=""/>
    <s v="Amit Sharma"/>
    <s v="Ami001Ja"/>
    <s v="amit.sharma@company.com"/>
    <n v="26"/>
    <s v=""/>
    <s v="Delayed"/>
  </r>
  <r>
    <x v="119"/>
    <s v="C004"/>
    <s v="P103"/>
    <x v="111"/>
    <s v="26/10/2025"/>
    <s v="Anita Gupta"/>
    <s v="Female"/>
    <s v="16/02/1986"/>
    <s v="Mumbai"/>
    <x v="2"/>
    <x v="0"/>
    <s v="Keyboard"/>
    <n v="14"/>
    <n v="1200"/>
    <n v="20"/>
    <n v="13440"/>
    <n v="5"/>
    <s v="NetBanking"/>
    <s v="Aisha"/>
    <s v="anita.gupta@company.com"/>
    <n v="9922102053"/>
    <s v="Completed"/>
    <s v="Silver"/>
    <s v="Anita Gupta"/>
    <s v="Ani004Mu"/>
    <s v="anita.gupta@company.com"/>
    <s v=""/>
    <n v="6"/>
    <s v="Delayed"/>
  </r>
  <r>
    <x v="120"/>
    <s v="C002"/>
    <s v="P303"/>
    <x v="112"/>
    <s v="21/05/2025"/>
    <s v="Priya Patel"/>
    <s v="Female"/>
    <s v="18/09/1991"/>
    <s v="Delhi"/>
    <x v="1"/>
    <x v="2"/>
    <s v="Marker"/>
    <n v="2"/>
    <n v="45"/>
    <n v="5"/>
    <n v="85.5"/>
    <n v="3"/>
    <s v="UPI"/>
    <s v="Ritika"/>
    <s v="priYa.patel@company.com"/>
    <n v="9135963930"/>
    <s v="Cancelled"/>
    <s v="Blacklisted"/>
    <s v="Priya Patel"/>
    <s v="Pri002De"/>
    <s v="priya.patel@company.com"/>
    <s v=""/>
    <s v=""/>
    <s v="Delayed"/>
  </r>
  <r>
    <x v="121"/>
    <s v="C004"/>
    <s v="P103"/>
    <x v="113"/>
    <d v="2026-06-01T00:00:00"/>
    <s v="Anita Gupta"/>
    <s v="Female"/>
    <d v="1981-04-01T00:00:00"/>
    <s v="Bengaluru"/>
    <x v="0"/>
    <x v="0"/>
    <s v="Keyboard"/>
    <n v="2"/>
    <n v="1200"/>
    <n v="20"/>
    <n v="1920"/>
    <n v="3"/>
    <s v="Card"/>
    <s v="Neha"/>
    <s v="anita.gupta@company.com"/>
    <n v="9429405275"/>
    <s v="Completed"/>
    <s v="Silver"/>
    <s v="Anita Gupta"/>
    <s v="Ani004Be"/>
    <s v="anita.gupta@company.com"/>
    <s v=""/>
    <s v=""/>
    <s v="Delayed"/>
  </r>
  <r>
    <x v="122"/>
    <s v="C003"/>
    <s v="P101"/>
    <x v="114"/>
    <s v="26/04/2026"/>
    <s v="Rohit Singh"/>
    <s v="Male"/>
    <d v="2004-12-10T00:00:00"/>
    <s v="Bengaluru"/>
    <x v="0"/>
    <x v="0"/>
    <s v="Laptop"/>
    <n v="10"/>
    <n v="55000"/>
    <n v="5"/>
    <n v="522500"/>
    <n v="5"/>
    <s v="UPI"/>
    <s v="Aisha"/>
    <s v="rohit.singh@company.com"/>
    <n v="9521757571"/>
    <s v="Pending"/>
    <s v=""/>
    <s v="Rohit Singh"/>
    <s v="Roh003Be"/>
    <s v="rohit.singh@company.com"/>
    <n v="45"/>
    <n v="6"/>
    <s v="Delayed"/>
  </r>
  <r>
    <x v="123"/>
    <s v="C006"/>
    <s v="P201"/>
    <x v="115"/>
    <d v="2025-05-08T00:00:00"/>
    <s v="Sneha Joshi"/>
    <s v="Female"/>
    <s v="25/03/1984"/>
    <s v="Jaipur"/>
    <x v="1"/>
    <x v="1"/>
    <s v="Mixer"/>
    <n v="15"/>
    <n v="3500"/>
    <n v="10"/>
    <n v="47250"/>
    <n v="3"/>
    <s v="NetBanking"/>
    <s v="Neha"/>
    <s v="sneha.joshi@company.com"/>
    <n v="9467375455"/>
    <s v="Completed"/>
    <s v="Silver"/>
    <s v="Sneha Joshi"/>
    <s v="Sne006Ja"/>
    <s v="sneha.joshi@company.com"/>
    <n v="21"/>
    <s v=""/>
    <s v="Delayed"/>
  </r>
  <r>
    <x v="124"/>
    <s v="C002"/>
    <s v="P202"/>
    <x v="86"/>
    <s v="18/08/2025"/>
    <s v="Priya Patel"/>
    <s v="Female"/>
    <d v="1982-09-09T00:00:00"/>
    <s v="Bengaluru"/>
    <x v="0"/>
    <x v="1"/>
    <s v="Iron"/>
    <n v="10"/>
    <n v="2200"/>
    <n v="15"/>
    <n v="18700"/>
    <n v="4"/>
    <s v="Card"/>
    <s v="Rahul"/>
    <s v="priYa.patel@company.com"/>
    <n v="9838809695"/>
    <s v="Pending"/>
    <s v=""/>
    <s v="Priya Patel"/>
    <s v="Pri002Be"/>
    <s v="priya.patel@company.com"/>
    <s v=""/>
    <n v="5"/>
    <s v="On time"/>
  </r>
  <r>
    <x v="125"/>
    <s v="C006"/>
    <s v="P201"/>
    <x v="30"/>
    <s v="24/06/2025"/>
    <s v="Sneha Joshi"/>
    <s v="Female"/>
    <s v="15/02/1993"/>
    <s v="Pune"/>
    <x v="2"/>
    <x v="1"/>
    <s v="Mixer"/>
    <n v="11"/>
    <n v="3500"/>
    <n v="5"/>
    <n v="36575"/>
    <n v="5"/>
    <s v="Cash"/>
    <s v="Ritika"/>
    <s v="sneha.joshi@company.com"/>
    <n v="9296609782"/>
    <s v="Cancelled"/>
    <s v="Blacklisted"/>
    <s v="Sneha Joshi"/>
    <s v="Sne006Pu"/>
    <s v="sneha.joshi@company.com"/>
    <n v="44"/>
    <n v="8"/>
    <s v="Delayed"/>
  </r>
  <r>
    <x v="126"/>
    <s v="C004"/>
    <s v="P103"/>
    <x v="116"/>
    <s v="30/04/2026"/>
    <s v="Anita Gupta"/>
    <s v="Female"/>
    <d v="2003-08-04T00:00:00"/>
    <s v="Bengaluru"/>
    <x v="0"/>
    <x v="0"/>
    <s v="Keyboard"/>
    <n v="14"/>
    <n v="1200"/>
    <n v="0"/>
    <n v="16800"/>
    <n v="5"/>
    <s v="Cash"/>
    <s v="Rahul"/>
    <s v="anita.gupta@company.com"/>
    <n v="9848259992"/>
    <s v="Cancelled"/>
    <s v="Blacklisted"/>
    <s v="Anita Gupta"/>
    <s v="Ani004Be"/>
    <s v="anita.gupta@company.com"/>
    <s v=""/>
    <n v="3"/>
    <s v="On time"/>
  </r>
  <r>
    <x v="127"/>
    <s v="C002"/>
    <s v="P302"/>
    <x v="117"/>
    <s v="22/02/2026"/>
    <s v="Priya Patel"/>
    <s v="Female"/>
    <s v="20/10/1989"/>
    <s v="Delhi"/>
    <x v="1"/>
    <x v="2"/>
    <s v="Pen"/>
    <n v="11"/>
    <n v="20"/>
    <n v="20"/>
    <n v="176"/>
    <n v="4"/>
    <s v="NetBanking"/>
    <s v="Ritika"/>
    <s v="priYa.patel@company.com"/>
    <n v="9254082295"/>
    <s v="Completed"/>
    <s v="Silver"/>
    <s v="Priya Patel"/>
    <s v="Pri002De"/>
    <s v="priya.patel@company.com"/>
    <n v="23"/>
    <n v="5"/>
    <s v="On time"/>
  </r>
  <r>
    <x v="128"/>
    <s v="C009"/>
    <s v="P104"/>
    <x v="118"/>
    <d v="2026-10-04T00:00:00"/>
    <s v="Mohit Verma"/>
    <s v="Male"/>
    <s v="15/09/1995"/>
    <s v="Pune"/>
    <x v="2"/>
    <x v="0"/>
    <s v="Monitor"/>
    <n v="6"/>
    <n v="12000"/>
    <n v="10"/>
    <n v="64800"/>
    <n v="5"/>
    <s v="UPI"/>
    <s v="Karan"/>
    <s v="mohit.verma@company.com"/>
    <n v="9687923860"/>
    <s v="Completed"/>
    <s v="Gold"/>
    <s v="Mohit Verma"/>
    <s v="Moh009Pu"/>
    <s v="mohit.verma@company.com"/>
    <s v=""/>
    <s v=""/>
    <s v="Delayed"/>
  </r>
  <r>
    <x v="129"/>
    <s v="C009"/>
    <s v="P202"/>
    <x v="103"/>
    <s v="18/04/2025"/>
    <s v="Mohit Verma"/>
    <s v="Male"/>
    <d v="1994-07-04T00:00:00"/>
    <s v="Hyderabad"/>
    <x v="0"/>
    <x v="1"/>
    <s v="Iron"/>
    <n v="6"/>
    <n v="2200"/>
    <n v="5"/>
    <n v="12540"/>
    <n v="4"/>
    <s v="Cash"/>
    <s v="Rahul"/>
    <s v="mohit.verma@company.com"/>
    <n v="9426459149"/>
    <s v="Completed"/>
    <s v="Silver"/>
    <s v="Mohit Verma"/>
    <s v="Moh009Hy"/>
    <s v="mohit.verma@company.com"/>
    <s v=""/>
    <s v=""/>
    <s v="Delayed"/>
  </r>
  <r>
    <x v="130"/>
    <s v="C010"/>
    <s v="P201"/>
    <x v="55"/>
    <s v="27/06/2025"/>
    <s v="pooja shah"/>
    <s v="Female"/>
    <d v="2003-02-10T00:00:00"/>
    <s v="Delhi"/>
    <x v="1"/>
    <x v="1"/>
    <s v="Mixer"/>
    <n v="3"/>
    <n v="3500"/>
    <n v="5"/>
    <n v="9975"/>
    <n v="4"/>
    <s v="NetBanking"/>
    <s v="Rahul"/>
    <s v="pooja.shah@company.com"/>
    <n v="9155925975"/>
    <s v="Pending"/>
    <s v=""/>
    <s v="Pooja Shah"/>
    <s v="Poo010De"/>
    <s v="pooja.shah@company.com"/>
    <n v="32"/>
    <n v="12"/>
    <s v="Delayed"/>
  </r>
  <r>
    <x v="131"/>
    <s v="C009"/>
    <s v="P203"/>
    <x v="119"/>
    <d v="2025-10-06T00:00:00"/>
    <s v="Mohit Verma"/>
    <s v="Male"/>
    <s v="14/07/1997"/>
    <s v="Hyderabad"/>
    <x v="0"/>
    <x v="1"/>
    <s v="Microwave"/>
    <n v="5"/>
    <n v="8500"/>
    <n v="20"/>
    <n v="34000"/>
    <n v="5"/>
    <s v="Cash"/>
    <s v="Aisha"/>
    <s v="mohit.verma@company.com"/>
    <n v="9945247701"/>
    <s v="Pending"/>
    <s v=""/>
    <s v="Mohit Verma"/>
    <s v="Moh009Hy"/>
    <s v="mohit.verma@company.com"/>
    <n v="23"/>
    <s v=""/>
    <s v="Delayed"/>
  </r>
  <r>
    <x v="132"/>
    <s v="C008"/>
    <s v="P201"/>
    <x v="120"/>
    <d v="2025-01-08T00:00:00"/>
    <s v="Kavya Nair"/>
    <s v="Female"/>
    <d v="1979-09-08T00:00:00"/>
    <s v="Bengaluru"/>
    <x v="0"/>
    <x v="1"/>
    <s v="Mixer"/>
    <n v="14"/>
    <n v="3500"/>
    <n v="10"/>
    <n v="44100"/>
    <n v="4"/>
    <s v="UPI"/>
    <s v="Ritika"/>
    <s v="KAvya.nair@company.com"/>
    <n v="9597378398"/>
    <s v="Cancelled"/>
    <s v="Blacklisted"/>
    <s v="Kavya Nair"/>
    <s v="Kav008Be"/>
    <s v="kavya.nair@company.com"/>
    <s v=""/>
    <s v=""/>
    <s v="Delayed"/>
  </r>
  <r>
    <x v="133"/>
    <s v="C001"/>
    <s v="P303"/>
    <x v="121"/>
    <s v="21/01/2025"/>
    <s v="Amit Sharma"/>
    <s v="Male"/>
    <s v="20/10/2002"/>
    <s v="Ahmedabad"/>
    <x v="2"/>
    <x v="2"/>
    <s v="Marker"/>
    <n v="8"/>
    <n v="45"/>
    <n v="0"/>
    <n v="360"/>
    <n v="1"/>
    <s v="Card"/>
    <s v="Karan"/>
    <s v="amit.sharma@company.com"/>
    <n v="9343963736"/>
    <s v="Cancelled"/>
    <s v="Blacklisted"/>
    <s v="Amit Sharma"/>
    <s v="Ami001Ah"/>
    <s v="amit.sharma@company.com"/>
    <n v="47"/>
    <n v="5"/>
    <s v="On time"/>
  </r>
  <r>
    <x v="134"/>
    <s v="C005"/>
    <s v="P303"/>
    <x v="122"/>
    <d v="2025-05-02T00:00:00"/>
    <s v="Vikas Mehta"/>
    <s v="Male"/>
    <s v="24/07/1985"/>
    <s v="Delhi"/>
    <x v="1"/>
    <x v="2"/>
    <s v="Marker"/>
    <n v="11"/>
    <n v="45"/>
    <n v="5"/>
    <n v="470.25"/>
    <n v="3"/>
    <s v="Card"/>
    <s v="Rahul"/>
    <s v="vikas.mehta@company.com"/>
    <n v="9548742147"/>
    <s v="Completed"/>
    <s v="Silver"/>
    <s v="Vikas Mehta"/>
    <s v="Vik005De"/>
    <s v="vikas.mehta@company.com"/>
    <s v=""/>
    <s v=""/>
    <s v="Delayed"/>
  </r>
  <r>
    <x v="135"/>
    <s v="C007"/>
    <s v="P101"/>
    <x v="123"/>
    <s v="30/01/2025"/>
    <s v="arjun Rao"/>
    <s v="Male"/>
    <s v="23/08/1988"/>
    <s v="Ahmedabad"/>
    <x v="2"/>
    <x v="0"/>
    <s v="Laptop"/>
    <n v="19"/>
    <n v="55000"/>
    <n v="0"/>
    <n v="1045000"/>
    <n v="2"/>
    <s v="Card"/>
    <s v="Ritika"/>
    <s v="arjun.rao@company.com"/>
    <n v="9912945471"/>
    <s v="Cancelled"/>
    <s v="Blacklisted"/>
    <s v="Arjun Rao"/>
    <s v="Arj007Ah"/>
    <s v="arjun.rao@company.com"/>
    <s v=""/>
    <n v="8"/>
    <s v="Delayed"/>
  </r>
  <r>
    <x v="136"/>
    <s v="C010"/>
    <s v="P201"/>
    <x v="124"/>
    <s v="18/04/2025"/>
    <s v="pooja shah"/>
    <s v="Female"/>
    <d v="1979-09-01T00:00:00"/>
    <s v="Pune"/>
    <x v="2"/>
    <x v="1"/>
    <s v="Mixer"/>
    <n v="20"/>
    <n v="3500"/>
    <n v="20"/>
    <n v="56000"/>
    <n v="4"/>
    <s v="NetBanking"/>
    <s v="Rahul"/>
    <s v="pooja.shah@company.com"/>
    <n v="9912630684"/>
    <s v="Completed"/>
    <s v="Gold"/>
    <s v="Pooja Shah"/>
    <s v="Poo010Pu"/>
    <s v="pooja.shah@company.com"/>
    <s v=""/>
    <s v=""/>
    <s v="Delayed"/>
  </r>
  <r>
    <x v="137"/>
    <s v="C007"/>
    <s v="P202"/>
    <x v="125"/>
    <s v="14/07/2025"/>
    <s v="arjun Rao"/>
    <s v="Male"/>
    <s v="25/08/1986"/>
    <s v="Pune"/>
    <x v="2"/>
    <x v="1"/>
    <s v="Iron"/>
    <n v="17"/>
    <n v="2200"/>
    <n v="0"/>
    <n v="37400"/>
    <n v="5"/>
    <s v="NetBanking"/>
    <s v="Ritika"/>
    <s v="arjun.rao@company.com"/>
    <n v="9114017237"/>
    <s v="Pending"/>
    <s v=""/>
    <s v="Arjun Rao"/>
    <s v="Arj007Pu"/>
    <s v="arjun.rao@company.com"/>
    <n v="47"/>
    <s v=""/>
    <s v="Delayed"/>
  </r>
  <r>
    <x v="138"/>
    <s v="C007"/>
    <s v="P103"/>
    <x v="123"/>
    <s v="29/01/2025"/>
    <s v="arjun Rao"/>
    <s v="Male"/>
    <d v="1977-01-04T00:00:00"/>
    <s v="Pune"/>
    <x v="2"/>
    <x v="0"/>
    <s v="Keyboard"/>
    <n v="10"/>
    <n v="1200"/>
    <n v="5"/>
    <n v="11400"/>
    <n v="2"/>
    <s v="Cash"/>
    <s v="Rahul"/>
    <s v="arjun.rao@company.com"/>
    <n v="9872471236"/>
    <s v="Cancelled"/>
    <s v="Blacklisted"/>
    <s v="Arjun Rao"/>
    <s v="Arj007Pu"/>
    <s v="arjun.rao@company.com"/>
    <s v=""/>
    <n v="7"/>
    <s v="Delayed"/>
  </r>
  <r>
    <x v="139"/>
    <s v="C005"/>
    <s v="P301"/>
    <x v="126"/>
    <s v="18/12/2025"/>
    <s v="Vikas Mehta"/>
    <s v="Male"/>
    <d v="1983-04-08T00:00:00"/>
    <s v="Hyderabad"/>
    <x v="0"/>
    <x v="2"/>
    <s v="Notebook"/>
    <n v="3"/>
    <n v="60"/>
    <n v="0"/>
    <n v="180"/>
    <n v="4"/>
    <s v="NetBanking"/>
    <s v="Karan"/>
    <s v="vikas.mehta@company.com"/>
    <n v="9461383824"/>
    <s v="Completed"/>
    <s v="Silver"/>
    <s v="Vikas Mehta"/>
    <s v="Vik005Hy"/>
    <s v="vikas.mehta@company.com"/>
    <n v="49"/>
    <n v="1"/>
    <s v="On time"/>
  </r>
  <r>
    <x v="140"/>
    <s v="C010"/>
    <s v="P202"/>
    <x v="127"/>
    <s v="21/10/2025"/>
    <s v="pooja shah"/>
    <s v="Female"/>
    <d v="1978-07-04T00:00:00"/>
    <s v="Mumbai"/>
    <x v="2"/>
    <x v="1"/>
    <s v="Iron"/>
    <n v="18"/>
    <n v="2200"/>
    <n v="10"/>
    <n v="35640"/>
    <n v="1"/>
    <s v="Card"/>
    <s v="Karan"/>
    <s v="pooja.shah@company.com"/>
    <n v="9243407457"/>
    <s v="Cancelled"/>
    <s v="Blacklisted"/>
    <s v="Pooja Shah"/>
    <s v="Poo010Mu"/>
    <s v="pooja.shah@company.com"/>
    <n v="43"/>
    <s v=""/>
    <s v="Delayed"/>
  </r>
  <r>
    <x v="141"/>
    <s v="C009"/>
    <s v="P301"/>
    <x v="128"/>
    <d v="2026-10-03T00:00:00"/>
    <s v="Mohit Verma"/>
    <s v="Male"/>
    <d v="1983-04-03T00:00:00"/>
    <s v="Delhi"/>
    <x v="1"/>
    <x v="2"/>
    <s v="Notebook"/>
    <n v="18"/>
    <n v="60"/>
    <n v="5"/>
    <n v="1026"/>
    <n v="3"/>
    <s v="Card"/>
    <s v="Rahul"/>
    <s v="mohit.verma@company.com"/>
    <n v="9418672379"/>
    <s v="Pending"/>
    <s v=""/>
    <s v="Mohit Verma"/>
    <s v="Moh009De"/>
    <s v="mohit.verma@company.com"/>
    <n v="48"/>
    <s v=""/>
    <s v="Delayed"/>
  </r>
  <r>
    <x v="142"/>
    <s v="C003"/>
    <s v="P101"/>
    <x v="57"/>
    <s v="23/08/2025"/>
    <s v="Rohit Singh"/>
    <s v="Male"/>
    <s v="27/10/1987"/>
    <s v="Pune"/>
    <x v="2"/>
    <x v="0"/>
    <s v="Laptop"/>
    <n v="11"/>
    <n v="55000"/>
    <n v="15"/>
    <n v="514250"/>
    <n v="4"/>
    <s v="UPI"/>
    <s v="Neha"/>
    <s v="rohit.singh@company.com"/>
    <n v="9222733065"/>
    <s v="Cancelled"/>
    <s v="Blacklisted"/>
    <s v="Rohit Singh"/>
    <s v="Roh003Pu"/>
    <s v="rohit.singh@company.com"/>
    <n v="43"/>
    <n v="7"/>
    <s v="Delayed"/>
  </r>
  <r>
    <x v="143"/>
    <s v="C006"/>
    <s v="P203"/>
    <x v="129"/>
    <d v="2026-03-01T00:00:00"/>
    <s v="Sneha Joshi"/>
    <s v="Female"/>
    <s v="19/04/2003"/>
    <s v="Kolkata"/>
    <x v="3"/>
    <x v="1"/>
    <s v="Microwave"/>
    <n v="5"/>
    <n v="8500"/>
    <n v="5"/>
    <n v="40375"/>
    <n v="4"/>
    <s v="Cash"/>
    <s v="Karan"/>
    <s v="sneha.joshi@company.com"/>
    <n v="9684246902"/>
    <s v="Completed"/>
    <s v="Silver"/>
    <s v="Sneha Joshi"/>
    <s v="Sne006Ko"/>
    <s v="sneha.joshi@company.com"/>
    <s v=""/>
    <s v=""/>
    <s v="Delayed"/>
  </r>
  <r>
    <x v="15"/>
    <s v="C002"/>
    <s v="P102"/>
    <x v="28"/>
    <s v="19/09/2025"/>
    <s v="Priya Patel"/>
    <s v="Female"/>
    <s v="14/02/2002"/>
    <s v="Jaipur"/>
    <x v="1"/>
    <x v="0"/>
    <s v="Mouse"/>
    <n v="16"/>
    <n v="700"/>
    <n v="15"/>
    <n v="9520"/>
    <n v="4"/>
    <s v="Card"/>
    <s v="Aisha"/>
    <s v="priYa.patel@company.com"/>
    <n v="9989580228"/>
    <s v="Completed"/>
    <s v="Silver"/>
    <s v="Priya Patel"/>
    <s v="Pri002Ja"/>
    <s v="priya.patel@company.com"/>
    <s v=""/>
    <s v=""/>
    <s v="Delayed"/>
  </r>
  <r>
    <x v="144"/>
    <s v="C003"/>
    <s v="P102"/>
    <x v="130"/>
    <s v="13/07/2025"/>
    <s v="Rohit Singh"/>
    <s v="Male"/>
    <d v="1975-05-07T00:00:00"/>
    <s v="Pune"/>
    <x v="2"/>
    <x v="0"/>
    <s v="Mouse"/>
    <n v="6"/>
    <n v="700"/>
    <n v="10"/>
    <n v="3780"/>
    <n v="4"/>
    <s v="Cash"/>
    <s v="Rahul"/>
    <s v="rohit.singh@company.com"/>
    <n v="9110269572"/>
    <s v="Cancelled"/>
    <s v="Blacklisted"/>
    <s v="Rohit Singh"/>
    <s v="Roh003Pu"/>
    <s v="rohit.singh@company.com"/>
    <s v=""/>
    <s v=""/>
    <s v="Delayed"/>
  </r>
  <r>
    <x v="145"/>
    <s v="C010"/>
    <s v="P201"/>
    <x v="131"/>
    <s v="15/05/2026"/>
    <s v="pooja shah"/>
    <s v="Female"/>
    <d v="1992-05-03T00:00:00"/>
    <s v="Delhi"/>
    <x v="1"/>
    <x v="1"/>
    <s v="Mixer"/>
    <n v="20"/>
    <n v="3500"/>
    <n v="10"/>
    <n v="63000"/>
    <n v="4"/>
    <s v="UPI"/>
    <s v="Rahul"/>
    <s v="pooja.shah@company.com"/>
    <n v="9745972422"/>
    <s v="Pending"/>
    <s v=""/>
    <s v="Pooja Shah"/>
    <s v="Poo010De"/>
    <s v="pooja.shah@company.com"/>
    <n v="51"/>
    <s v=""/>
    <s v="Delayed"/>
  </r>
  <r>
    <x v="146"/>
    <s v="C008"/>
    <s v="P302"/>
    <x v="132"/>
    <d v="2025-07-12T00:00:00"/>
    <s v="Kavya Nair"/>
    <s v="Female"/>
    <d v="1998-03-06T00:00:00"/>
    <s v="Bengaluru"/>
    <x v="0"/>
    <x v="2"/>
    <s v="Pen"/>
    <n v="2"/>
    <n v="20"/>
    <n v="10"/>
    <n v="36"/>
    <n v="1"/>
    <s v="NetBanking"/>
    <s v="Neha"/>
    <s v="KAvya.nair@company.com"/>
    <n v="9123712257"/>
    <s v="Pending"/>
    <s v="Blacklisted"/>
    <s v="Kavya Nair"/>
    <s v="Kav008Be"/>
    <s v="kavya.nair@company.com"/>
    <n v="34"/>
    <s v=""/>
    <s v="Delayed"/>
  </r>
  <r>
    <x v="147"/>
    <s v="C002"/>
    <s v="P202"/>
    <x v="133"/>
    <s v="19/07/2025"/>
    <s v="Priya Patel"/>
    <s v="Female"/>
    <s v="28/09/1996"/>
    <s v="Pune"/>
    <x v="2"/>
    <x v="1"/>
    <s v="Iron"/>
    <n v="16"/>
    <n v="2200"/>
    <n v="20"/>
    <n v="28160"/>
    <n v="2"/>
    <s v="UPI"/>
    <s v="Karan"/>
    <s v="priYa.patel@company.com"/>
    <n v="9665525431"/>
    <s v="Pending"/>
    <s v="Blacklisted"/>
    <s v="Priya Patel"/>
    <s v="Pri002Pu"/>
    <s v="priya.patel@company.com"/>
    <n v="28"/>
    <n v="5"/>
    <s v="On time"/>
  </r>
  <r>
    <x v="148"/>
    <s v="C005"/>
    <s v="P104"/>
    <x v="134"/>
    <s v="23/03/2025"/>
    <s v="Vikas Mehta"/>
    <s v="Male"/>
    <s v="15/12/1995"/>
    <s v="Pune"/>
    <x v="2"/>
    <x v="0"/>
    <s v="Monitor"/>
    <n v="15"/>
    <n v="12000"/>
    <n v="0"/>
    <n v="180000"/>
    <n v="1"/>
    <s v="Card"/>
    <s v="Aisha"/>
    <s v="vikas.mehta@company.com"/>
    <n v="9682415134"/>
    <s v="Pending"/>
    <s v="Blacklisted"/>
    <s v="Vikas Mehta"/>
    <s v="Vik005Pu"/>
    <s v="vikas.mehta@company.com"/>
    <s v=""/>
    <n v="10"/>
    <s v="Delayed"/>
  </r>
  <r>
    <x v="149"/>
    <s v="C008"/>
    <s v="P301"/>
    <x v="135"/>
    <s v="23/07/2025"/>
    <s v="Kavya Nair"/>
    <s v="Female"/>
    <s v="24/07/1976"/>
    <s v="Delhi"/>
    <x v="1"/>
    <x v="2"/>
    <s v="Notebook"/>
    <n v="14"/>
    <n v="60"/>
    <n v="15"/>
    <n v="714"/>
    <n v="4"/>
    <s v="UPI"/>
    <s v="Rahul"/>
    <s v="KAvya.nair@company.com"/>
    <n v="9808223872"/>
    <s v="Completed"/>
    <s v="Silver"/>
    <s v="Kavya Nair"/>
    <s v="Kav008De"/>
    <s v="kavya.nair@company.com"/>
    <s v=""/>
    <n v="1"/>
    <s v="On time"/>
  </r>
  <r>
    <x v="150"/>
    <s v="C010"/>
    <s v="P103"/>
    <x v="136"/>
    <s v="24/07/2025"/>
    <s v="pooja shah"/>
    <s v="Female"/>
    <s v="22/06/1984"/>
    <s v="Hyderabad"/>
    <x v="0"/>
    <x v="0"/>
    <s v="Keyboard"/>
    <n v="9"/>
    <n v="1200"/>
    <n v="5"/>
    <n v="10260"/>
    <n v="5"/>
    <s v="NetBanking"/>
    <s v="Aisha"/>
    <s v="pooja.shah@company.com"/>
    <n v="9193549730"/>
    <s v="Pending"/>
    <s v=""/>
    <s v="Pooja Shah"/>
    <s v="Poo010Hy"/>
    <s v="pooja.shah@company.com"/>
    <s v=""/>
    <n v="3"/>
    <s v="On time"/>
  </r>
  <r>
    <x v="151"/>
    <s v="C005"/>
    <s v="P103"/>
    <x v="137"/>
    <s v="29/07/2025"/>
    <s v="Vikas Mehta"/>
    <s v="Male"/>
    <d v="1998-06-08T00:00:00"/>
    <s v="Kolkata"/>
    <x v="3"/>
    <x v="0"/>
    <s v="Keyboard"/>
    <n v="3"/>
    <n v="1200"/>
    <n v="10"/>
    <n v="3240"/>
    <n v="2"/>
    <s v="Card"/>
    <s v="Karan"/>
    <s v="vikas.mehta@company.com"/>
    <n v="9520617130"/>
    <s v="Cancelled"/>
    <s v="Blacklisted"/>
    <s v="Vikas Mehta"/>
    <s v="Vik005Ko"/>
    <s v="vikas.mehta@company.com"/>
    <s v=""/>
    <n v="10"/>
    <s v="Delayed"/>
  </r>
  <r>
    <x v="152"/>
    <s v="C001"/>
    <s v="P301"/>
    <x v="81"/>
    <d v="2025-12-04T00:00:00"/>
    <s v="Amit Sharma"/>
    <s v="Male"/>
    <s v="18/06/2001"/>
    <s v="Hyderabad"/>
    <x v="0"/>
    <x v="2"/>
    <s v="Notebook"/>
    <n v="2"/>
    <n v="60"/>
    <n v="10"/>
    <n v="108"/>
    <n v="2"/>
    <s v="UPI"/>
    <s v="Aisha"/>
    <s v="amit.sharma@company.com"/>
    <n v="9264578122"/>
    <s v="Completed"/>
    <s v="Blacklisted"/>
    <s v="Amit Sharma"/>
    <s v="Ami001Hy"/>
    <s v="amit.sharma@company.com"/>
    <n v="28"/>
    <s v=""/>
    <s v="Delayed"/>
  </r>
  <r>
    <x v="153"/>
    <s v="C009"/>
    <s v="P201"/>
    <x v="58"/>
    <s v="23/05/2026"/>
    <s v="Mohit Verma"/>
    <s v="Male"/>
    <d v="1999-11-09T00:00:00"/>
    <s v="Delhi"/>
    <x v="1"/>
    <x v="1"/>
    <s v="Mixer"/>
    <n v="9"/>
    <n v="3500"/>
    <n v="20"/>
    <n v="25200"/>
    <n v="1"/>
    <s v="NetBanking"/>
    <s v="Ritika"/>
    <s v="mohit.verma@company.com"/>
    <n v="9275071213"/>
    <s v="Completed"/>
    <s v="Blacklisted"/>
    <s v="Mohit Verma"/>
    <s v="Moh009De"/>
    <s v="mohit.verma@company.com"/>
    <s v=""/>
    <n v="10"/>
    <s v="Delayed"/>
  </r>
  <r>
    <x v="154"/>
    <s v="C005"/>
    <s v="P101"/>
    <x v="27"/>
    <s v="16/03/2026"/>
    <s v="Vikas Mehta"/>
    <s v="Male"/>
    <d v="1995-07-12T00:00:00"/>
    <s v="Jaipur"/>
    <x v="1"/>
    <x v="0"/>
    <s v="Laptop"/>
    <n v="4"/>
    <n v="55000"/>
    <n v="5"/>
    <n v="209000"/>
    <n v="2"/>
    <s v="Cash"/>
    <s v="Karan"/>
    <s v="vikas.mehta@company.com"/>
    <n v="9715222543"/>
    <s v="Pending"/>
    <s v="Blacklisted"/>
    <s v="Vikas Mehta"/>
    <s v="Vik005Ja"/>
    <s v="vikas.mehta@company.com"/>
    <n v="26"/>
    <n v="3"/>
    <s v="On time"/>
  </r>
  <r>
    <x v="155"/>
    <s v="C001"/>
    <s v="P102"/>
    <x v="71"/>
    <d v="2025-01-07T00:00:00"/>
    <s v="Amit Sharma"/>
    <s v="Male"/>
    <s v="22/07/1999"/>
    <s v="Delhi"/>
    <x v="1"/>
    <x v="0"/>
    <s v="Mouse"/>
    <n v="11"/>
    <n v="700"/>
    <n v="20"/>
    <n v="6160"/>
    <n v="4"/>
    <s v="Cash"/>
    <s v="Karan"/>
    <s v="amit.sharma@company.com"/>
    <n v="9942010833"/>
    <s v="Cancelled"/>
    <s v="Blacklisted"/>
    <s v="Amit Sharma"/>
    <s v="Ami001De"/>
    <s v="amit.sharma@company.com"/>
    <n v="31"/>
    <s v=""/>
    <s v="Delayed"/>
  </r>
  <r>
    <x v="156"/>
    <s v="C004"/>
    <s v="P103"/>
    <x v="34"/>
    <s v="29/11/2025"/>
    <s v="Anita Gupta"/>
    <s v="Female"/>
    <s v="14/11/2000"/>
    <s v="Kolkata"/>
    <x v="3"/>
    <x v="0"/>
    <s v="Keyboard"/>
    <n v="16"/>
    <n v="1200"/>
    <n v="5"/>
    <n v="18240"/>
    <n v="1"/>
    <s v="Card"/>
    <s v="Ritika"/>
    <s v="anita.gupta@company.com"/>
    <n v="9347718932"/>
    <s v="Pending"/>
    <s v="Blacklisted"/>
    <s v="Anita Gupta"/>
    <s v="Ani004Ko"/>
    <s v="anita.gupta@company.com"/>
    <s v=""/>
    <n v="10"/>
    <s v="Delayed"/>
  </r>
  <r>
    <x v="157"/>
    <s v="C004"/>
    <s v="P103"/>
    <x v="83"/>
    <s v="17/09/2025"/>
    <s v="Anita Gupta"/>
    <s v="Female"/>
    <s v="24/07/2002"/>
    <s v="Pune"/>
    <x v="2"/>
    <x v="0"/>
    <s v="Keyboard"/>
    <n v="1"/>
    <n v="1200"/>
    <n v="5"/>
    <n v="1140"/>
    <n v="4"/>
    <s v="Card"/>
    <s v="Ritika"/>
    <s v="anita.gupta@company.com"/>
    <n v="9274808844"/>
    <s v="Completed"/>
    <s v="Silver"/>
    <s v="Anita Gupta"/>
    <s v="Ani004Pu"/>
    <s v="anita.gupta@company.com"/>
    <s v=""/>
    <n v="2"/>
    <s v="On time"/>
  </r>
  <r>
    <x v="158"/>
    <s v="C001"/>
    <s v="P301"/>
    <x v="138"/>
    <s v="13/11/2025"/>
    <s v="Amit Sharma"/>
    <s v="Male"/>
    <s v="25/02/2002"/>
    <s v="Jaipur"/>
    <x v="1"/>
    <x v="2"/>
    <s v="Notebook"/>
    <n v="7"/>
    <n v="60"/>
    <n v="0"/>
    <n v="420"/>
    <n v="2"/>
    <s v="UPI"/>
    <s v="Karan"/>
    <s v="amit.sharma@company.com"/>
    <n v="9798996063"/>
    <s v="Completed"/>
    <s v="Blacklisted"/>
    <s v="Amit Sharma"/>
    <s v="Ami001Ja"/>
    <s v="amit.sharma@company.com"/>
    <s v=""/>
    <s v=""/>
    <s v="Delayed"/>
  </r>
  <r>
    <x v="159"/>
    <s v="C004"/>
    <s v="P202"/>
    <x v="21"/>
    <d v="2025-07-01T00:00:00"/>
    <s v="Anita Gupta"/>
    <s v="Female"/>
    <s v="16/07/1980"/>
    <s v="Pune"/>
    <x v="2"/>
    <x v="1"/>
    <s v="Iron"/>
    <n v="14"/>
    <n v="2200"/>
    <n v="0"/>
    <n v="30800"/>
    <n v="2"/>
    <s v="UPI"/>
    <s v="Ritika"/>
    <s v="anita.gupta@company.com"/>
    <n v="9145200936"/>
    <s v="Cancelled"/>
    <s v="Blacklisted"/>
    <s v="Anita Gupta"/>
    <s v="Ani004Pu"/>
    <s v="anita.gupta@company.com"/>
    <s v=""/>
    <s v=""/>
    <s v="Delayed"/>
  </r>
  <r>
    <x v="160"/>
    <s v="C004"/>
    <s v="P201"/>
    <x v="139"/>
    <s v="27/06/2025"/>
    <s v="Anita Gupta"/>
    <s v="Female"/>
    <s v="25/05/1996"/>
    <s v="Ahmedabad"/>
    <x v="2"/>
    <x v="1"/>
    <s v="Mixer"/>
    <n v="15"/>
    <n v="3500"/>
    <n v="15"/>
    <n v="44625"/>
    <n v="2"/>
    <s v="UPI"/>
    <s v="Aisha"/>
    <s v="anita.gupta@company.com"/>
    <n v="9697654418"/>
    <s v="Pending"/>
    <s v="Blacklisted"/>
    <s v="Anita Gupta"/>
    <s v="Ani004Ah"/>
    <s v="anita.gupta@company.com"/>
    <s v=""/>
    <n v="8"/>
    <s v="Delayed"/>
  </r>
  <r>
    <x v="161"/>
    <s v="C003"/>
    <s v="P201"/>
    <x v="140"/>
    <d v="2025-06-04T00:00:00"/>
    <s v="Rohit Singh"/>
    <s v="Male"/>
    <d v="1986-11-05T00:00:00"/>
    <s v="Kolkata"/>
    <x v="3"/>
    <x v="1"/>
    <s v="Mixer"/>
    <n v="19"/>
    <n v="3500"/>
    <n v="5"/>
    <n v="63175"/>
    <n v="2"/>
    <s v="Cash"/>
    <s v="Neha"/>
    <s v="rohit.singh@company.com"/>
    <n v="9457923119"/>
    <s v="Cancelled"/>
    <s v="Blacklisted"/>
    <s v="Rohit Singh"/>
    <s v="Roh003Ko"/>
    <s v="rohit.singh@company.com"/>
    <s v=""/>
    <s v=""/>
    <s v="Delayed"/>
  </r>
  <r>
    <x v="162"/>
    <s v="C001"/>
    <s v="P101"/>
    <x v="141"/>
    <d v="2025-10-07T00:00:00"/>
    <s v="Amit Sharma"/>
    <s v="Male"/>
    <s v="25/05/1989"/>
    <s v="Bengaluru"/>
    <x v="0"/>
    <x v="0"/>
    <s v="Laptop"/>
    <n v="12"/>
    <n v="55000"/>
    <n v="5"/>
    <n v="627000"/>
    <n v="4"/>
    <s v="Card"/>
    <s v="Aisha"/>
    <s v="amit.sharma@company.com"/>
    <n v="9236111271"/>
    <s v="Cancelled"/>
    <s v="Blacklisted"/>
    <s v="Amit Sharma"/>
    <s v="Ami001Be"/>
    <s v="amit.sharma@company.com"/>
    <n v="39"/>
    <s v=""/>
    <s v="Delayed"/>
  </r>
  <r>
    <x v="163"/>
    <s v="C010"/>
    <s v="P103"/>
    <x v="91"/>
    <s v="26/01/2026"/>
    <s v="pooja shah"/>
    <s v="Female"/>
    <s v="25/08/1989"/>
    <s v="Mumbai"/>
    <x v="2"/>
    <x v="0"/>
    <s v="Keyboard"/>
    <n v="6"/>
    <n v="1200"/>
    <n v="10"/>
    <n v="6480"/>
    <n v="5"/>
    <s v="NetBanking"/>
    <s v="Neha"/>
    <s v="pooja.shah@company.com"/>
    <n v="9402569141"/>
    <s v="Cancelled"/>
    <s v="Blacklisted"/>
    <s v="Pooja Shah"/>
    <s v="Poo010Mu"/>
    <s v="pooja.shah@company.com"/>
    <s v=""/>
    <n v="8"/>
    <s v="Delayed"/>
  </r>
  <r>
    <x v="164"/>
    <s v="C006"/>
    <s v="P203"/>
    <x v="10"/>
    <s v="20/09/2025"/>
    <s v="Sneha Joshi"/>
    <s v="Female"/>
    <s v="20/05/1997"/>
    <s v="Hyderabad"/>
    <x v="0"/>
    <x v="1"/>
    <s v="Microwave"/>
    <n v="1"/>
    <n v="8500"/>
    <n v="0"/>
    <n v="8500"/>
    <n v="1"/>
    <s v="UPI"/>
    <s v="Karan"/>
    <s v="sneha.joshi@company.com"/>
    <n v="9138184056"/>
    <s v="Cancelled"/>
    <s v="Blacklisted"/>
    <s v="Sneha Joshi"/>
    <s v="Sne006Hy"/>
    <s v="sneha.joshi@company.com"/>
    <s v=""/>
    <n v="1"/>
    <s v="On time"/>
  </r>
  <r>
    <x v="165"/>
    <s v="C003"/>
    <s v="P101"/>
    <x v="142"/>
    <d v="2026-07-04T00:00:00"/>
    <s v="Rohit Singh"/>
    <s v="Male"/>
    <d v="1987-03-05T00:00:00"/>
    <s v="Ahmedabad"/>
    <x v="2"/>
    <x v="0"/>
    <s v="Laptop"/>
    <n v="20"/>
    <n v="55000"/>
    <n v="10"/>
    <n v="990000"/>
    <n v="5"/>
    <s v="NetBanking"/>
    <s v="Karan"/>
    <s v="rohit.singh@company.com"/>
    <n v="9609598700"/>
    <s v="Completed"/>
    <s v="Gold"/>
    <s v="Rohit Singh"/>
    <s v="Roh003Ah"/>
    <s v="rohit.singh@company.com"/>
    <s v=""/>
    <s v=""/>
    <s v="Delayed"/>
  </r>
  <r>
    <x v="166"/>
    <s v="C005"/>
    <s v="P103"/>
    <x v="143"/>
    <s v="29/10/2025"/>
    <s v="Vikas Mehta"/>
    <s v="Male"/>
    <d v="2002-02-12T00:00:00"/>
    <s v="Ahmedabad"/>
    <x v="2"/>
    <x v="0"/>
    <s v="Keyboard"/>
    <n v="8"/>
    <n v="1200"/>
    <n v="15"/>
    <n v="8160"/>
    <n v="2"/>
    <s v="UPI"/>
    <s v="Neha"/>
    <s v="vikas.mehta@company.com"/>
    <n v="9385894399"/>
    <s v="Cancelled"/>
    <s v="Blacklisted"/>
    <s v="Vikas Mehta"/>
    <s v="Vik005Ah"/>
    <s v="vikas.mehta@company.com"/>
    <n v="39"/>
    <n v="1"/>
    <s v="On time"/>
  </r>
  <r>
    <x v="167"/>
    <s v="C008"/>
    <s v="P201"/>
    <x v="144"/>
    <s v="17/02/2025"/>
    <s v="Kavya Nair"/>
    <s v="Female"/>
    <s v="25/05/1986"/>
    <s v="Jaipur"/>
    <x v="1"/>
    <x v="1"/>
    <s v="Mixer"/>
    <n v="19"/>
    <n v="3500"/>
    <n v="5"/>
    <n v="63175"/>
    <n v="4"/>
    <s v="UPI"/>
    <s v="Rahul"/>
    <s v="KAvya.nair@company.com"/>
    <n v="9329448011"/>
    <s v="Pending"/>
    <s v=""/>
    <s v="Kavya Nair"/>
    <s v="Kav008Ja"/>
    <s v="kavya.nair@company.com"/>
    <n v="24"/>
    <s v=""/>
    <s v="Delayed"/>
  </r>
  <r>
    <x v="168"/>
    <s v="C005"/>
    <s v="P303"/>
    <x v="2"/>
    <s v="29/04/2025"/>
    <s v="Vikas Mehta"/>
    <s v="Male"/>
    <s v="22/02/1986"/>
    <s v="Jaipur"/>
    <x v="1"/>
    <x v="2"/>
    <s v="Marker"/>
    <n v="6"/>
    <n v="45"/>
    <n v="20"/>
    <n v="216"/>
    <n v="1"/>
    <s v="Card"/>
    <s v="Rahul"/>
    <s v="vikas.mehtacompany.com"/>
    <n v="9889544104"/>
    <s v="Pending"/>
    <s v="Blacklisted"/>
    <s v="Vikas Mehta"/>
    <s v="Vik005Ja"/>
    <s v="invalid email"/>
    <s v=""/>
    <n v="2"/>
    <s v="On time"/>
  </r>
  <r>
    <x v="169"/>
    <s v="C006"/>
    <s v="P303"/>
    <x v="145"/>
    <s v="25/03/2025"/>
    <s v="Sneha Joshi"/>
    <s v="Female"/>
    <d v="1988-07-04T00:00:00"/>
    <s v="Pune"/>
    <x v="2"/>
    <x v="2"/>
    <s v="Marker"/>
    <n v="17"/>
    <n v="45"/>
    <n v="15"/>
    <n v="650.25"/>
    <n v="5"/>
    <s v="Cash"/>
    <s v="Neha"/>
    <s v="sneha.joshi@company.com"/>
    <n v="9101861045"/>
    <s v="Pending"/>
    <s v=""/>
    <s v="Sneha Joshi"/>
    <s v="Sne006Pu"/>
    <s v="sneha.joshi@company.com"/>
    <s v=""/>
    <n v="11"/>
    <s v="Delayed"/>
  </r>
  <r>
    <x v="170"/>
    <s v="C008"/>
    <s v="P302"/>
    <x v="125"/>
    <s v="16/07/2025"/>
    <s v="Kavya Nair"/>
    <s v="Female"/>
    <s v="27/06/1993"/>
    <s v="Pune"/>
    <x v="2"/>
    <x v="2"/>
    <s v="Pen"/>
    <n v="19"/>
    <n v="20"/>
    <n v="5"/>
    <n v="361"/>
    <n v="4"/>
    <s v="Cash"/>
    <s v="Ritika"/>
    <s v="KAvya.nair@company.com"/>
    <n v="9364712105"/>
    <s v="Pending"/>
    <s v=""/>
    <s v="Kavya Nair"/>
    <s v="kav008Pu"/>
    <s v="kavya.nair@company.com"/>
    <n v="38"/>
    <s v=""/>
    <s v="Delayed"/>
  </r>
  <r>
    <x v="171"/>
    <s v="C006"/>
    <s v="P302"/>
    <x v="146"/>
    <d v="2025-03-12T00:00:00"/>
    <s v="Sneha Joshi"/>
    <s v="Female"/>
    <s v="18/06/2004"/>
    <s v="Ahmedabad"/>
    <x v="2"/>
    <x v="2"/>
    <s v="Pen"/>
    <n v="11"/>
    <n v="20"/>
    <n v="0"/>
    <n v="220"/>
    <n v="3"/>
    <s v="NetBanking"/>
    <s v="Rahul"/>
    <s v="sneha.joshi@company.com"/>
    <n v="9950206376"/>
    <s v="Completed"/>
    <s v="Silver"/>
    <s v="Sneha Joshi"/>
    <s v="Sne006Ah"/>
    <s v="sneha.joshi@company.com"/>
    <s v=""/>
    <s v=""/>
    <s v="Delayed"/>
  </r>
  <r>
    <x v="172"/>
    <s v="C004"/>
    <s v="P301"/>
    <x v="147"/>
    <s v="21/02/2026"/>
    <s v="Anita Gupta"/>
    <s v="Female"/>
    <d v="1993-09-09T00:00:00"/>
    <s v="Delhi"/>
    <x v="1"/>
    <x v="2"/>
    <s v="Notebook"/>
    <n v="12"/>
    <n v="60"/>
    <n v="0"/>
    <n v="720"/>
    <n v="2"/>
    <s v="NetBanking"/>
    <s v="Rahul"/>
    <s v="anita.gupta@company.com"/>
    <n v="9235822094"/>
    <s v="Completed"/>
    <s v="Blacklisted"/>
    <s v="Anita Gupta"/>
    <s v="Ani004De"/>
    <s v="anita.gupta@company.com"/>
    <s v=""/>
    <n v="7"/>
    <s v="Delayed"/>
  </r>
  <r>
    <x v="173"/>
    <s v="C005"/>
    <s v="P303"/>
    <x v="148"/>
    <s v="13/11/2025"/>
    <s v="Priya Patel"/>
    <s v="Male"/>
    <s v="13/09/2001"/>
    <s v="Kolkata"/>
    <x v="3"/>
    <x v="2"/>
    <s v="Marker"/>
    <n v="14"/>
    <n v="45"/>
    <n v="15"/>
    <n v="535.5"/>
    <n v="5"/>
    <s v="UPI"/>
    <s v="Neha"/>
    <s v="vikas.mehta@company.com"/>
    <n v="9311021344"/>
    <s v="Pending"/>
    <s v=""/>
    <s v="Priya Patel"/>
    <s v="Pri005Ko"/>
    <s v="vikas.mehta@company.com"/>
    <n v="33"/>
    <s v=""/>
    <s v="Delayed"/>
  </r>
  <r>
    <x v="174"/>
    <s v="C008"/>
    <s v="P102"/>
    <x v="149"/>
    <s v="19/02/2025"/>
    <s v="Kavya Nair"/>
    <s v="Female"/>
    <s v="15/11/1981"/>
    <s v="Hyderabad"/>
    <x v="0"/>
    <x v="0"/>
    <s v="Mouse"/>
    <n v="15"/>
    <n v="700"/>
    <n v="10"/>
    <n v="9450"/>
    <n v="3"/>
    <s v="NetBanking"/>
    <s v="Rahul"/>
    <s v="KAvya.nair@company.com"/>
    <n v="9891358505"/>
    <s v="Pending"/>
    <s v=""/>
    <s v="Kavya Nair"/>
    <s v="Kav008Hy"/>
    <s v="kavya.nair@company.com"/>
    <s v=""/>
    <s v=""/>
    <s v="Delayed"/>
  </r>
  <r>
    <x v="175"/>
    <s v="C002"/>
    <s v="P203"/>
    <x v="150"/>
    <s v="30/05/2025"/>
    <s v="Priya Patel"/>
    <s v="Female"/>
    <d v="1980-12-09T00:00:00"/>
    <s v="Ahmedabad"/>
    <x v="2"/>
    <x v="1"/>
    <s v="Microwave"/>
    <n v="19"/>
    <n v="8500"/>
    <n v="15"/>
    <n v="137275"/>
    <n v="2"/>
    <s v="Cash"/>
    <s v="Ritika"/>
    <s v="priYa.patel@company.com"/>
    <n v="9910085332"/>
    <s v="Cancelled"/>
    <s v="Blacklisted"/>
    <s v="Priya Patel"/>
    <s v="Pri002Ah"/>
    <s v="priya.patel@company.com"/>
    <s v=""/>
    <n v="4"/>
    <s v="On time"/>
  </r>
  <r>
    <x v="176"/>
    <s v="C006"/>
    <s v="P301"/>
    <x v="151"/>
    <d v="2025-06-10T00:00:00"/>
    <s v="Sneha Joshi"/>
    <s v="Female"/>
    <d v="1988-07-04T00:00:00"/>
    <s v="Jaipur"/>
    <x v="1"/>
    <x v="2"/>
    <s v="Notebook"/>
    <n v="19"/>
    <n v="60"/>
    <n v="20"/>
    <n v="912"/>
    <n v="4"/>
    <s v="Card"/>
    <s v="Rahul"/>
    <s v="sneha.joshi@company.com"/>
    <n v="9756908023"/>
    <s v="Pending"/>
    <s v=""/>
    <s v="Sneha Joshi"/>
    <s v="Sne006Ja"/>
    <s v="sneha.joshi@company.com"/>
    <n v="45"/>
    <s v=""/>
    <s v="Delayed"/>
  </r>
  <r>
    <x v="177"/>
    <s v="C002"/>
    <s v="P303"/>
    <x v="152"/>
    <s v="26/05/2025"/>
    <s v="Priya Patel"/>
    <s v="Female"/>
    <s v="19/02/1988"/>
    <s v="Bengaluru"/>
    <x v="0"/>
    <x v="2"/>
    <s v="Marker"/>
    <n v="10"/>
    <n v="45"/>
    <n v="15"/>
    <n v="382.5"/>
    <n v="4"/>
    <s v="Cash"/>
    <s v="Karan"/>
    <s v="priYa.patel@company.com"/>
    <n v="9645913247"/>
    <s v="Completed"/>
    <s v="Silver"/>
    <s v="Priya Patel"/>
    <s v="Pri002Be"/>
    <s v="priya.patel@company.com"/>
    <n v="38"/>
    <n v="11"/>
    <s v="Delayed"/>
  </r>
  <r>
    <x v="178"/>
    <s v="C009"/>
    <s v="P202"/>
    <x v="153"/>
    <s v="23/06/2025"/>
    <s v="Mohit Verma"/>
    <s v="Male"/>
    <d v="1981-03-12T00:00:00"/>
    <s v="Delhi"/>
    <x v="1"/>
    <x v="1"/>
    <s v="Iron"/>
    <n v="7"/>
    <n v="2200"/>
    <n v="20"/>
    <n v="12320"/>
    <n v="5"/>
    <s v="UPI"/>
    <s v="Rahul"/>
    <s v="mohit.verma@company.com"/>
    <n v="9806914795"/>
    <s v="Pending"/>
    <s v=""/>
    <s v="Mohit Verma"/>
    <s v="Moh009De"/>
    <s v="mohit.verma@company.com"/>
    <s v=""/>
    <n v="9"/>
    <s v="Delayed"/>
  </r>
  <r>
    <x v="179"/>
    <s v="C002"/>
    <s v="P203"/>
    <x v="154"/>
    <d v="2025-04-05T00:00:00"/>
    <s v="Priya Patel"/>
    <s v="Female"/>
    <d v="1984-11-02T00:00:00"/>
    <s v="Kolkata"/>
    <x v="3"/>
    <x v="1"/>
    <s v="Microwave"/>
    <n v="20"/>
    <n v="8500"/>
    <n v="20"/>
    <n v="136000"/>
    <n v="4"/>
    <s v="NetBanking"/>
    <s v="Ritika"/>
    <s v="priYa.patel@company.com"/>
    <n v="9276222829"/>
    <s v="Completed"/>
    <s v="Gold"/>
    <s v="Priya Patel"/>
    <s v="Pri002Ko"/>
    <s v="priya.patel@company.com"/>
    <n v="45"/>
    <s v=""/>
    <s v="Delayed"/>
  </r>
  <r>
    <x v="180"/>
    <s v="C006"/>
    <s v="P202"/>
    <x v="123"/>
    <s v="24/01/2025"/>
    <s v="Sneha Joshi"/>
    <s v="Female"/>
    <d v="1991-07-12T00:00:00"/>
    <s v="Hyderabad"/>
    <x v="0"/>
    <x v="1"/>
    <s v="Iron"/>
    <n v="10"/>
    <n v="2200"/>
    <n v="5"/>
    <n v="20900"/>
    <n v="2"/>
    <s v="NetBanking"/>
    <s v="Rahul"/>
    <s v="sneha.joshi@company.com"/>
    <n v="9533835528"/>
    <s v="Completed"/>
    <s v="Blacklisted"/>
    <s v="Sneha Joshi"/>
    <s v="Sne006Hy"/>
    <s v="sneha.joshi@company.com"/>
    <n v="41"/>
    <n v="2"/>
    <s v="On time"/>
  </r>
  <r>
    <x v="181"/>
    <s v="C003"/>
    <s v="P301"/>
    <x v="155"/>
    <s v="26/12/2025"/>
    <s v="Rohit Singh"/>
    <s v="Male"/>
    <s v="21/02/1976"/>
    <s v="Pune"/>
    <x v="2"/>
    <x v="2"/>
    <s v="Notebook"/>
    <n v="15"/>
    <n v="60"/>
    <n v="20"/>
    <n v="720"/>
    <n v="1"/>
    <s v="Card"/>
    <s v="Ritika"/>
    <s v="rohit.singh@company.com"/>
    <n v="9654885820"/>
    <s v="Completed"/>
    <s v="Blacklisted"/>
    <s v="Rohit Singh"/>
    <s v="Roh003Pu"/>
    <s v="rohit.singh@company.com"/>
    <n v="35"/>
    <n v="10"/>
    <s v="Delayed"/>
  </r>
  <r>
    <x v="182"/>
    <s v="C005"/>
    <s v="P201"/>
    <x v="25"/>
    <s v="28/06/2025"/>
    <s v="Vikas Mehta"/>
    <s v="Male"/>
    <s v="28/08/1975"/>
    <s v="Hyderabad"/>
    <x v="0"/>
    <x v="1"/>
    <s v="Mixer"/>
    <n v="18"/>
    <n v="3500"/>
    <n v="5"/>
    <n v="59850"/>
    <n v="1"/>
    <s v="Card"/>
    <s v="Rahul"/>
    <s v="vikas.mehta@company.com"/>
    <n v="9456029544"/>
    <s v="Cancelled"/>
    <s v="Blacklisted"/>
    <s v="Vikas Mehta"/>
    <s v="Vik005Hy"/>
    <s v="vikas.mehta@company.com"/>
    <s v=""/>
    <n v="4"/>
    <s v="On time"/>
  </r>
  <r>
    <x v="183"/>
    <s v="C001"/>
    <s v="P104"/>
    <x v="156"/>
    <s v="22/05/2026"/>
    <s v="Amit Sharma"/>
    <s v="Male"/>
    <d v="1987-05-12T00:00:00"/>
    <s v="Pune"/>
    <x v="2"/>
    <x v="0"/>
    <s v="Monitor"/>
    <n v="6"/>
    <n v="12000"/>
    <n v="5"/>
    <n v="68400"/>
    <n v="1"/>
    <s v="NetBanking"/>
    <s v="Rahul"/>
    <s v="amit.sharma@company.com"/>
    <n v="9914571493"/>
    <s v="Cancelled"/>
    <s v="Blacklisted"/>
    <s v="Amit Sharma"/>
    <s v="Ami001Pu"/>
    <s v="amit.sharma@company.com"/>
    <s v=""/>
    <s v=""/>
    <s v="Delayed"/>
  </r>
  <r>
    <x v="184"/>
    <s v="C001"/>
    <s v="P302"/>
    <x v="147"/>
    <s v="16/02/2026"/>
    <s v="Amit Sharma"/>
    <s v="Male"/>
    <s v="26/08/2004"/>
    <s v="Bengaluru"/>
    <x v="0"/>
    <x v="2"/>
    <s v="Pen"/>
    <n v="19"/>
    <n v="20"/>
    <n v="10"/>
    <n v="342"/>
    <n v="2"/>
    <s v="NetBanking"/>
    <s v="Ritika"/>
    <s v="amit.sharma@company.com"/>
    <n v="9270726986"/>
    <s v="Pending"/>
    <s v="Blacklisted"/>
    <s v="Amit Sharma"/>
    <s v="Ami001Be"/>
    <s v="amit.sharma@company.com"/>
    <n v="39"/>
    <n v="2"/>
    <s v="On time"/>
  </r>
  <r>
    <x v="185"/>
    <s v="C005"/>
    <s v="P202"/>
    <x v="58"/>
    <s v="20/05/2026"/>
    <s v="Vikas Mehta"/>
    <s v="Male"/>
    <s v="16/01/1994"/>
    <s v="Pune"/>
    <x v="2"/>
    <x v="1"/>
    <s v="Iron"/>
    <n v="7"/>
    <n v="2200"/>
    <n v="0"/>
    <n v="15400"/>
    <n v="1"/>
    <s v="Card"/>
    <s v="Neha"/>
    <s v="vikas.mehta@company.com"/>
    <n v="9570080664"/>
    <s v="Cancelled"/>
    <s v="Blacklisted"/>
    <s v="Vikas Mehta"/>
    <s v="Vik005Pu"/>
    <s v="vikas.mehta@company.com"/>
    <s v=""/>
    <n v="7"/>
    <s v="Delayed"/>
  </r>
  <r>
    <x v="186"/>
    <s v="C001"/>
    <s v="P104"/>
    <x v="157"/>
    <s v="20/11/2025"/>
    <s v="Amit Sharma"/>
    <s v="Male"/>
    <s v="28/10/2003"/>
    <s v="Jaipur"/>
    <x v="1"/>
    <x v="0"/>
    <s v="Monitor"/>
    <n v="3"/>
    <n v="12000"/>
    <n v="5"/>
    <n v="34200"/>
    <n v="3"/>
    <s v="Card"/>
    <s v="Aisha"/>
    <s v="amit.sharma@company.com"/>
    <n v="9109009524"/>
    <s v="Cancelled"/>
    <s v="Blacklisted"/>
    <s v="Amit Sharma"/>
    <s v="Ami001Ja"/>
    <s v="amit.sharma@company.com"/>
    <s v=""/>
    <n v="4"/>
    <s v="On time"/>
  </r>
  <r>
    <x v="187"/>
    <s v="C004"/>
    <s v="P202"/>
    <x v="105"/>
    <d v="2025-04-11T00:00:00"/>
    <s v="Anita Gupta"/>
    <s v="Female"/>
    <s v="16/05/2000"/>
    <s v="Jaipur"/>
    <x v="1"/>
    <x v="1"/>
    <s v="Iron"/>
    <n v="16"/>
    <n v="2200"/>
    <n v="0"/>
    <n v="35200"/>
    <n v="5"/>
    <s v="Card"/>
    <s v="Ritika"/>
    <s v="anita.gupta@company.com"/>
    <n v="9701276770"/>
    <s v="Pending"/>
    <s v=""/>
    <s v="Anita Gupta"/>
    <s v="Ani004Ja"/>
    <s v="anita.gupta@company.com"/>
    <s v=""/>
    <s v=""/>
    <s v="Delayed"/>
  </r>
  <r>
    <x v="188"/>
    <s v="C006"/>
    <s v="P202"/>
    <x v="158"/>
    <s v="18/02/2025"/>
    <s v="Sneha Joshi"/>
    <s v="Female"/>
    <d v="1989-04-07T00:00:00"/>
    <s v="Delhi"/>
    <x v="1"/>
    <x v="1"/>
    <s v="Iron"/>
    <n v="8"/>
    <n v="2200"/>
    <n v="5"/>
    <n v="16720"/>
    <n v="2"/>
    <s v="UPI"/>
    <s v="Karan"/>
    <s v="sneha.joshi@company.com"/>
    <n v="9298278507"/>
    <s v="Completed"/>
    <s v="Blacklisted"/>
    <s v="Sneha Joshi"/>
    <s v="Sne006De"/>
    <s v="sneha.joshi@company.com"/>
    <s v=""/>
    <n v="2"/>
    <s v="On time"/>
  </r>
  <r>
    <x v="189"/>
    <s v="C006"/>
    <s v="P202"/>
    <x v="96"/>
    <s v="14/12/2025"/>
    <s v="Sneha Joshi"/>
    <s v="Female"/>
    <d v="1998-09-03T00:00:00"/>
    <s v="Ahmedabad"/>
    <x v="2"/>
    <x v="1"/>
    <s v="Iron"/>
    <n v="10"/>
    <n v="2200"/>
    <n v="10"/>
    <n v="19800"/>
    <n v="5"/>
    <s v="NetBanking"/>
    <s v="Neha"/>
    <s v="sneha.joshi@company.com"/>
    <n v="9895908093"/>
    <s v="Pending"/>
    <s v=""/>
    <s v="Sneha Joshi"/>
    <s v="Sne006Ah"/>
    <s v="sneha.joshi@company.com"/>
    <n v="37"/>
    <s v=""/>
    <s v="Delayed"/>
  </r>
  <r>
    <x v="190"/>
    <s v="C007"/>
    <s v="P302"/>
    <x v="159"/>
    <d v="2025-09-05T00:00:00"/>
    <s v="arjun Rao"/>
    <s v="Male"/>
    <s v="21/05/1988"/>
    <s v="Delhi"/>
    <x v="1"/>
    <x v="2"/>
    <s v="Pen"/>
    <n v="7"/>
    <n v="20"/>
    <n v="10"/>
    <n v="126"/>
    <n v="4"/>
    <s v="Card"/>
    <s v="Aisha"/>
    <s v="arjun.rao@company.com"/>
    <n v="9734108795"/>
    <s v="Completed"/>
    <s v="Silver"/>
    <s v="Arjun Rao"/>
    <s v="Arj007De"/>
    <s v="arjun.rao@company.com"/>
    <n v="28"/>
    <s v=""/>
    <s v="Delayed"/>
  </r>
  <r>
    <x v="191"/>
    <s v="C005"/>
    <s v="P203"/>
    <x v="29"/>
    <s v="14/01/2026"/>
    <s v="Vikas Mehta"/>
    <s v="Male"/>
    <s v="18/07/1994"/>
    <s v="Hyderabad"/>
    <x v="0"/>
    <x v="1"/>
    <s v="Microwave"/>
    <n v="19"/>
    <n v="8500"/>
    <n v="20"/>
    <n v="129200"/>
    <n v="3"/>
    <s v="NetBanking"/>
    <s v="Aisha"/>
    <s v="vikas.mehta@company.com"/>
    <n v="9799597413"/>
    <s v="Pending"/>
    <s v=""/>
    <s v="Vikas Mehta"/>
    <s v="Vik005Hy"/>
    <s v="vikas.mehta@company.com"/>
    <s v=""/>
    <s v=""/>
    <s v="Delayed"/>
  </r>
  <r>
    <x v="192"/>
    <s v="C002"/>
    <s v="P301"/>
    <x v="59"/>
    <d v="2025-06-03T00:00:00"/>
    <s v="Priya Patel"/>
    <s v="Female"/>
    <s v="15/11/1977"/>
    <s v="Pune"/>
    <x v="2"/>
    <x v="2"/>
    <s v="Notebook"/>
    <n v="16"/>
    <n v="60"/>
    <n v="0"/>
    <n v="960"/>
    <n v="2"/>
    <s v="NetBanking"/>
    <s v="Neha"/>
    <s v="priYa.patel@company.com"/>
    <n v="9688987266"/>
    <s v="Completed"/>
    <s v="Blacklisted"/>
    <s v="Priya Patel"/>
    <s v="Pri002Pu"/>
    <s v="priya.patel@company.com"/>
    <s v=""/>
    <s v=""/>
    <s v="Delayed"/>
  </r>
  <r>
    <x v="193"/>
    <s v="C005"/>
    <s v="P201"/>
    <x v="160"/>
    <s v="27/04/2026"/>
    <s v="Vikas Mehta"/>
    <s v="Male"/>
    <s v="22/09/1982"/>
    <s v="Bengaluru"/>
    <x v="0"/>
    <x v="3"/>
    <s v="Mixer"/>
    <n v="18"/>
    <n v="3500"/>
    <n v="5"/>
    <n v="59850"/>
    <n v="1"/>
    <s v="UPI"/>
    <s v="Neha"/>
    <s v="vikas.mehta@company.com"/>
    <n v="9867169037"/>
    <s v="Pending"/>
    <s v="Blacklisted"/>
    <s v="Vikas Mehta"/>
    <s v="Vik005Be"/>
    <s v="vikas.mehta@company.com"/>
    <s v=""/>
    <n v="12"/>
    <s v="Delayed"/>
  </r>
  <r>
    <x v="194"/>
    <s v="C002"/>
    <s v="P101"/>
    <x v="161"/>
    <d v="2025-01-03T00:00:00"/>
    <s v="Priya Patel"/>
    <s v="Female"/>
    <s v="14/09/1994"/>
    <s v="Jaipur"/>
    <x v="1"/>
    <x v="0"/>
    <s v="Laptop"/>
    <n v="16"/>
    <n v="55000"/>
    <n v="0"/>
    <n v="880000"/>
    <n v="1"/>
    <s v="Card"/>
    <s v="Aisha"/>
    <s v="priYa.patel@company.com"/>
    <n v="9485547425"/>
    <s v="Cancelled"/>
    <s v="Blacklisted"/>
    <s v="Priya Patel"/>
    <s v="Pri002Ja"/>
    <s v="priya.patel@company.com"/>
    <s v=""/>
    <s v=""/>
    <s v="Delayed"/>
  </r>
  <r>
    <x v="195"/>
    <s v="C005"/>
    <s v="P103"/>
    <x v="144"/>
    <d v="2025-09-02T00:00:00"/>
    <s v="Vikas Mehta"/>
    <s v="Male"/>
    <d v="1995-02-12T00:00:00"/>
    <s v="Ahmedabad"/>
    <x v="2"/>
    <x v="0"/>
    <s v="Keyboard"/>
    <n v="18"/>
    <n v="1200"/>
    <n v="15"/>
    <n v="18360"/>
    <n v="2"/>
    <s v="NetBanking"/>
    <s v="Ritika"/>
    <s v="vikas.mehta@company.com"/>
    <n v="9889733076"/>
    <s v="Cancelled"/>
    <s v="Blacklisted"/>
    <s v="Vikas Mehta"/>
    <s v="Vik005Ah"/>
    <s v="vikas.mehta@company.com"/>
    <s v=""/>
    <s v=""/>
    <s v="Delayed"/>
  </r>
  <r>
    <x v="196"/>
    <s v="C009"/>
    <s v="P303"/>
    <x v="162"/>
    <s v="27/05/2025"/>
    <s v="Mohit Verma"/>
    <s v="Male"/>
    <d v="1985-10-07T00:00:00"/>
    <s v="Hyderabad"/>
    <x v="0"/>
    <x v="2"/>
    <s v="Marker"/>
    <n v="2"/>
    <n v="45"/>
    <n v="15"/>
    <n v="76.5"/>
    <n v="5"/>
    <s v="Cash"/>
    <s v="Aisha"/>
    <s v="mohit.verma@company.com"/>
    <n v="9145434449"/>
    <s v="Cancelled"/>
    <s v="Blacklisted"/>
    <s v="Mohit Verma"/>
    <s v="Moh009Hy"/>
    <s v="mohit.verma@company.com"/>
    <n v="31"/>
    <n v="3"/>
    <s v="On time"/>
  </r>
  <r>
    <x v="197"/>
    <s v="C010"/>
    <s v="P203"/>
    <x v="163"/>
    <d v="2026-12-01T00:00:00"/>
    <s v="pooja shah"/>
    <s v="Female"/>
    <s v="25/03/2001"/>
    <s v="Bengaluru"/>
    <x v="0"/>
    <x v="1"/>
    <s v="Microwave"/>
    <n v="20"/>
    <n v="8500"/>
    <n v="0"/>
    <n v="170000"/>
    <n v="4"/>
    <s v="NetBanking"/>
    <s v="Aisha"/>
    <s v="pooja.shah@company.com"/>
    <n v="9598942148"/>
    <s v="Cancelled"/>
    <s v="Blacklisted"/>
    <s v="Pooja Shah"/>
    <s v="poo010Be"/>
    <s v="pooja.shah@company.com"/>
    <n v="41"/>
    <s v=""/>
    <s v="Delayed"/>
  </r>
  <r>
    <x v="198"/>
    <s v="C003"/>
    <s v="P201"/>
    <x v="36"/>
    <d v="2026-09-03T00:00:00"/>
    <s v="Rohit Singh"/>
    <s v="Male"/>
    <s v="27/04/1981"/>
    <s v="Jaipur"/>
    <x v="1"/>
    <x v="1"/>
    <s v="Mixer"/>
    <n v="6"/>
    <n v="3500"/>
    <n v="5"/>
    <n v="19950"/>
    <n v="1"/>
    <s v="Cash"/>
    <s v="Karan"/>
    <s v="rohit.singh@company.com"/>
    <n v="9599252705"/>
    <s v="Completed"/>
    <s v="Blacklisted"/>
    <s v="Rohit Singh"/>
    <s v="Roh003Ja"/>
    <s v="rohit.singh@company.com"/>
    <s v=""/>
    <s v=""/>
    <s v="Delayed"/>
  </r>
  <r>
    <x v="199"/>
    <s v="C004"/>
    <s v="P303"/>
    <x v="38"/>
    <d v="2025-09-10T00:00:00"/>
    <s v="Anita Gupta"/>
    <s v="Female"/>
    <s v="14/01/2003"/>
    <s v="Pune"/>
    <x v="2"/>
    <x v="2"/>
    <s v="Marker"/>
    <n v="8"/>
    <n v="45"/>
    <n v="5"/>
    <n v="342"/>
    <n v="2"/>
    <s v="Cash"/>
    <s v="Rahul"/>
    <s v="anita.gupta@company.com"/>
    <n v="9626843681"/>
    <s v="Pending"/>
    <s v="Blacklisted"/>
    <s v="Anita Gupta"/>
    <s v="Ani004Pu"/>
    <s v="anita.gupta@company.com"/>
    <s v=""/>
    <s v=""/>
    <s v="Delayed"/>
  </r>
  <r>
    <x v="200"/>
    <s v="C001"/>
    <s v="P202"/>
    <x v="164"/>
    <d v="2025-12-03T00:00:00"/>
    <s v="Amit Sharma"/>
    <s v="Male"/>
    <d v="1980-02-10T00:00:00"/>
    <s v="Mumbai"/>
    <x v="2"/>
    <x v="1"/>
    <s v="Iron"/>
    <n v="18"/>
    <n v="2200"/>
    <n v="15"/>
    <n v="33660"/>
    <n v="4"/>
    <s v="Card"/>
    <s v="Aisha"/>
    <s v="amit.sharma@company.com"/>
    <n v="9934933215"/>
    <s v="Pending"/>
    <s v=""/>
    <s v="Amit Sharma"/>
    <s v="Ami001Mu"/>
    <s v="amit.sharma@company.com"/>
    <s v=""/>
    <s v=""/>
    <s v="Delayed"/>
  </r>
  <r>
    <x v="201"/>
    <s v="C005"/>
    <s v="P102"/>
    <x v="165"/>
    <s v="15/04/2026"/>
    <s v="Vikas Mehta"/>
    <s v="Male"/>
    <s v="24/10/1990"/>
    <s v="Hyderabad"/>
    <x v="0"/>
    <x v="0"/>
    <s v="Mouse"/>
    <n v="18"/>
    <n v="700"/>
    <n v="15"/>
    <n v="10710"/>
    <n v="3"/>
    <s v="Card"/>
    <s v="Karan"/>
    <s v="vikas.mehta@company.com"/>
    <n v="9508025585"/>
    <s v="Cancelled"/>
    <s v="Blacklisted"/>
    <s v="Vikas Mehta"/>
    <s v="Vik005Hy"/>
    <s v="vikas.mehta@company.com"/>
    <n v="46"/>
    <s v=""/>
    <s v="Delayed"/>
  </r>
  <r>
    <x v="202"/>
    <s v="C001"/>
    <s v="P101"/>
    <x v="166"/>
    <s v="20/01/2026"/>
    <s v="Amit Sharma"/>
    <s v="Male"/>
    <s v="24/09/1977"/>
    <s v="Pune"/>
    <x v="2"/>
    <x v="0"/>
    <s v="Laptop"/>
    <n v="12"/>
    <n v="55000"/>
    <n v="0"/>
    <n v="660000"/>
    <n v="2"/>
    <s v="UPI"/>
    <s v="Rahul"/>
    <s v="amit.sharma@company.com"/>
    <n v="9364681052"/>
    <s v="Cancelled"/>
    <s v="Blacklisted"/>
    <s v="Amit Sharma"/>
    <s v="Ami001Pu"/>
    <s v="amit.sharma@company.com"/>
    <s v=""/>
    <n v="3"/>
    <s v="On time"/>
  </r>
  <r>
    <x v="203"/>
    <s v="C008"/>
    <s v="P104"/>
    <x v="74"/>
    <s v="24/11/2025"/>
    <s v="Kavya Nair"/>
    <s v="Female"/>
    <d v="1996-02-10T00:00:00"/>
    <s v="Mumbai"/>
    <x v="2"/>
    <x v="0"/>
    <s v="Monitor"/>
    <n v="7"/>
    <n v="12000"/>
    <n v="5"/>
    <n v="79800"/>
    <n v="3"/>
    <s v="Card"/>
    <s v="Karan"/>
    <s v="KAvya.nair@company.com"/>
    <n v="9117102884"/>
    <s v="Pending"/>
    <s v=""/>
    <s v="Kavya Nair"/>
    <s v="Kav008Mu"/>
    <s v="kavya.nair@company.com"/>
    <s v=""/>
    <n v="9"/>
    <s v="Delayed"/>
  </r>
  <r>
    <x v="204"/>
    <s v="C006"/>
    <s v="P104"/>
    <x v="167"/>
    <s v="23/09/2025"/>
    <s v="Sneha Joshi"/>
    <s v="Female"/>
    <s v="17/05/1976"/>
    <s v="Mumbai"/>
    <x v="2"/>
    <x v="0"/>
    <s v="Monitor"/>
    <n v="8"/>
    <n v="12000"/>
    <n v="15"/>
    <n v="81600"/>
    <n v="4"/>
    <s v="Card"/>
    <s v="Rahul"/>
    <s v="sneha.joshi@company.com"/>
    <n v="9819453185"/>
    <s v="Completed"/>
    <s v="Gold"/>
    <s v="Sneha Joshi"/>
    <s v="Sne006Mu"/>
    <s v="sneha.joshi@company.com"/>
    <n v="30"/>
    <n v="2"/>
    <s v="On time"/>
  </r>
  <r>
    <x v="205"/>
    <s v="C001"/>
    <s v="P201"/>
    <x v="168"/>
    <s v="27/12/2025"/>
    <s v="Amit Sharma"/>
    <s v="Male"/>
    <d v="1987-09-12T00:00:00"/>
    <s v="Mumbai"/>
    <x v="2"/>
    <x v="1"/>
    <s v="Mixer"/>
    <n v="19"/>
    <n v="3500"/>
    <n v="5"/>
    <n v="63175"/>
    <n v="3"/>
    <s v="Card"/>
    <s v="Aisha"/>
    <s v="amit.sharma@company.com"/>
    <n v="9511806701"/>
    <s v="Pending"/>
    <s v=""/>
    <s v="Amit Sharma"/>
    <s v="Ami001Mu"/>
    <s v="amit.sharma@company.com"/>
    <s v=""/>
    <n v="9"/>
    <s v="Delayed"/>
  </r>
  <r>
    <x v="206"/>
    <s v="C006"/>
    <s v="P303"/>
    <x v="144"/>
    <s v="16/02/2025"/>
    <s v="Sneha Joshi"/>
    <s v="Female"/>
    <s v="16/07/1990"/>
    <s v="Ahmedabad"/>
    <x v="2"/>
    <x v="2"/>
    <s v="Marker"/>
    <n v="7"/>
    <n v="45"/>
    <n v="5"/>
    <n v="299.25"/>
    <n v="3"/>
    <s v="Card"/>
    <s v="Ritika"/>
    <s v="sneha.joshi@company.com"/>
    <n v="9875249891"/>
    <s v="Cancelled"/>
    <s v="Blacklisted"/>
    <s v="Sneha Joshi"/>
    <s v="Sne006Ah"/>
    <s v="sneha.joshi@company.com"/>
    <n v="39"/>
    <s v=""/>
    <s v="Delayed"/>
  </r>
  <r>
    <x v="207"/>
    <s v="C008"/>
    <s v="P301"/>
    <x v="169"/>
    <d v="2025-08-06T00:00:00"/>
    <s v="Kavya Nair"/>
    <s v="Female"/>
    <d v="1991-09-08T00:00:00"/>
    <s v="Hyderabad"/>
    <x v="0"/>
    <x v="2"/>
    <s v="Notebook"/>
    <n v="3"/>
    <n v="60"/>
    <n v="15"/>
    <n v="153"/>
    <n v="3"/>
    <s v="NetBanking"/>
    <s v="Rahul"/>
    <s v="KAvya.nair@company.com"/>
    <n v="9438232503"/>
    <s v="Cancelled"/>
    <s v="Blacklisted"/>
    <s v="Kavya Nair"/>
    <s v="Kav008Hy"/>
    <s v="kavya.nair@company.com"/>
    <s v=""/>
    <s v=""/>
    <s v="Delayed"/>
  </r>
  <r>
    <x v="208"/>
    <s v="C010"/>
    <s v="P303"/>
    <x v="170"/>
    <d v="2026-04-05T00:00:00"/>
    <s v="pooja shah"/>
    <s v="Female"/>
    <s v="26/12/1977"/>
    <s v="Pune"/>
    <x v="2"/>
    <x v="2"/>
    <s v="Marker"/>
    <n v="19"/>
    <n v="45"/>
    <n v="0"/>
    <n v="855"/>
    <n v="2"/>
    <s v="Cash"/>
    <s v="Aisha"/>
    <s v="pooja.shah@company.com"/>
    <n v="9449953754"/>
    <s v="Completed"/>
    <s v="Blacklisted"/>
    <s v="Pooja Shah"/>
    <s v="Poo010Pu"/>
    <s v="pooja.shah@company.com"/>
    <n v="35"/>
    <s v=""/>
    <s v="Delayed"/>
  </r>
  <r>
    <x v="209"/>
    <s v="C002"/>
    <s v="P104"/>
    <x v="171"/>
    <s v="16/03/2026"/>
    <s v="Priya Patel"/>
    <s v="Female"/>
    <d v="1995-04-06T00:00:00"/>
    <s v="Bengaluru"/>
    <x v="0"/>
    <x v="0"/>
    <s v="Monitor"/>
    <n v="10"/>
    <n v="12000"/>
    <n v="5"/>
    <n v="114000"/>
    <n v="1"/>
    <s v="Card"/>
    <s v="Neha"/>
    <s v="priYa.patel@company.com"/>
    <n v="9833801891"/>
    <s v="Cancelled"/>
    <s v="Blacklisted"/>
    <s v="Priya Patel"/>
    <s v="Pri002Be"/>
    <s v="priya.patel@company.com"/>
    <s v=""/>
    <s v=""/>
    <s v="Delayed"/>
  </r>
  <r>
    <x v="210"/>
    <s v="C008"/>
    <s v="P103"/>
    <x v="172"/>
    <d v="2025-12-03T00:00:00"/>
    <s v="Kavya Nair"/>
    <s v="Female"/>
    <s v="16/11/1983"/>
    <s v="Kolkata"/>
    <x v="3"/>
    <x v="0"/>
    <s v="Keyboard"/>
    <n v="4"/>
    <n v="1200"/>
    <n v="0"/>
    <n v="4800"/>
    <n v="4"/>
    <s v="Cash"/>
    <s v="Aisha"/>
    <s v="KAvya.nair@company.com"/>
    <n v="9183949273"/>
    <s v="Completed"/>
    <s v="Silver"/>
    <s v="Kavya Nair"/>
    <s v="Kav008Ko"/>
    <s v="kavya.nair@company.com"/>
    <n v="31"/>
    <s v=""/>
    <s v="Delayed"/>
  </r>
  <r>
    <x v="211"/>
    <s v="C005"/>
    <s v="P203"/>
    <x v="80"/>
    <d v="2025-07-11T00:00:00"/>
    <s v="Vikas Mehta"/>
    <s v="Male"/>
    <d v="1985-10-10T00:00:00"/>
    <s v="Bengaluru"/>
    <x v="0"/>
    <x v="1"/>
    <s v="Microwave"/>
    <n v="2"/>
    <n v="8500"/>
    <n v="20"/>
    <n v="13600"/>
    <n v="3"/>
    <s v="Card"/>
    <s v="Karan"/>
    <s v="vikas.mehta@company.com"/>
    <n v="9168257367"/>
    <s v="Completed"/>
    <s v="Silver"/>
    <s v="Vikas Mehta"/>
    <s v="Vik005Be"/>
    <s v="vikas.mehta@company.com"/>
    <s v=""/>
    <s v=""/>
    <s v="Delayed"/>
  </r>
  <r>
    <x v="212"/>
    <s v="C007"/>
    <s v="P102"/>
    <x v="173"/>
    <d v="2026-08-02T00:00:00"/>
    <s v="arjun Rao"/>
    <s v="Male"/>
    <d v="2002-07-01T00:00:00"/>
    <s v="Kolkata"/>
    <x v="3"/>
    <x v="0"/>
    <s v="Mouse"/>
    <n v="7"/>
    <n v="700"/>
    <n v="20"/>
    <n v="3920"/>
    <n v="2"/>
    <s v="Card"/>
    <s v="Karan"/>
    <s v="arjun.rao@company.com"/>
    <n v="9580903210"/>
    <s v="Pending"/>
    <s v="Blacklisted"/>
    <s v="Arjun Rao"/>
    <s v="Arj007Ko"/>
    <s v="arjun.rao@company.com"/>
    <n v="41"/>
    <s v=""/>
    <s v="Delayed"/>
  </r>
  <r>
    <x v="213"/>
    <s v="C010"/>
    <s v="P302"/>
    <x v="174"/>
    <d v="2026-03-05T00:00:00"/>
    <s v="pooja shah"/>
    <s v="Female"/>
    <s v="18/07/1999"/>
    <s v="Pune"/>
    <x v="2"/>
    <x v="2"/>
    <s v="Pen"/>
    <n v="9"/>
    <n v="20"/>
    <n v="15"/>
    <n v="153"/>
    <n v="3"/>
    <s v="NetBanking"/>
    <s v="Neha"/>
    <s v="pooja.shah@company.com"/>
    <n v="9602152945"/>
    <s v="Completed"/>
    <s v="Silver"/>
    <s v="Pooja Shah"/>
    <s v="Poo010Pu"/>
    <s v="pooja.shah@company.com"/>
    <n v="24"/>
    <s v=""/>
    <s v="Delayed"/>
  </r>
  <r>
    <x v="214"/>
    <s v="C002"/>
    <s v="P203"/>
    <x v="175"/>
    <s v="20/05/2025"/>
    <s v="Priya Patel"/>
    <s v="Female"/>
    <d v="1990-02-09T00:00:00"/>
    <s v="Kolkata"/>
    <x v="3"/>
    <x v="1"/>
    <s v="Microwave"/>
    <n v="16"/>
    <n v="8500"/>
    <n v="0"/>
    <n v="136000"/>
    <n v="4"/>
    <s v="NetBanking"/>
    <s v="Ritika"/>
    <s v="priYa.patel@company.com"/>
    <n v="9646917552"/>
    <s v="Completed"/>
    <s v="Platinum"/>
    <s v="Priya Patel"/>
    <s v="Pri002Ko"/>
    <s v="priya.patel@company.com"/>
    <s v=""/>
    <n v="2"/>
    <s v="On time"/>
  </r>
  <r>
    <x v="215"/>
    <s v="C006"/>
    <s v="P201"/>
    <x v="176"/>
    <s v="28/03/2026"/>
    <s v="Sneha Joshi"/>
    <s v="Female"/>
    <d v="1992-02-08T00:00:00"/>
    <s v="Delhi"/>
    <x v="1"/>
    <x v="1"/>
    <s v="Mixer"/>
    <n v="10"/>
    <n v="3500"/>
    <n v="5"/>
    <n v="33250"/>
    <n v="3"/>
    <s v="NetBanking"/>
    <s v="Neha"/>
    <s v="sneha.joshi@company.com"/>
    <n v="9127548552"/>
    <s v="Completed"/>
    <s v="Silver"/>
    <s v="Sneha Joshi"/>
    <s v="Sne006De"/>
    <s v="sneha.joshi@company.com"/>
    <n v="36"/>
    <n v="2"/>
    <s v="On time"/>
  </r>
  <r>
    <x v="216"/>
    <s v="C010"/>
    <s v="P104"/>
    <x v="177"/>
    <s v="27/01/2026"/>
    <s v="pooja shah"/>
    <s v="Female"/>
    <d v="1980-09-02T00:00:00"/>
    <s v="Kolkata"/>
    <x v="3"/>
    <x v="0"/>
    <s v="Monitor"/>
    <n v="1"/>
    <n v="12000"/>
    <n v="0"/>
    <n v="12000"/>
    <n v="5"/>
    <s v="UPI"/>
    <s v="Neha"/>
    <s v="pooja.shah@company.com"/>
    <n v="9712805603"/>
    <s v="Pending"/>
    <s v=""/>
    <s v="Pooja Shah"/>
    <s v="Poo010Ko"/>
    <s v="pooja.shah@company.com"/>
    <n v="34"/>
    <n v="8"/>
    <s v="Delayed"/>
  </r>
  <r>
    <x v="217"/>
    <s v="C001"/>
    <s v="P303"/>
    <x v="178"/>
    <d v="2026-10-05T00:00:00"/>
    <s v="Amit Sharma"/>
    <s v="Male"/>
    <s v="18/02/1989"/>
    <s v="Kolkata"/>
    <x v="3"/>
    <x v="2"/>
    <s v="Marker"/>
    <n v="19"/>
    <n v="45"/>
    <n v="15"/>
    <n v="726.75"/>
    <n v="2"/>
    <s v="UPI"/>
    <s v="Karan"/>
    <s v="amit.sharma@company.com"/>
    <n v="9798313682"/>
    <s v="Pending"/>
    <s v="Blacklisted"/>
    <s v="Amit Sharma"/>
    <s v="Ami001Ko"/>
    <s v="amit.sharma@company.com"/>
    <n v="46"/>
    <s v=""/>
    <s v="Delayed"/>
  </r>
  <r>
    <x v="218"/>
    <s v="C008"/>
    <s v="P101"/>
    <x v="80"/>
    <d v="2025-02-11T00:00:00"/>
    <s v="Kavya Nair"/>
    <s v="Female"/>
    <d v="1993-10-09T00:00:00"/>
    <s v="Delhi"/>
    <x v="1"/>
    <x v="0"/>
    <s v="Laptop"/>
    <n v="13"/>
    <n v="55000"/>
    <n v="5"/>
    <n v="679250"/>
    <n v="4"/>
    <s v="Card"/>
    <s v="Rahul"/>
    <s v="KAvya.nair@company.com"/>
    <n v="9642822397"/>
    <s v="Cancelled"/>
    <s v="Blacklisted"/>
    <s v="Kavya Nair"/>
    <s v="Kav008De"/>
    <s v="kavya.nair@company.com"/>
    <s v=""/>
    <s v=""/>
    <s v="Delayed"/>
  </r>
  <r>
    <x v="219"/>
    <s v="C007"/>
    <s v="P303"/>
    <x v="179"/>
    <s v="26/07/2025"/>
    <s v="arjun Rao"/>
    <s v="Male"/>
    <s v="17/11/1981"/>
    <s v="Mumbai"/>
    <x v="2"/>
    <x v="2"/>
    <s v="Marker"/>
    <n v="2"/>
    <n v="45"/>
    <n v="15"/>
    <n v="76.5"/>
    <n v="1"/>
    <s v="NetBanking"/>
    <s v="Neha"/>
    <s v="arjun.rao@company.com"/>
    <n v="9490067655"/>
    <s v="Completed"/>
    <s v="Blacklisted"/>
    <s v="Arjun Rao"/>
    <s v="arj007Mu"/>
    <s v="arjun.rao@company.com"/>
    <n v="33"/>
    <n v="6"/>
    <s v="Delayed"/>
  </r>
  <r>
    <x v="220"/>
    <s v="C002"/>
    <s v="P302"/>
    <x v="180"/>
    <s v="24/02/2025"/>
    <s v="Priya Patel"/>
    <s v="Female"/>
    <s v="24/08/2003"/>
    <s v="Hyderabad"/>
    <x v="0"/>
    <x v="2"/>
    <s v="Pen"/>
    <n v="8"/>
    <n v="20"/>
    <n v="15"/>
    <n v="136"/>
    <n v="1"/>
    <s v="Card"/>
    <s v="Ritika"/>
    <s v="priYa.patel@company.com"/>
    <n v="9389792144"/>
    <s v="Pending"/>
    <s v="Blacklisted"/>
    <s v="Priya Patel"/>
    <s v="Pri002Hy"/>
    <s v="priya.patel@company.com"/>
    <s v=""/>
    <n v="5"/>
    <s v="On time"/>
  </r>
  <r>
    <x v="221"/>
    <s v="C004"/>
    <s v="P104"/>
    <x v="181"/>
    <d v="2025-01-05T00:00:00"/>
    <s v="Anita Gupta"/>
    <s v="Female"/>
    <s v="19/07/1985"/>
    <s v="Hyderabad"/>
    <x v="0"/>
    <x v="0"/>
    <s v="Monitor"/>
    <n v="9"/>
    <n v="12000"/>
    <n v="5"/>
    <n v="102600"/>
    <n v="2"/>
    <s v="Card"/>
    <s v="Ritika"/>
    <s v="anita.gupta@company.com"/>
    <n v="9736113863"/>
    <s v="Cancelled"/>
    <s v="Blacklisted"/>
    <s v="Anita Gupta"/>
    <s v="Ani004Hy"/>
    <s v="anita.gupta@company.com"/>
    <s v=""/>
    <s v=""/>
    <s v="Delayed"/>
  </r>
  <r>
    <x v="222"/>
    <s v="C009"/>
    <s v="P201"/>
    <x v="182"/>
    <s v="13/06/2025"/>
    <s v="Mohit Verma"/>
    <s v="Male"/>
    <d v="1994-10-05T00:00:00"/>
    <s v="Kolkata"/>
    <x v="3"/>
    <x v="1"/>
    <s v="Mixer"/>
    <n v="3"/>
    <n v="3500"/>
    <n v="15"/>
    <n v="8925"/>
    <n v="1"/>
    <s v="Cash"/>
    <s v="Rahul"/>
    <s v="mohit.verma@company.com"/>
    <n v="9324634732"/>
    <s v="Cancelled"/>
    <s v="Blacklisted"/>
    <s v="Mohit Verma"/>
    <s v="Moh009Ko"/>
    <s v="mohit.verma@company.com"/>
    <s v=""/>
    <s v=""/>
    <s v="Delayed"/>
  </r>
  <r>
    <x v="223"/>
    <s v="C002"/>
    <s v="P102"/>
    <x v="183"/>
    <s v="23/05/2025"/>
    <s v="Priya Patel"/>
    <s v="Female"/>
    <s v="23/03/1993"/>
    <s v="Hyderabad"/>
    <x v="0"/>
    <x v="0"/>
    <s v="Mouse"/>
    <n v="18"/>
    <n v="700"/>
    <n v="20"/>
    <n v="10080"/>
    <n v="1"/>
    <s v="Card"/>
    <s v="Karan"/>
    <s v="priYa.patel@company.com"/>
    <n v="9529968110"/>
    <s v="Completed"/>
    <s v="Blacklisted"/>
    <s v="Priya Patel"/>
    <s v="Pri002Hy"/>
    <s v="priya.patel@company.com"/>
    <n v="32"/>
    <n v="3"/>
    <s v="On time"/>
  </r>
  <r>
    <x v="224"/>
    <s v="C009"/>
    <s v="P201"/>
    <x v="184"/>
    <s v="31/01/2026"/>
    <s v="Mohit Verma"/>
    <s v="Male"/>
    <s v="13/06/1979"/>
    <s v="Pune"/>
    <x v="2"/>
    <x v="1"/>
    <s v="Mixer"/>
    <n v="14"/>
    <n v="3500"/>
    <n v="5"/>
    <n v="46550"/>
    <n v="1"/>
    <s v="Cash"/>
    <s v="Aisha"/>
    <s v="mohit.verma@company.com"/>
    <n v="9102417647"/>
    <s v="Completed"/>
    <s v="Blacklisted"/>
    <s v="Mohit Verma"/>
    <s v="Moh009Pu"/>
    <s v="mohit.verma@company.com"/>
    <s v=""/>
    <n v="7"/>
    <s v="Delayed"/>
  </r>
  <r>
    <x v="225"/>
    <s v="C002"/>
    <s v="P102"/>
    <x v="169"/>
    <d v="2025-04-06T00:00:00"/>
    <s v="Priya Patel"/>
    <s v="Female"/>
    <s v="24/01/1991"/>
    <s v="Kolkata"/>
    <x v="3"/>
    <x v="0"/>
    <s v="Mouse"/>
    <n v="6"/>
    <n v="700"/>
    <n v="5"/>
    <n v="3990"/>
    <n v="5"/>
    <s v="Cash"/>
    <s v="Ritika"/>
    <s v="priYa.patel@company.com"/>
    <n v="9630302865"/>
    <s v="Completed"/>
    <s v="Silver"/>
    <s v="Priya Patel"/>
    <s v="Pri002Ko"/>
    <s v="priya.patel@company.com"/>
    <s v=""/>
    <s v=""/>
    <s v="Delayed"/>
  </r>
  <r>
    <x v="226"/>
    <s v="C002"/>
    <s v="P201"/>
    <x v="185"/>
    <s v="19/06/2025"/>
    <s v="Priya Patel"/>
    <s v="Female"/>
    <s v="22/02/2004"/>
    <s v="Mumbai"/>
    <x v="2"/>
    <x v="1"/>
    <s v="Mixer"/>
    <n v="17"/>
    <n v="3500"/>
    <n v="15"/>
    <n v="50575"/>
    <n v="3"/>
    <s v="NetBanking"/>
    <s v="Rahul"/>
    <s v="priYa.patel@company.com"/>
    <n v="9465353780"/>
    <s v="Pending"/>
    <s v=""/>
    <s v="Priya Patel"/>
    <s v="Pri002Mu"/>
    <s v="priya.patel@company.com"/>
    <s v=""/>
    <s v=""/>
    <s v="Delayed"/>
  </r>
  <r>
    <x v="227"/>
    <s v="C006"/>
    <s v="P302"/>
    <x v="186"/>
    <s v="24/01/2026"/>
    <s v="Sneha Joshi"/>
    <s v="Female"/>
    <s v="25/04/1977"/>
    <s v="Kolkata"/>
    <x v="3"/>
    <x v="2"/>
    <s v="Pen"/>
    <n v="7"/>
    <n v="20"/>
    <n v="5"/>
    <n v="133"/>
    <n v="2"/>
    <s v="UPI"/>
    <s v="Karan"/>
    <s v="sneha.joshi@company.com"/>
    <n v="9837426414"/>
    <s v="Completed"/>
    <s v="Blacklisted"/>
    <s v="Sneha Joshi"/>
    <s v="Sne006Ko"/>
    <s v="sneha.joshi@company.com"/>
    <s v=""/>
    <n v="8"/>
    <s v="Delayed"/>
  </r>
  <r>
    <x v="228"/>
    <s v="C008"/>
    <s v="P202"/>
    <x v="187"/>
    <d v="2026-04-03T00:00:00"/>
    <s v="Kavya Nair"/>
    <s v="Female"/>
    <s v="22/07/1994"/>
    <s v="Bengaluru"/>
    <x v="0"/>
    <x v="1"/>
    <s v="Iron"/>
    <n v="15"/>
    <n v="2200"/>
    <n v="20"/>
    <n v="26400"/>
    <n v="2"/>
    <s v="Cash"/>
    <s v="Aisha"/>
    <s v="KAvya.nair@company.com"/>
    <n v="9249918272"/>
    <s v="Completed"/>
    <s v="Blacklisted"/>
    <s v="Kavya Nair"/>
    <s v="Kav008Be"/>
    <s v="kavya.nair@company.com"/>
    <s v=""/>
    <s v=""/>
    <s v="Delayed"/>
  </r>
  <r>
    <x v="229"/>
    <s v="C009"/>
    <s v="P302"/>
    <x v="117"/>
    <s v="25/02/2026"/>
    <s v="Mohit Verma"/>
    <s v="Male"/>
    <d v="1979-11-11T00:00:00"/>
    <s v="Mumbai"/>
    <x v="2"/>
    <x v="2"/>
    <s v="Pen"/>
    <n v="5"/>
    <n v="20"/>
    <n v="0"/>
    <n v="100"/>
    <n v="3"/>
    <s v="Cash"/>
    <s v="Karan"/>
    <s v="mohit.verma@company.com"/>
    <n v="9265580582"/>
    <s v="Completed"/>
    <s v="Silver"/>
    <s v="Mohit Verma"/>
    <s v="Moh009Mu"/>
    <s v="mohit.verma@company.com"/>
    <s v=""/>
    <n v="8"/>
    <s v="Delayed"/>
  </r>
  <r>
    <x v="230"/>
    <s v="C003"/>
    <s v="P104"/>
    <x v="188"/>
    <s v="14/07/2025"/>
    <s v="Rohit Singh"/>
    <s v="Male"/>
    <s v="27/05/1995"/>
    <s v="Delhi"/>
    <x v="1"/>
    <x v="0"/>
    <s v="Monitor"/>
    <n v="8"/>
    <n v="12000"/>
    <n v="20"/>
    <n v="76800"/>
    <n v="3"/>
    <s v="Card"/>
    <s v="Aisha"/>
    <s v="rohit.singh@company.com"/>
    <n v="9751049833"/>
    <s v="Pending"/>
    <s v=""/>
    <s v="Rohit Singh"/>
    <s v="Roh003De"/>
    <s v="rohit.singh@company.com"/>
    <n v="46"/>
    <s v=""/>
    <s v="Delayed"/>
  </r>
  <r>
    <x v="231"/>
    <s v="C003"/>
    <s v="P201"/>
    <x v="189"/>
    <s v="16/02/2025"/>
    <s v="Rohit Singh"/>
    <s v="Male"/>
    <s v="18/06/1998"/>
    <s v="Mumbai"/>
    <x v="2"/>
    <x v="1"/>
    <s v="Mixer"/>
    <n v="4"/>
    <n v="3500"/>
    <n v="20"/>
    <n v="11200"/>
    <n v="1"/>
    <s v="Card"/>
    <s v="Neha"/>
    <s v="rohit.singh@company.com"/>
    <n v="9741671507"/>
    <s v="Completed"/>
    <s v="Blacklisted"/>
    <s v="Rohit Singh"/>
    <s v="roh003Mu"/>
    <s v="rohit.singh@company.com"/>
    <s v=""/>
    <s v=""/>
    <s v="Delayed"/>
  </r>
  <r>
    <x v="232"/>
    <s v="C005"/>
    <s v="P303"/>
    <x v="99"/>
    <d v="2025-04-03T00:00:00"/>
    <s v="Vikas Mehta"/>
    <s v="Male"/>
    <s v="21/01/1983"/>
    <s v="Hyderabad"/>
    <x v="0"/>
    <x v="2"/>
    <s v="Marker"/>
    <n v="19"/>
    <n v="45"/>
    <n v="10"/>
    <n v="769.5"/>
    <n v="1"/>
    <s v="Cash"/>
    <s v="Neha"/>
    <s v="vikas.mehta@company.com"/>
    <n v="9367541035"/>
    <s v="Completed"/>
    <s v="Blacklisted"/>
    <s v="Vikas Mehta"/>
    <s v="Vik005Hy"/>
    <s v="vikas.mehta@company.com"/>
    <s v=""/>
    <s v=""/>
    <s v="Delayed"/>
  </r>
  <r>
    <x v="233"/>
    <s v="C010"/>
    <s v="P303"/>
    <x v="190"/>
    <d v="2026-06-02T00:00:00"/>
    <s v="pooja shah"/>
    <s v="Female"/>
    <d v="1978-03-03T00:00:00"/>
    <s v="Pune"/>
    <x v="2"/>
    <x v="2"/>
    <s v="Marker"/>
    <n v="10"/>
    <n v="45"/>
    <n v="0"/>
    <n v="450"/>
    <n v="4"/>
    <s v="UPI"/>
    <s v="Aisha"/>
    <s v="pooja.shah@company.com"/>
    <n v="9323696971"/>
    <s v="Completed"/>
    <s v="Silver"/>
    <s v="Pooja Shah"/>
    <s v="Poo010Pu"/>
    <s v="pooja.shah@company.com"/>
    <s v=""/>
    <s v=""/>
    <s v="Delayed"/>
  </r>
  <r>
    <x v="234"/>
    <s v="C010"/>
    <s v="P303"/>
    <x v="191"/>
    <s v="17/01/2026"/>
    <s v="pooja shah"/>
    <s v="Female"/>
    <s v="24/06/1997"/>
    <s v="Hyderabad"/>
    <x v="0"/>
    <x v="2"/>
    <s v="Marker"/>
    <n v="16"/>
    <n v="45"/>
    <n v="15"/>
    <n v="612"/>
    <n v="3"/>
    <s v="Cash"/>
    <s v="Neha"/>
    <s v="pooja.shah@company.com"/>
    <n v="9786384529"/>
    <s v="Cancelled"/>
    <s v="Blacklisted"/>
    <s v="Pooja Shah"/>
    <s v="Poo010Hy"/>
    <s v="pooja.shah@company.com"/>
    <n v="48"/>
    <s v=""/>
    <s v="Delayed"/>
  </r>
  <r>
    <x v="235"/>
    <s v="C004"/>
    <s v="P203"/>
    <x v="9"/>
    <s v="27/03/2025"/>
    <s v="Anita Gupta"/>
    <s v="Female"/>
    <s v="25/08/1976"/>
    <s v="Pune"/>
    <x v="2"/>
    <x v="1"/>
    <s v="Microwave"/>
    <n v="16"/>
    <n v="8500"/>
    <n v="15"/>
    <n v="115600"/>
    <n v="4"/>
    <s v="NetBanking"/>
    <s v="Ritika"/>
    <s v="anita.gupta@company.com"/>
    <n v="9444900541"/>
    <s v="Cancelled"/>
    <s v="Blacklisted"/>
    <s v="Anita Gupta"/>
    <s v="Ani004Pu"/>
    <s v="anita.gupta@company.com"/>
    <s v=""/>
    <n v="2"/>
    <s v="On time"/>
  </r>
  <r>
    <x v="236"/>
    <s v="C004"/>
    <s v="P302"/>
    <x v="62"/>
    <d v="2025-12-09T00:00:00"/>
    <s v="Anita Gupta"/>
    <s v="Female"/>
    <d v="1996-04-04T00:00:00"/>
    <s v="Kolkata"/>
    <x v="3"/>
    <x v="2"/>
    <s v="Pen"/>
    <n v="15"/>
    <n v="20"/>
    <n v="20"/>
    <n v="240"/>
    <n v="3"/>
    <s v="NetBanking"/>
    <s v="Rahul"/>
    <s v="anita.gupta@company.com"/>
    <n v="9108024911"/>
    <s v="Cancelled"/>
    <s v="Blacklisted"/>
    <s v="Anita Gupta"/>
    <s v="Ani004Ko"/>
    <s v="anita.gupta@company.com"/>
    <s v=""/>
    <s v=""/>
    <s v="Delayed"/>
  </r>
  <r>
    <x v="237"/>
    <s v="C007"/>
    <s v="P301"/>
    <x v="61"/>
    <s v="13/01/2026"/>
    <s v="arjun Rao"/>
    <s v="Male"/>
    <d v="2001-09-10T00:00:00"/>
    <s v="Bengaluru"/>
    <x v="0"/>
    <x v="2"/>
    <s v="Notebook"/>
    <n v="14"/>
    <n v="60"/>
    <n v="5"/>
    <n v="798"/>
    <n v="4"/>
    <s v="Cash"/>
    <s v="Rahul"/>
    <s v="arjun.rao@company.com"/>
    <n v="9897181325"/>
    <s v="Completed"/>
    <s v="Silver"/>
    <s v="Arjun Rao"/>
    <s v="Arj007Be"/>
    <s v="arjun.rao@company.com"/>
    <n v="30"/>
    <s v=""/>
    <s v="Delayed"/>
  </r>
  <r>
    <x v="238"/>
    <s v="C010"/>
    <s v="P103"/>
    <x v="192"/>
    <s v="19/05/2026"/>
    <s v="pooja shah"/>
    <s v="Female"/>
    <d v="1995-11-04T00:00:00"/>
    <s v="Mumbai"/>
    <x v="2"/>
    <x v="0"/>
    <s v="Keyboard"/>
    <n v="19"/>
    <n v="1200"/>
    <n v="20"/>
    <n v="18240"/>
    <n v="2"/>
    <s v="Cash"/>
    <s v="Neha"/>
    <s v="pooja.shah@company.com"/>
    <n v="9554719621"/>
    <s v="Cancelled"/>
    <s v="Blacklisted"/>
    <s v="Pooja Shah"/>
    <s v="Poo010Mu"/>
    <s v="pooja.shah@company.com"/>
    <n v="25"/>
    <n v="3"/>
    <s v="On time"/>
  </r>
  <r>
    <x v="239"/>
    <s v="C008"/>
    <s v="P303"/>
    <x v="44"/>
    <s v="14/10/2025"/>
    <s v="Kavya Nair"/>
    <s v="Female"/>
    <d v="2000-04-05T00:00:00"/>
    <s v="Bengaluru"/>
    <x v="0"/>
    <x v="2"/>
    <s v="Marker"/>
    <n v="5"/>
    <n v="45"/>
    <n v="15"/>
    <n v="191.25"/>
    <n v="2"/>
    <s v="Cash"/>
    <s v="Aisha"/>
    <s v="KAvya.nair@company.com"/>
    <n v="9815899217"/>
    <s v="Cancelled"/>
    <s v="Blacklisted"/>
    <s v="Kavya Nair"/>
    <s v="Kav008Be"/>
    <s v="kavya.nair@company.com"/>
    <n v="30"/>
    <n v="1"/>
    <s v="On time"/>
  </r>
  <r>
    <x v="240"/>
    <s v="C001"/>
    <s v="P102"/>
    <x v="193"/>
    <d v="2025-01-06T00:00:00"/>
    <s v="Amit Sharma"/>
    <s v="Male"/>
    <d v="2002-01-03T00:00:00"/>
    <s v="Hyderabad"/>
    <x v="0"/>
    <x v="0"/>
    <s v="Mouse"/>
    <n v="19"/>
    <n v="700"/>
    <n v="5"/>
    <n v="12635"/>
    <n v="5"/>
    <s v="UPI"/>
    <s v="Karan"/>
    <s v="amit.sharma@company.com"/>
    <n v="9308497039"/>
    <s v="Completed"/>
    <s v="Silver"/>
    <s v="Amit Sharma"/>
    <s v="Ami001Hy"/>
    <s v="amit.sharma@company.com"/>
    <n v="26"/>
    <s v=""/>
    <s v="Delayed"/>
  </r>
  <r>
    <x v="241"/>
    <s v="C003"/>
    <s v="P301"/>
    <x v="110"/>
    <d v="2026-04-01T00:00:00"/>
    <s v="Rohit Singh"/>
    <s v="Male"/>
    <s v="27/05/1975"/>
    <s v="Kolkata"/>
    <x v="3"/>
    <x v="2"/>
    <s v="Notebook"/>
    <n v="7"/>
    <n v="60"/>
    <n v="0"/>
    <n v="420"/>
    <n v="4"/>
    <s v="Cash"/>
    <s v="Neha"/>
    <s v="rohit.singh@company.com"/>
    <n v="9882054354"/>
    <s v="Pending"/>
    <s v=""/>
    <s v="Rohit Singh"/>
    <s v="Roh003Ko"/>
    <s v="rohit.singh@company.com"/>
    <n v="24"/>
    <s v=""/>
    <s v="Delayed"/>
  </r>
  <r>
    <x v="242"/>
    <s v="C009"/>
    <s v="P202"/>
    <x v="23"/>
    <d v="2026-02-01T00:00:00"/>
    <s v="Mohit Verma"/>
    <s v="Male"/>
    <d v="1988-02-12T00:00:00"/>
    <s v="Mumbai"/>
    <x v="2"/>
    <x v="1"/>
    <s v="Iron"/>
    <n v="13"/>
    <n v="2200"/>
    <n v="10"/>
    <n v="25740"/>
    <n v="1"/>
    <s v="Card"/>
    <s v="Karan"/>
    <s v="mohit.verma@company.com"/>
    <n v="9193016830"/>
    <s v="Completed"/>
    <s v="Blacklisted"/>
    <s v="Mohit Verma"/>
    <s v="Moh009Mu"/>
    <s v="mohit.verma@company.com"/>
    <s v=""/>
    <s v=""/>
    <s v="Delayed"/>
  </r>
  <r>
    <x v="243"/>
    <s v="C009"/>
    <s v="P202"/>
    <x v="194"/>
    <d v="2026-05-01T00:00:00"/>
    <s v="Mohit Verma"/>
    <s v="Male"/>
    <d v="1984-06-12T00:00:00"/>
    <s v="Bengaluru"/>
    <x v="0"/>
    <x v="1"/>
    <s v="Iron"/>
    <n v="9"/>
    <n v="2200"/>
    <n v="10"/>
    <n v="17820"/>
    <n v="2"/>
    <s v="Crypto"/>
    <s v="Aisha"/>
    <s v="mohit.verma@company.com"/>
    <n v="9921470418"/>
    <s v="Cancelled"/>
    <s v="Blacklisted"/>
    <s v="Mohit Verma"/>
    <s v="Moh009Be"/>
    <s v="mohit.verma@company.com"/>
    <n v="38"/>
    <s v=""/>
    <s v="Delayed"/>
  </r>
  <r>
    <x v="244"/>
    <s v="C001"/>
    <s v="P203"/>
    <x v="152"/>
    <s v="17/05/2025"/>
    <s v="Amit Sharma"/>
    <s v="Male"/>
    <d v="1990-01-05T00:00:00"/>
    <s v="Bengaluru"/>
    <x v="0"/>
    <x v="1"/>
    <s v="Microwave"/>
    <n v="6"/>
    <n v="8500"/>
    <n v="15"/>
    <n v="43350"/>
    <n v="2"/>
    <s v="Cash"/>
    <s v="Karan"/>
    <s v="amit.sharma@company.com"/>
    <n v="9686979026"/>
    <s v="Cancelled"/>
    <s v="Blacklisted"/>
    <s v="Amit Sharma"/>
    <s v="Ami001Be"/>
    <s v="amit.sharma@company.com"/>
    <n v="42"/>
    <n v="2"/>
    <s v="On time"/>
  </r>
  <r>
    <x v="245"/>
    <s v="C005"/>
    <s v="P202"/>
    <x v="117"/>
    <s v="25/02/2026"/>
    <s v="Vikas Mehta"/>
    <s v="Male"/>
    <d v="1988-09-02T00:00:00"/>
    <s v="Delhi"/>
    <x v="1"/>
    <x v="1"/>
    <s v="Iron"/>
    <n v="9"/>
    <n v="2200"/>
    <n v="10"/>
    <n v="17820"/>
    <n v="3"/>
    <s v="Card"/>
    <s v="Ritika"/>
    <s v="vikas.mehta@company.com"/>
    <n v="9569007422"/>
    <s v="Pending"/>
    <s v=""/>
    <s v="Vikas Mehta"/>
    <s v="Vik005De"/>
    <s v="vikas.mehta@company.com"/>
    <n v="36"/>
    <n v="8"/>
    <s v="Delayed"/>
  </r>
  <r>
    <x v="246"/>
    <s v="C008"/>
    <s v="P203"/>
    <x v="195"/>
    <s v="26/03/2025"/>
    <s v="Kavya Nair"/>
    <s v="Female"/>
    <s v="28/03/1982"/>
    <s v="Kolkata"/>
    <x v="3"/>
    <x v="1"/>
    <s v="Microwave"/>
    <n v="16"/>
    <n v="8500"/>
    <n v="0"/>
    <n v="136000"/>
    <n v="5"/>
    <s v="UPI"/>
    <s v="Neha"/>
    <s v="KAvya.nair@company.com"/>
    <n v="9180820441"/>
    <s v="Cancelled"/>
    <s v="Blacklisted"/>
    <s v="Kavya Nair"/>
    <s v="Kav008Ko"/>
    <s v="kavya.nair@company.com"/>
    <n v="38"/>
    <n v="3"/>
    <s v="On time"/>
  </r>
  <r>
    <x v="247"/>
    <s v="C001"/>
    <s v="P103"/>
    <x v="196"/>
    <s v="16/12/2025"/>
    <s v="Amit Sharma"/>
    <s v="Male"/>
    <s v="28/12/1976"/>
    <s v="Delhi"/>
    <x v="1"/>
    <x v="0"/>
    <s v="Keyboard"/>
    <n v="10"/>
    <n v="1200"/>
    <n v="15"/>
    <n v="10200"/>
    <n v="5"/>
    <s v="Cash"/>
    <s v="Rahul"/>
    <s v="amit.sharma@company.com"/>
    <n v="9769075826"/>
    <s v="Completed"/>
    <s v="Silver"/>
    <s v="Amit Sharma"/>
    <s v="Ami001De"/>
    <s v="amit.sharma@company.com"/>
    <s v=""/>
    <n v="1"/>
    <s v="On time"/>
  </r>
  <r>
    <x v="248"/>
    <s v="C003"/>
    <s v="P104"/>
    <x v="56"/>
    <s v="15/03/2025"/>
    <s v="Rohit Singh"/>
    <s v="Male"/>
    <d v="2003-03-08T00:00:00"/>
    <s v="Kolkata"/>
    <x v="3"/>
    <x v="0"/>
    <s v="Monitor"/>
    <n v="7"/>
    <n v="12000"/>
    <n v="0"/>
    <n v="84000"/>
    <n v="1"/>
    <s v="UPI"/>
    <s v="Karan"/>
    <s v="rohit.singh@company.com"/>
    <n v="9467916296"/>
    <s v="Pending"/>
    <s v="Blacklisted"/>
    <s v="Rohit Singh"/>
    <s v="Roh003Ko"/>
    <s v="rohit.singh@company.com"/>
    <s v=""/>
    <s v=""/>
    <s v="Delayed"/>
  </r>
  <r>
    <x v="249"/>
    <s v="C005"/>
    <s v="P104"/>
    <x v="10"/>
    <d v="2025-01-10T00:00:00"/>
    <s v="Vikas Mehta"/>
    <s v="Male"/>
    <d v="1986-06-05T00:00:00"/>
    <s v="Pune"/>
    <x v="2"/>
    <x v="0"/>
    <s v="Monitor"/>
    <n v="3"/>
    <n v="12000"/>
    <n v="10"/>
    <n v="32400"/>
    <n v="4"/>
    <s v="Card"/>
    <s v="Karan"/>
    <s v="vikas.mehta@company.com"/>
    <n v="9477052923"/>
    <s v="Completed"/>
    <s v="Silver"/>
    <s v="Vikas Mehta"/>
    <s v="Vik005Pu"/>
    <s v="vikas.mehta@company.com"/>
    <n v="23"/>
    <s v=""/>
    <s v="Delayed"/>
  </r>
  <r>
    <x v="250"/>
    <s v="C005"/>
    <s v="P104"/>
    <x v="197"/>
    <d v="2025-09-11T00:00:00"/>
    <s v="Vikas Mehta"/>
    <s v="Male"/>
    <d v="1989-04-02T00:00:00"/>
    <s v="Hyderabad"/>
    <x v="0"/>
    <x v="0"/>
    <s v="Monitor"/>
    <n v="4"/>
    <n v="12000"/>
    <n v="15"/>
    <n v="40800"/>
    <n v="3"/>
    <s v="Card"/>
    <s v="Ritika"/>
    <s v="vikas.mehta@company.com"/>
    <n v="9184311420"/>
    <s v="Pending"/>
    <s v=""/>
    <s v="Vikas Mehta"/>
    <s v="Vik005Hy"/>
    <s v="vikas.mehta@company.com"/>
    <n v="40"/>
    <s v=""/>
    <s v="Delayed"/>
  </r>
  <r>
    <x v="251"/>
    <s v="C003"/>
    <s v="P104"/>
    <x v="30"/>
    <s v="18/06/2025"/>
    <s v="Rohit Singh"/>
    <s v="Male"/>
    <d v="1980-08-02T00:00:00"/>
    <s v="Hyderabad"/>
    <x v="0"/>
    <x v="0"/>
    <s v="Monitor"/>
    <n v="13"/>
    <n v="12000"/>
    <n v="10"/>
    <n v="140400"/>
    <n v="2"/>
    <s v="Cash"/>
    <s v="Karan"/>
    <s v="rohit.singh@company.com"/>
    <n v="9630913127"/>
    <s v="Cancelled"/>
    <s v="Blacklisted"/>
    <s v="Rohit Singh"/>
    <s v="Roh003Hy"/>
    <s v="rohit.singh@company.com"/>
    <n v="37"/>
    <n v="2"/>
    <s v="On time"/>
  </r>
  <r>
    <x v="252"/>
    <s v="C008"/>
    <s v="P201"/>
    <x v="40"/>
    <d v="2025-11-06T00:00:00"/>
    <s v="Kavya Nair"/>
    <s v="Female"/>
    <s v="13/01/1985"/>
    <s v="Bengaluru"/>
    <x v="0"/>
    <x v="1"/>
    <s v="Mixer"/>
    <n v="19"/>
    <n v="3500"/>
    <n v="20"/>
    <n v="53200"/>
    <n v="1"/>
    <s v="Cash"/>
    <s v="Aisha"/>
    <s v="KAvya.nair@company.com"/>
    <n v="9997515828"/>
    <s v="Cancelled"/>
    <s v="Blacklisted"/>
    <s v="Kavya Nair"/>
    <s v="Kav008Be"/>
    <s v="kavya.nair@company.com"/>
    <n v="46"/>
    <s v=""/>
    <s v="Delayed"/>
  </r>
  <r>
    <x v="253"/>
    <s v="C008"/>
    <s v="P202"/>
    <x v="149"/>
    <d v="2025-12-02T00:00:00"/>
    <s v="Kavya Nair"/>
    <s v="Female"/>
    <s v="24/07/1979"/>
    <s v="Mumbai"/>
    <x v="2"/>
    <x v="1"/>
    <s v="Iron"/>
    <n v="7"/>
    <n v="2200"/>
    <n v="5"/>
    <n v="14630"/>
    <n v="3"/>
    <s v="UPI"/>
    <s v="Aisha"/>
    <s v="KAvya.nair@company.com"/>
    <n v="9394291182"/>
    <s v="Cancelled"/>
    <s v="Blacklisted"/>
    <s v="Kavya Nair"/>
    <s v="Kav008Mu"/>
    <s v="kavya.nair@company.com"/>
    <s v=""/>
    <s v=""/>
    <s v="Delayed"/>
  </r>
  <r>
    <x v="254"/>
    <s v="C007"/>
    <s v="P102"/>
    <x v="198"/>
    <s v="13/05/2026"/>
    <s v="arjun Rao"/>
    <s v="Male"/>
    <d v="1993-03-08T00:00:00"/>
    <s v="Jaipur"/>
    <x v="1"/>
    <x v="0"/>
    <s v="Mouse"/>
    <n v="18"/>
    <n v="700"/>
    <n v="5"/>
    <n v="11970"/>
    <n v="2"/>
    <s v="UPI"/>
    <s v="Aisha"/>
    <s v="arjun.rao@company.com"/>
    <n v="9616853220"/>
    <s v="Cancelled"/>
    <s v="Blacklisted"/>
    <s v="Arjun Rao"/>
    <s v="Arj007Ja"/>
    <s v="arjun.rao@company.com"/>
    <s v=""/>
    <s v=""/>
    <s v="Delayed"/>
  </r>
  <r>
    <x v="255"/>
    <s v="C008"/>
    <s v="P302"/>
    <x v="179"/>
    <s v="30/07/2025"/>
    <s v="Kavya Nair"/>
    <s v="Female"/>
    <s v="23/08/1975"/>
    <s v="Kolkata"/>
    <x v="3"/>
    <x v="2"/>
    <s v="Pen"/>
    <n v="11"/>
    <n v="20"/>
    <n v="0"/>
    <n v="220"/>
    <n v="2"/>
    <s v="NetBanking"/>
    <s v="Neha"/>
    <s v="KAvya.nair@company.com"/>
    <n v="9147552626"/>
    <s v="Cancelled"/>
    <s v="Blacklisted"/>
    <s v="Kavya Nair"/>
    <s v="Kav008Ko"/>
    <s v="kavya.nair@company.com"/>
    <n v="33"/>
    <n v="10"/>
    <s v="Delayed"/>
  </r>
  <r>
    <x v="256"/>
    <s v="C001"/>
    <s v="P104"/>
    <x v="172"/>
    <d v="2025-07-03T00:00:00"/>
    <s v="Amit Sharma"/>
    <s v="Male"/>
    <s v="23/04/1978"/>
    <s v="Pune"/>
    <x v="2"/>
    <x v="0"/>
    <s v="Monitor"/>
    <n v="17"/>
    <n v="12000"/>
    <n v="20"/>
    <n v="163200"/>
    <n v="4"/>
    <s v="UPI"/>
    <s v="Karan"/>
    <s v="amit.sharma@company.com"/>
    <n v="9724197033"/>
    <s v="Completed"/>
    <s v="Gold"/>
    <s v="Amit Sharma"/>
    <s v="Ami001Pu"/>
    <s v="amit.sharma@company.com"/>
    <s v=""/>
    <s v=""/>
    <s v="Delayed"/>
  </r>
  <r>
    <x v="257"/>
    <s v="C006"/>
    <s v="P202"/>
    <x v="199"/>
    <s v="13/07/2025"/>
    <s v="Sneha Joshi"/>
    <s v="Female"/>
    <s v="25/09/2003"/>
    <s v="Kolkata"/>
    <x v="3"/>
    <x v="1"/>
    <s v="Iron"/>
    <n v="4"/>
    <n v="2200"/>
    <n v="5"/>
    <n v="8360"/>
    <n v="2"/>
    <s v="Cash"/>
    <s v="Ritika"/>
    <s v="sneha.joshi@company.com"/>
    <n v="9130666128"/>
    <s v="Completed"/>
    <s v="Blacklisted"/>
    <s v="Sneha Joshi"/>
    <s v="Sne006Ko"/>
    <s v="sneha.joshi@company.com"/>
    <s v=""/>
    <s v=""/>
    <s v="Delayed"/>
  </r>
  <r>
    <x v="258"/>
    <s v="C008"/>
    <s v="P101"/>
    <x v="200"/>
    <s v="19/12/2025"/>
    <s v="Kavya Nair"/>
    <s v="Female"/>
    <d v="2002-09-04T00:00:00"/>
    <s v="Ahmedabad"/>
    <x v="2"/>
    <x v="0"/>
    <s v="Laptop"/>
    <n v="6"/>
    <n v="55000"/>
    <n v="20"/>
    <n v="264000"/>
    <n v="2"/>
    <s v="UPI"/>
    <s v="Karan"/>
    <s v="KAvya.nair@company.com"/>
    <n v="9866567601"/>
    <s v="Cancelled"/>
    <s v="Blacklisted"/>
    <s v="Kavya Nair"/>
    <s v="Kav008Ah"/>
    <s v="kavya.nair@company.com"/>
    <s v=""/>
    <s v=""/>
    <s v="Delayed"/>
  </r>
  <r>
    <x v="259"/>
    <s v="C009"/>
    <s v="P203"/>
    <x v="5"/>
    <s v="14/01/2026"/>
    <s v="Mohit Verma"/>
    <s v="Male"/>
    <s v="24/09/1985"/>
    <s v="Delhi"/>
    <x v="1"/>
    <x v="1"/>
    <s v="Microwave"/>
    <n v="6"/>
    <n v="8500"/>
    <n v="10"/>
    <n v="45900"/>
    <n v="5"/>
    <s v="UPI"/>
    <s v="Aisha"/>
    <s v="mohit.verma@company.com"/>
    <n v="9477282450"/>
    <s v="Completed"/>
    <s v="Silver"/>
    <s v="Mohit Verma"/>
    <s v="Moh009De"/>
    <s v="mohit.verma@company.com"/>
    <n v="24"/>
    <s v=""/>
    <s v="Delayed"/>
  </r>
  <r>
    <x v="260"/>
    <s v="C008"/>
    <s v="P302"/>
    <x v="85"/>
    <s v="25/08/2025"/>
    <s v="Kavya Nair"/>
    <s v="Female"/>
    <d v="1984-12-12T00:00:00"/>
    <s v="Jaipur"/>
    <x v="1"/>
    <x v="2"/>
    <s v="Pen"/>
    <n v="6"/>
    <n v="20"/>
    <n v="15"/>
    <n v="102"/>
    <n v="2"/>
    <s v="UPI"/>
    <s v="Rahul"/>
    <s v="KAvya.nair@company.com"/>
    <n v="9857621478"/>
    <s v="Cancelled"/>
    <s v="Blacklisted"/>
    <s v="Kavya Nair"/>
    <s v="Kav008Ja"/>
    <s v="kavya.nair@company.com"/>
    <s v=""/>
    <n v="5"/>
    <s v="On time"/>
  </r>
  <r>
    <x v="261"/>
    <s v="C010"/>
    <s v="P301"/>
    <x v="201"/>
    <d v="2025-11-05T00:00:00"/>
    <s v="pooja shah"/>
    <s v="Female"/>
    <s v="20/07/1984"/>
    <s v="Mumbai"/>
    <x v="2"/>
    <x v="2"/>
    <s v="Notebook"/>
    <n v="6"/>
    <n v="60"/>
    <n v="5"/>
    <n v="342"/>
    <n v="1"/>
    <s v="NetBanking"/>
    <s v="Aisha"/>
    <s v="pooja.shah@company.com"/>
    <n v="9753869055"/>
    <s v="Completed"/>
    <s v="Blacklisted"/>
    <s v="Pooja Shah"/>
    <s v="Poo010Mu"/>
    <s v="pooja.shah@company.com"/>
    <n v="41"/>
    <s v=""/>
    <s v="Delayed"/>
  </r>
  <r>
    <x v="262"/>
    <s v="C003"/>
    <s v="P203"/>
    <x v="202"/>
    <d v="2025-12-01T00:00:00"/>
    <s v="Rohit Singh"/>
    <s v="Male"/>
    <s v="15/03/1988"/>
    <s v="Hyderabad"/>
    <x v="0"/>
    <x v="1"/>
    <s v="Microwave"/>
    <n v="19"/>
    <n v="8500"/>
    <n v="0"/>
    <n v="161500"/>
    <n v="5"/>
    <s v="UPI"/>
    <s v="Karan"/>
    <s v="rohit.singh@company.com"/>
    <n v="9663266204"/>
    <s v="Completed"/>
    <s v="Platinum"/>
    <s v="Rohit Singh"/>
    <s v="Roh003Hy"/>
    <s v="rohit.singh@company.com"/>
    <s v=""/>
    <s v=""/>
    <s v="Delayed"/>
  </r>
  <r>
    <x v="263"/>
    <s v="C006"/>
    <s v="P101"/>
    <x v="62"/>
    <d v="2025-10-09T00:00:00"/>
    <s v="Sneha Joshi"/>
    <s v="Female"/>
    <s v="27/05/1987"/>
    <s v="Jaipur"/>
    <x v="1"/>
    <x v="0"/>
    <s v="Laptop"/>
    <n v="8"/>
    <n v="55000"/>
    <n v="0"/>
    <n v="440000"/>
    <n v="3"/>
    <s v="Card"/>
    <s v="Neha"/>
    <s v="sneha.joshi@company.com"/>
    <n v="9675208616"/>
    <s v="Pending"/>
    <s v=""/>
    <s v="Sneha Joshi"/>
    <s v="Sne006Ja"/>
    <s v="sneha.joshi@company.com"/>
    <s v=""/>
    <s v=""/>
    <s v="Delayed"/>
  </r>
  <r>
    <x v="264"/>
    <s v="C009"/>
    <s v="P104"/>
    <x v="178"/>
    <d v="2026-07-05T00:00:00"/>
    <s v="Mohit Verma"/>
    <s v="Male"/>
    <s v="25/10/1988"/>
    <s v="Kolkata"/>
    <x v="3"/>
    <x v="0"/>
    <s v="Monitor"/>
    <n v="18"/>
    <n v="12000"/>
    <n v="20"/>
    <n v="172800"/>
    <n v="5"/>
    <s v="UPI"/>
    <s v="Aisha"/>
    <s v="mohit.verma@company.com"/>
    <n v="9618393586"/>
    <s v="Cancelled"/>
    <s v="Blacklisted"/>
    <s v="Mohit Verma"/>
    <s v="Moh009Ko"/>
    <s v="mohit.verma@company.com"/>
    <s v=""/>
    <s v=""/>
    <s v="Delayed"/>
  </r>
  <r>
    <x v="265"/>
    <s v="C003"/>
    <s v="P203"/>
    <x v="203"/>
    <s v="26/04/2025"/>
    <s v="Rohit Singh"/>
    <s v="Male"/>
    <d v="1990-12-12T00:00:00"/>
    <s v="Ahmedabad"/>
    <x v="2"/>
    <x v="1"/>
    <s v="Microwave"/>
    <n v="8"/>
    <n v="8500"/>
    <n v="5"/>
    <n v="64600"/>
    <n v="2"/>
    <s v="Card"/>
    <s v="Aisha"/>
    <s v="rohit.singh@company.com"/>
    <n v="9137027840"/>
    <s v="Cancelled"/>
    <s v="Blacklisted"/>
    <s v="Rohit Singh"/>
    <s v="Roh003Ah"/>
    <s v="rohit.singh@company.com"/>
    <s v=""/>
    <n v="9"/>
    <s v="Delayed"/>
  </r>
  <r>
    <x v="266"/>
    <s v="C008"/>
    <s v="P302"/>
    <x v="204"/>
    <s v="18/08/2025"/>
    <s v="Kavya Nair"/>
    <s v="Female"/>
    <s v="23/02/1981"/>
    <s v="Mumbai"/>
    <x v="2"/>
    <x v="2"/>
    <s v="Pen"/>
    <n v="13"/>
    <n v="20"/>
    <n v="5"/>
    <n v="247"/>
    <n v="3"/>
    <s v="NetBanking"/>
    <s v="Neha"/>
    <s v="KAvya.nair@company.com"/>
    <n v="9362758134"/>
    <s v="Pending"/>
    <s v=""/>
    <s v="Kavya Nair"/>
    <s v="Kav008Mu"/>
    <s v="kavya.nair@company.com"/>
    <n v="35"/>
    <s v=""/>
    <s v="Delayed"/>
  </r>
  <r>
    <x v="267"/>
    <s v="C007"/>
    <s v="P301"/>
    <x v="118"/>
    <s v="16/04/2026"/>
    <s v="arjun Rao"/>
    <s v="Male"/>
    <d v="1985-03-04T00:00:00"/>
    <s v="Jaipur"/>
    <x v="1"/>
    <x v="2"/>
    <s v="Notebook"/>
    <n v="1"/>
    <n v="60"/>
    <n v="15"/>
    <n v="51"/>
    <n v="2"/>
    <s v="Card"/>
    <s v="Aisha"/>
    <s v="arjun.rao@company.com"/>
    <n v="9648541985"/>
    <s v="Cancelled"/>
    <s v="Blacklisted"/>
    <s v="Arjun Rao"/>
    <s v="Arj007Ja"/>
    <s v="arjun.rao@company.com"/>
    <s v=""/>
    <s v=""/>
    <s v="Delayed"/>
  </r>
  <r>
    <x v="268"/>
    <s v="C010"/>
    <s v="P302"/>
    <x v="205"/>
    <s v="28/06/2025"/>
    <s v="pooja shah"/>
    <s v="Female"/>
    <d v="1976-06-08T00:00:00"/>
    <s v="Pune"/>
    <x v="2"/>
    <x v="2"/>
    <s v="Pen"/>
    <n v="5"/>
    <n v="20"/>
    <n v="5"/>
    <n v="95"/>
    <n v="2"/>
    <s v="NetBanking"/>
    <s v="Rahul"/>
    <s v="pooja.shah@company.com"/>
    <n v="9175002781"/>
    <s v="Pending"/>
    <s v="Blacklisted"/>
    <s v="Pooja Shah"/>
    <s v="Poo010Pu"/>
    <s v="pooja.shah@company.com"/>
    <n v="41"/>
    <n v="6"/>
    <s v="Delayed"/>
  </r>
  <r>
    <x v="269"/>
    <s v="C005"/>
    <s v="P302"/>
    <x v="206"/>
    <s v="24/05/2025"/>
    <s v="Vikas Mehta"/>
    <s v="Male"/>
    <s v="13/05/1978"/>
    <s v="Kolkata"/>
    <x v="3"/>
    <x v="2"/>
    <s v="Pen"/>
    <n v="19"/>
    <n v="20"/>
    <n v="20"/>
    <n v="304"/>
    <n v="3"/>
    <s v="Cash"/>
    <s v="Ritika"/>
    <s v="vikas.mehta@company.com"/>
    <n v="9786241263"/>
    <s v="Cancelled"/>
    <s v="Blacklisted"/>
    <s v="Vikas Mehta"/>
    <s v="Vik005Ko"/>
    <s v="vikas.mehta@company.com"/>
    <n v="50"/>
    <n v="5"/>
    <s v="On time"/>
  </r>
  <r>
    <x v="270"/>
    <s v="C002"/>
    <s v="P303"/>
    <x v="207"/>
    <d v="2025-07-04T00:00:00"/>
    <s v="Priya Patel"/>
    <s v="Female"/>
    <s v="19/08/1998"/>
    <s v="Ahmedabad"/>
    <x v="2"/>
    <x v="2"/>
    <s v="Marker"/>
    <n v="17"/>
    <n v="45"/>
    <n v="5"/>
    <n v="726.75"/>
    <n v="4"/>
    <s v="Cash"/>
    <s v="Neha"/>
    <s v="priYa.patel@company.com"/>
    <n v="9691078176"/>
    <s v="Pending"/>
    <s v=""/>
    <s v="Priya Patel"/>
    <s v="Pri002Ah"/>
    <s v="priya.patel@company.com"/>
    <s v=""/>
    <s v=""/>
    <s v="Delayed"/>
  </r>
  <r>
    <x v="271"/>
    <s v="C007"/>
    <s v="P102"/>
    <x v="208"/>
    <s v="22/02/2026"/>
    <s v="arjun Rao"/>
    <s v="Male"/>
    <s v="20/10/1975"/>
    <s v="Bengaluru"/>
    <x v="0"/>
    <x v="0"/>
    <s v="Mouse"/>
    <n v="8"/>
    <n v="700"/>
    <n v="15"/>
    <n v="4760"/>
    <n v="4"/>
    <s v="NetBanking"/>
    <s v="Ritika"/>
    <s v="arjun.rao@company.com"/>
    <n v="9336679085"/>
    <s v="Pending"/>
    <s v=""/>
    <s v="Arjun Rao"/>
    <s v="Arj007Be"/>
    <s v="arjun.rao@company.com"/>
    <s v=""/>
    <n v="4"/>
    <s v="On time"/>
  </r>
  <r>
    <x v="272"/>
    <s v="C004"/>
    <s v="P202"/>
    <x v="209"/>
    <s v="29/01/2026"/>
    <s v="Anita Gupta"/>
    <s v="Female"/>
    <s v="28/09/1975"/>
    <s v="Mumbai"/>
    <x v="2"/>
    <x v="1"/>
    <s v="Iron"/>
    <n v="15"/>
    <n v="2200"/>
    <n v="10"/>
    <n v="29700"/>
    <n v="5"/>
    <s v="UPI"/>
    <s v="Karan"/>
    <s v="anita.gupta@company.com"/>
    <n v="9497351043"/>
    <s v="Completed"/>
    <s v="Silver"/>
    <s v="Anita Gupta"/>
    <s v="Ani004Mu"/>
    <s v="anita.gupta@company.com"/>
    <s v=""/>
    <n v="8"/>
    <s v="Delayed"/>
  </r>
  <r>
    <x v="273"/>
    <s v="C002"/>
    <s v="P202"/>
    <x v="210"/>
    <s v="29/09/2025"/>
    <s v="Priya Patel"/>
    <s v="Female"/>
    <s v="23/09/2002"/>
    <s v="Mumbai"/>
    <x v="2"/>
    <x v="1"/>
    <s v="Iron"/>
    <n v="1"/>
    <n v="2200"/>
    <n v="0"/>
    <n v="2200"/>
    <n v="4"/>
    <s v="Cash"/>
    <s v="Rahul"/>
    <s v="priYa.patel@company.com"/>
    <n v="9357038998"/>
    <s v="Cancelled"/>
    <s v="Blacklisted"/>
    <s v="Priya Patel"/>
    <s v="Pri002Mu"/>
    <s v="priya.patel@company.com"/>
    <s v=""/>
    <n v="12"/>
    <s v="Delayed"/>
  </r>
  <r>
    <x v="274"/>
    <s v="C006"/>
    <s v="P201"/>
    <x v="139"/>
    <s v="30/06/2025"/>
    <s v="Sneha Joshi"/>
    <s v="Female"/>
    <s v="17/06/1988"/>
    <s v="Ahmedabad"/>
    <x v="2"/>
    <x v="1"/>
    <s v="Mixer"/>
    <n v="10"/>
    <n v="3500"/>
    <n v="10"/>
    <n v="31500"/>
    <n v="4"/>
    <s v="NetBanking"/>
    <s v="Ritika"/>
    <s v="sneha.joshi@company.com"/>
    <n v="9986371291"/>
    <s v="Cancelled"/>
    <s v="Blacklisted"/>
    <s v="Sneha Joshi"/>
    <s v="Sne006Ah"/>
    <s v="sneha.joshi@company.com"/>
    <s v=""/>
    <n v="11"/>
    <s v="Delayed"/>
  </r>
  <r>
    <x v="275"/>
    <s v="C009"/>
    <s v="P201"/>
    <x v="211"/>
    <s v="16/05/2025"/>
    <s v="Mohit Verma"/>
    <s v="Male"/>
    <d v="1991-02-02T00:00:00"/>
    <s v="Jaipur"/>
    <x v="1"/>
    <x v="1"/>
    <s v="Mixer"/>
    <n v="16"/>
    <n v="3500"/>
    <n v="15"/>
    <n v="47600"/>
    <n v="1"/>
    <s v="Card"/>
    <s v="Neha"/>
    <s v="mohit.verma@company.com"/>
    <n v="9397839191"/>
    <s v="Pending"/>
    <s v="Blacklisted"/>
    <s v="Mohit Verma"/>
    <s v="Moh009Ja"/>
    <s v="mohit.verma@company.com"/>
    <s v=""/>
    <s v=""/>
    <s v="Delayed"/>
  </r>
  <r>
    <x v="276"/>
    <s v="C006"/>
    <s v="P104"/>
    <x v="212"/>
    <s v="18/09/2025"/>
    <s v="Sneha Joshi"/>
    <s v="Female"/>
    <d v="1978-09-08T00:00:00"/>
    <s v="Jaipur"/>
    <x v="1"/>
    <x v="0"/>
    <s v="Monitor"/>
    <n v="1"/>
    <n v="12000"/>
    <n v="0"/>
    <n v="12000"/>
    <n v="4"/>
    <s v="NetBanking"/>
    <s v="Neha"/>
    <s v="sneha.joshi@company.com"/>
    <n v="9162975843"/>
    <s v="Cancelled"/>
    <s v="Blacklisted"/>
    <s v="Sneha Joshi"/>
    <s v="Sne006Ja"/>
    <s v="sneha.joshi@company.com"/>
    <n v="35"/>
    <s v=""/>
    <s v="Delayed"/>
  </r>
  <r>
    <x v="277"/>
    <s v="C007"/>
    <s v="P102"/>
    <x v="213"/>
    <s v="29/04/2025"/>
    <s v="arjun Rao"/>
    <s v="Male"/>
    <d v="1994-02-02T00:00:00"/>
    <s v="Mumbai"/>
    <x v="2"/>
    <x v="0"/>
    <s v="Mouse"/>
    <n v="6"/>
    <n v="700"/>
    <n v="20"/>
    <n v="3360"/>
    <n v="2"/>
    <s v="NetBanking"/>
    <s v="Neha"/>
    <s v="arjun.rao@company.com"/>
    <n v="9237616558"/>
    <s v="Pending"/>
    <s v="Blacklisted"/>
    <s v="Arjun Rao"/>
    <s v="arj007Mu"/>
    <s v="arjun.rao@company.com"/>
    <n v="48"/>
    <n v="6"/>
    <s v="Delayed"/>
  </r>
  <r>
    <x v="278"/>
    <s v="C009"/>
    <s v="P202"/>
    <x v="214"/>
    <s v="27/02/2026"/>
    <s v="Mohit Verma"/>
    <s v="Male"/>
    <s v="28/03/1995"/>
    <s v="Ahmedabad"/>
    <x v="2"/>
    <x v="1"/>
    <s v="Iron"/>
    <n v="3"/>
    <n v="2200"/>
    <n v="0"/>
    <n v="6600"/>
    <n v="4"/>
    <s v="Card"/>
    <s v="Ritika"/>
    <s v="mohit.verma@company.com"/>
    <n v="9935063989"/>
    <s v="Completed"/>
    <s v="Silver"/>
    <s v="Mohit Verma"/>
    <s v="Moh009Ah"/>
    <s v="mohit.verma@company.com"/>
    <n v="32"/>
    <n v="6"/>
    <s v="Delayed"/>
  </r>
  <r>
    <x v="279"/>
    <s v="C006"/>
    <s v="P303"/>
    <x v="194"/>
    <d v="2026-01-01T00:00:00"/>
    <s v="Sneha Joshi"/>
    <s v="Female"/>
    <d v="1992-12-03T00:00:00"/>
    <s v="Hyderabad"/>
    <x v="0"/>
    <x v="2"/>
    <s v="Marker"/>
    <n v="6"/>
    <n v="45"/>
    <n v="15"/>
    <n v="229.5"/>
    <n v="1"/>
    <s v="UPI"/>
    <s v="Rahul"/>
    <s v="sneha.joshi@company.com"/>
    <n v="9167376169"/>
    <s v="Completed"/>
    <s v="Blacklisted"/>
    <s v="Sneha Joshi"/>
    <s v="Sne006Hy"/>
    <s v="sneha.joshi@company.com"/>
    <s v=""/>
    <s v=""/>
    <s v="Delayed"/>
  </r>
  <r>
    <x v="280"/>
    <s v="C006"/>
    <s v="P103"/>
    <x v="215"/>
    <s v="30/09/2025"/>
    <s v="Sneha Joshi"/>
    <s v="Female"/>
    <s v="23/01/1981"/>
    <s v="Bengaluru"/>
    <x v="0"/>
    <x v="0"/>
    <s v="Keyboard"/>
    <n v="2"/>
    <n v="1200"/>
    <n v="0"/>
    <n v="2400"/>
    <n v="1"/>
    <s v="Cash"/>
    <s v="Karan"/>
    <s v="sneha.joshi@company.com"/>
    <n v="9231845497"/>
    <s v="Cancelled"/>
    <s v="Blacklisted"/>
    <s v="Sneha Joshi"/>
    <s v="Sne006Be"/>
    <s v="sneha.joshi@company.com"/>
    <n v="33"/>
    <n v="8"/>
    <s v="Delayed"/>
  </r>
  <r>
    <x v="281"/>
    <s v="C004"/>
    <s v="P102"/>
    <x v="216"/>
    <d v="2026-11-05T00:00:00"/>
    <s v="Anita Gupta"/>
    <s v="Female"/>
    <s v="28/09/1984"/>
    <s v="Hyderabad"/>
    <x v="0"/>
    <x v="0"/>
    <s v="Mouse"/>
    <n v="14"/>
    <n v="700"/>
    <n v="15"/>
    <n v="8330"/>
    <n v="5"/>
    <s v="Cash"/>
    <s v="Neha"/>
    <s v="anita.gupta@company.com"/>
    <n v="9409415805"/>
    <s v="Pending"/>
    <s v=""/>
    <s v="Anita Gupta"/>
    <s v="Ani004Hy"/>
    <s v="anita.gupta@company.com"/>
    <s v=""/>
    <s v=""/>
    <s v="Delayed"/>
  </r>
  <r>
    <x v="282"/>
    <s v="C002"/>
    <s v="P302"/>
    <x v="35"/>
    <d v="2025-06-11T00:00:00"/>
    <s v="Priya Patel"/>
    <s v="Female"/>
    <d v="1975-06-11T00:00:00"/>
    <s v="Mumbai"/>
    <x v="2"/>
    <x v="2"/>
    <s v="Pen"/>
    <n v="13"/>
    <n v="20"/>
    <n v="5"/>
    <n v="247"/>
    <n v="1"/>
    <s v="Card"/>
    <s v="Ritika"/>
    <s v="priya.patecompany.com"/>
    <n v="9240800508"/>
    <s v="Pending"/>
    <s v="Blacklisted"/>
    <s v="Priya Patel"/>
    <s v="Pri002Mu"/>
    <s v="invalid email"/>
    <s v=""/>
    <s v=""/>
    <s v="Delayed"/>
  </r>
  <r>
    <x v="283"/>
    <s v="C009"/>
    <s v="P202"/>
    <x v="11"/>
    <s v="15/03/2025"/>
    <s v="Mohit Verma"/>
    <s v="Male"/>
    <s v="26/06/1995"/>
    <s v="Pune"/>
    <x v="2"/>
    <x v="1"/>
    <s v="Iron"/>
    <n v="3"/>
    <n v="2200"/>
    <n v="0"/>
    <n v="6600"/>
    <n v="4"/>
    <s v="NetBanking"/>
    <s v="Aisha"/>
    <s v="mohit.verma@company.com"/>
    <n v="9764609936"/>
    <s v="Cancelled"/>
    <s v="Blacklisted"/>
    <s v="Mohit Verma"/>
    <s v="Moh009Pu"/>
    <s v="mohit.verma@company.com"/>
    <n v="51"/>
    <s v=""/>
    <s v="Delayed"/>
  </r>
  <r>
    <x v="284"/>
    <s v="C009"/>
    <s v="P301"/>
    <x v="63"/>
    <s v="21/02/2026"/>
    <s v="Mohit Verma"/>
    <s v="Male"/>
    <s v="21/11/1979"/>
    <s v="Pune"/>
    <x v="2"/>
    <x v="2"/>
    <s v="Notebook"/>
    <n v="3"/>
    <n v="60"/>
    <n v="15"/>
    <n v="153"/>
    <n v="4"/>
    <s v="UPI"/>
    <s v="Neha"/>
    <s v="mohit.verma@company.com"/>
    <n v="9362733217"/>
    <s v="Completed"/>
    <s v="Silver"/>
    <s v="Mohit Verma"/>
    <s v="Moh009Pu"/>
    <s v="mohit.verma@company.com"/>
    <s v=""/>
    <s v=""/>
    <s v="Delayed"/>
  </r>
  <r>
    <x v="285"/>
    <s v="C003"/>
    <s v="P201"/>
    <x v="98"/>
    <s v="23/03/2025"/>
    <s v="Rohit Singh"/>
    <s v="Male"/>
    <s v="28/01/1987"/>
    <s v="Mumbai"/>
    <x v="2"/>
    <x v="1"/>
    <s v="Mixer"/>
    <n v="9"/>
    <n v="3500"/>
    <n v="5"/>
    <n v="29925"/>
    <n v="1"/>
    <s v="Cash"/>
    <s v="Aisha"/>
    <s v="rohit.singh@company.com"/>
    <n v="9270466205"/>
    <s v="Pending"/>
    <s v="Blacklisted"/>
    <s v="Rohit Singh"/>
    <s v="roh003Mu"/>
    <s v="rohit.singh@company.com"/>
    <s v=""/>
    <n v="6"/>
    <s v="Delayed"/>
  </r>
  <r>
    <x v="286"/>
    <s v="C001"/>
    <s v="P103"/>
    <x v="217"/>
    <d v="2025-01-04T00:00:00"/>
    <s v="Amit Sharma"/>
    <s v="Male"/>
    <d v="2001-08-02T00:00:00"/>
    <s v="Jaipur"/>
    <x v="1"/>
    <x v="0"/>
    <s v="Keyboard"/>
    <n v="5"/>
    <n v="1200"/>
    <n v="20"/>
    <n v="4800"/>
    <n v="2"/>
    <s v="UPI"/>
    <s v="Neha"/>
    <s v="amit.sharma@company.com"/>
    <n v="9571436865"/>
    <s v="Pending"/>
    <s v="Blacklisted"/>
    <s v="Amit Sharma"/>
    <s v="Ami001Ja"/>
    <s v="amit.sharma@company.com"/>
    <s v=""/>
    <s v=""/>
    <s v="Delayed"/>
  </r>
  <r>
    <x v="287"/>
    <s v="C010"/>
    <s v="P103"/>
    <x v="218"/>
    <s v="14/03/2025"/>
    <s v="pooja shah"/>
    <s v="Female"/>
    <s v="14/12/1989"/>
    <s v="Jaipur"/>
    <x v="1"/>
    <x v="0"/>
    <s v="Keyboard"/>
    <n v="10"/>
    <n v="1200"/>
    <n v="20"/>
    <n v="9600"/>
    <n v="4"/>
    <s v="Cash"/>
    <s v="Rahul"/>
    <s v="pooja.shah@company.com"/>
    <n v="9307011171"/>
    <s v="Completed"/>
    <s v="Silver"/>
    <s v="Pooja Shah"/>
    <s v="Poo010Ja"/>
    <s v="pooja.shah@company.com"/>
    <n v="25"/>
    <s v=""/>
    <s v="Delayed"/>
  </r>
  <r>
    <x v="288"/>
    <s v="C008"/>
    <s v="P103"/>
    <x v="219"/>
    <s v="24/02/2026"/>
    <s v="Kavya Nair"/>
    <s v="Female"/>
    <s v="15/12/1988"/>
    <s v="Ahmedabad"/>
    <x v="2"/>
    <x v="0"/>
    <s v="Keyboard"/>
    <n v="5"/>
    <n v="1200"/>
    <n v="20"/>
    <n v="4800"/>
    <n v="3"/>
    <s v="NetBanking"/>
    <s v="Karan"/>
    <s v="KAvya.nair@company.com"/>
    <n v="9922380435"/>
    <s v="Completed"/>
    <s v="Silver"/>
    <s v="Kavya Nair"/>
    <s v="Kav008Ah"/>
    <s v="kavya.nair@company.com"/>
    <s v=""/>
    <n v="11"/>
    <s v="Delayed"/>
  </r>
  <r>
    <x v="289"/>
    <s v="C004"/>
    <s v="P302"/>
    <x v="220"/>
    <s v="14/02/2025"/>
    <s v="Anita Gupta"/>
    <s v="Female"/>
    <s v="20/10/1990"/>
    <s v="Mumbai"/>
    <x v="2"/>
    <x v="2"/>
    <s v="Pen"/>
    <n v="10"/>
    <n v="20"/>
    <n v="5"/>
    <n v="190"/>
    <n v="4"/>
    <s v="Cash"/>
    <s v="Karan"/>
    <s v="anita.gupta@company.com"/>
    <n v="9463618792"/>
    <s v="Pending"/>
    <s v=""/>
    <s v="Anita Gupta"/>
    <s v="Ani004Mu"/>
    <s v="anita.gupta@company.com"/>
    <s v=""/>
    <s v=""/>
    <s v="Delayed"/>
  </r>
  <r>
    <x v="290"/>
    <s v="C002"/>
    <s v="P301"/>
    <x v="221"/>
    <s v="27/01/2025"/>
    <s v="Priya Patel"/>
    <s v="Female"/>
    <d v="1978-08-09T00:00:00"/>
    <s v="Delhi"/>
    <x v="1"/>
    <x v="2"/>
    <s v="Notebook"/>
    <n v="20"/>
    <n v="60"/>
    <n v="15"/>
    <n v="1020"/>
    <n v="5"/>
    <s v="Card"/>
    <s v="Ritika"/>
    <s v="priYa.patel@company.com"/>
    <n v="9954973200"/>
    <s v="Pending"/>
    <s v=""/>
    <s v="Priya Patel"/>
    <s v="Pri002De"/>
    <s v="priya.patel@company.com"/>
    <s v=""/>
    <n v="10"/>
    <s v="Delayed"/>
  </r>
  <r>
    <x v="291"/>
    <s v="C001"/>
    <s v="P202"/>
    <x v="222"/>
    <d v="2025-12-04T00:00:00"/>
    <s v="Amit Sharma"/>
    <s v="Male"/>
    <d v="1978-09-02T00:00:00"/>
    <s v="Ahmedabad"/>
    <x v="2"/>
    <x v="1"/>
    <s v="Iron"/>
    <n v="7"/>
    <n v="2200"/>
    <n v="15"/>
    <n v="13090"/>
    <n v="4"/>
    <s v="Cash"/>
    <s v="Aisha"/>
    <s v="amit.sharma@company.com"/>
    <n v="9383199236"/>
    <s v="Cancelled"/>
    <s v="Blacklisted"/>
    <s v="Amit Sharma"/>
    <s v="Ami001Ah"/>
    <s v="amit.sharma@company.com"/>
    <n v="48"/>
    <s v=""/>
    <s v="Delayed"/>
  </r>
  <r>
    <x v="292"/>
    <s v="C003"/>
    <s v="P101"/>
    <x v="97"/>
    <s v="16/01/2025"/>
    <s v="Rohit Singh"/>
    <s v="Male"/>
    <d v="2004-03-01T00:00:00"/>
    <s v="Hyderabad"/>
    <x v="0"/>
    <x v="0"/>
    <s v="Laptop"/>
    <n v="11"/>
    <n v="55000"/>
    <n v="5"/>
    <n v="574750"/>
    <n v="1"/>
    <s v="UPI"/>
    <s v="Ritika"/>
    <s v="rohit.singh@company.com"/>
    <n v="9482699727"/>
    <s v="Cancelled"/>
    <s v="Blacklisted"/>
    <s v="Rohit Singh"/>
    <s v="Roh003Hy"/>
    <s v="rohit.singh@company.com"/>
    <n v="48"/>
    <n v="3"/>
    <s v="On time"/>
  </r>
  <r>
    <x v="293"/>
    <s v="C007"/>
    <s v="P201"/>
    <x v="38"/>
    <s v="17/10/2025"/>
    <s v="arjun Rao"/>
    <s v="Male"/>
    <d v="1992-02-05T00:00:00"/>
    <s v="Jaipur"/>
    <x v="1"/>
    <x v="1"/>
    <s v="Mixer"/>
    <n v="12"/>
    <n v="3500"/>
    <n v="0"/>
    <n v="42000"/>
    <n v="2"/>
    <s v="NetBanking"/>
    <m/>
    <s v="arjun.rao@company.com"/>
    <n v="9332473934"/>
    <s v="Pending"/>
    <s v="Blacklisted"/>
    <s v="Arjun Rao"/>
    <s v="Arj007Ja"/>
    <s v="arjun.rao@company.com"/>
    <n v="22"/>
    <s v=""/>
    <s v="Delayed"/>
  </r>
  <r>
    <x v="294"/>
    <s v="C009"/>
    <s v="P303"/>
    <x v="223"/>
    <d v="2026-08-03T00:00:00"/>
    <s v="Mohit Verma"/>
    <s v="Male"/>
    <s v="26/01/2003"/>
    <s v="Hyderabad"/>
    <x v="0"/>
    <x v="2"/>
    <s v="Marker"/>
    <n v="15"/>
    <n v="45"/>
    <n v="10"/>
    <n v="607.5"/>
    <n v="2"/>
    <s v="Cash"/>
    <s v="Karan"/>
    <s v="mohit.verma@company.com"/>
    <n v="9647657382"/>
    <s v="Pending"/>
    <s v="Blacklisted"/>
    <s v="Mohit Verma"/>
    <s v="Moh009Hy"/>
    <s v="mohit.verma@company.com"/>
    <n v="34"/>
    <s v=""/>
    <s v="Delayed"/>
  </r>
  <r>
    <x v="295"/>
    <s v="C001"/>
    <s v="P303"/>
    <x v="224"/>
    <s v="26/05/2025"/>
    <s v="Amit Sharma"/>
    <s v="Male"/>
    <s v="20/05/1987"/>
    <s v="Bengaluru"/>
    <x v="0"/>
    <x v="2"/>
    <s v="Marker"/>
    <n v="13"/>
    <n v="45"/>
    <n v="0"/>
    <n v="585"/>
    <n v="5"/>
    <s v="NetBanking"/>
    <s v="Rahul"/>
    <s v="amit.sharma@company.com"/>
    <n v="9736797776"/>
    <s v="Pending"/>
    <s v=""/>
    <s v="Amit Sharma"/>
    <s v="Ami001Be"/>
    <s v="amit.sharma@company.com"/>
    <s v=""/>
    <n v="10"/>
    <s v="Delayed"/>
  </r>
  <r>
    <x v="296"/>
    <s v="C003"/>
    <s v="P101"/>
    <x v="113"/>
    <d v="2026-05-01T00:00:00"/>
    <s v="Rohit Singh"/>
    <s v="Male"/>
    <d v="1975-07-09T00:00:00"/>
    <s v="Bengaluru"/>
    <x v="0"/>
    <x v="0"/>
    <s v="Laptop"/>
    <n v="8"/>
    <n v="55000"/>
    <n v="0"/>
    <n v="440000"/>
    <n v="2"/>
    <s v="UPI"/>
    <s v="Karan"/>
    <s v="rohit.singh@company.com"/>
    <n v="9745773533"/>
    <s v="Cancelled"/>
    <s v="Blacklisted"/>
    <s v="Rohit Singh"/>
    <s v="Roh003Be"/>
    <s v="rohit.singh@company.com"/>
    <s v=""/>
    <s v=""/>
    <s v="Delayed"/>
  </r>
  <r>
    <x v="297"/>
    <s v="C006"/>
    <s v="P101"/>
    <x v="225"/>
    <s v="27/07/2025"/>
    <s v="Sneha Joshi"/>
    <s v="Female"/>
    <d v="1980-10-08T00:00:00"/>
    <s v="Delhi"/>
    <x v="1"/>
    <x v="0"/>
    <s v="Laptop"/>
    <n v="4"/>
    <n v="55000"/>
    <n v="20"/>
    <n v="176000"/>
    <n v="5"/>
    <s v="Cash"/>
    <s v="Rahul"/>
    <s v="sneha.joshi@company.com"/>
    <n v="9246715757"/>
    <s v="Pending"/>
    <s v=""/>
    <s v="Sneha Joshi"/>
    <s v="Sne006De"/>
    <s v="sneha.joshi@company.com"/>
    <n v="51"/>
    <n v="4"/>
    <s v="On time"/>
  </r>
  <r>
    <x v="298"/>
    <s v="C008"/>
    <s v="P201"/>
    <x v="226"/>
    <s v="26/04/2026"/>
    <s v="Kavya Nair"/>
    <s v="Female"/>
    <d v="1989-07-04T00:00:00"/>
    <s v="Ahmedabad"/>
    <x v="2"/>
    <x v="1"/>
    <s v="Mixer"/>
    <n v="19"/>
    <n v="3500"/>
    <n v="5"/>
    <n v="63175"/>
    <n v="1"/>
    <s v="Card"/>
    <s v="Neha"/>
    <s v="KAvya.nair@company.com"/>
    <n v="9904065774"/>
    <s v="Completed"/>
    <s v="Blacklisted"/>
    <s v="Kavya Nair"/>
    <s v="Kav008Ah"/>
    <s v="kavya.nair@company.com"/>
    <n v="46"/>
    <n v="3"/>
    <s v="On time"/>
  </r>
  <r>
    <x v="299"/>
    <s v="C005"/>
    <s v="P103"/>
    <x v="227"/>
    <d v="2025-06-03T00:00:00"/>
    <s v="Vikas Mehta"/>
    <s v="Male"/>
    <s v="20/08/1998"/>
    <s v="Jaipur"/>
    <x v="1"/>
    <x v="0"/>
    <s v="Keyboard"/>
    <n v="17"/>
    <n v="1200"/>
    <n v="15"/>
    <n v="17340"/>
    <n v="2"/>
    <s v="NetBanking"/>
    <s v="Rahul"/>
    <s v="vikas.mehta@company.com"/>
    <n v="9652985385"/>
    <s v="Completed"/>
    <s v="Blacklisted"/>
    <s v="Vikas Mehta"/>
    <s v="Vik005Ja"/>
    <s v="vikas.mehta@company.com"/>
    <n v="37"/>
    <s v=""/>
    <s v="Delayed"/>
  </r>
  <r>
    <x v="300"/>
    <s v="C008"/>
    <s v="P202"/>
    <x v="63"/>
    <s v="17/02/2026"/>
    <s v="Kavya Nair"/>
    <s v="Female"/>
    <d v="2001-03-04T00:00:00"/>
    <s v="Hyderabad"/>
    <x v="0"/>
    <x v="1"/>
    <s v="Iron"/>
    <n v="8"/>
    <n v="2200"/>
    <n v="5"/>
    <n v="16720"/>
    <n v="3"/>
    <s v="Card"/>
    <s v="Neha"/>
    <s v="KAvya.nair@company.com"/>
    <n v="9427001508"/>
    <s v="Pending"/>
    <s v=""/>
    <s v="Kavya Nair"/>
    <s v="Kav008Hy"/>
    <s v="kavya.nair@company.com"/>
    <s v=""/>
    <s v=""/>
    <s v="Delayed"/>
  </r>
  <r>
    <x v="301"/>
    <s v="C006"/>
    <s v="P102"/>
    <x v="158"/>
    <s v="26/02/2025"/>
    <s v="Sneha Joshi"/>
    <s v="Female"/>
    <d v="1992-05-03T00:00:00"/>
    <s v="Mumbai"/>
    <x v="2"/>
    <x v="0"/>
    <s v="Mouse"/>
    <n v="17"/>
    <n v="700"/>
    <n v="20"/>
    <n v="9520"/>
    <n v="4"/>
    <s v="NetBanking"/>
    <s v="Neha"/>
    <s v="sneha.joshi@company.com"/>
    <n v="9666803655"/>
    <s v="Completed"/>
    <s v="Silver"/>
    <s v="Sneha Joshi"/>
    <s v="Sne006Mu"/>
    <s v="sneha.joshi@company.com"/>
    <n v="25"/>
    <n v="10"/>
    <s v="Delayed"/>
  </r>
  <r>
    <x v="302"/>
    <s v="C006"/>
    <s v="P203"/>
    <x v="228"/>
    <d v="2025-08-09T00:00:00"/>
    <s v="Sneha Joshi"/>
    <s v="Female"/>
    <s v="28/12/1976"/>
    <s v="Pune"/>
    <x v="2"/>
    <x v="1"/>
    <s v="Microwave"/>
    <n v="6"/>
    <n v="8500"/>
    <n v="15"/>
    <n v="43350"/>
    <n v="1"/>
    <s v="Cash"/>
    <s v="Aisha"/>
    <s v="sneha.joshi@company.com"/>
    <n v="9134878547"/>
    <s v="Completed"/>
    <s v="Blacklisted"/>
    <s v="Sneha Joshi"/>
    <s v="Sne006Pu"/>
    <s v="sneha.joshi@company.com"/>
    <n v="34"/>
    <s v=""/>
    <s v="Delayed"/>
  </r>
  <r>
    <x v="303"/>
    <s v="C010"/>
    <s v="P201"/>
    <x v="229"/>
    <d v="2025-11-10T00:00:00"/>
    <s v="pooja shah"/>
    <s v="Female"/>
    <d v="1986-04-09T00:00:00"/>
    <s v="Hyderabad"/>
    <x v="0"/>
    <x v="1"/>
    <s v="Mixer"/>
    <n v="3"/>
    <n v="3500"/>
    <n v="10"/>
    <n v="9450"/>
    <n v="1"/>
    <s v="NetBanking"/>
    <s v="Rahul"/>
    <s v="pooja.shah@company.com"/>
    <n v="9253593557"/>
    <s v="Completed"/>
    <s v="Blacklisted"/>
    <s v="Pooja Shah"/>
    <s v="Poo010Hy"/>
    <s v="pooja.shah@company.com"/>
    <s v=""/>
    <s v=""/>
    <s v="Delayed"/>
  </r>
  <r>
    <x v="304"/>
    <s v="C009"/>
    <s v="P104"/>
    <x v="221"/>
    <s v="29/01/2025"/>
    <s v="Mohit Verma"/>
    <s v="Male"/>
    <s v="14/08/1989"/>
    <s v="Ahmedabad"/>
    <x v="2"/>
    <x v="0"/>
    <s v="Monitor"/>
    <n v="2"/>
    <n v="12000"/>
    <n v="20"/>
    <n v="19200"/>
    <n v="1"/>
    <s v="Card"/>
    <s v="Aisha"/>
    <s v="mohit.verma@company.com"/>
    <n v="9183094051"/>
    <s v="Completed"/>
    <s v="Blacklisted"/>
    <s v="Mohit Verma"/>
    <s v="Moh009Ah"/>
    <s v="mohit.verma@company.com"/>
    <n v="40"/>
    <n v="12"/>
    <s v="Delayed"/>
  </r>
  <r>
    <x v="305"/>
    <s v="C005"/>
    <s v="P302"/>
    <x v="44"/>
    <s v="16/10/2025"/>
    <s v="Vikas Mehta"/>
    <s v="Male"/>
    <d v="1991-02-03T00:00:00"/>
    <s v="Delhi"/>
    <x v="1"/>
    <x v="2"/>
    <s v="Pen"/>
    <n v="12"/>
    <n v="20"/>
    <n v="20"/>
    <n v="192"/>
    <n v="2"/>
    <s v="Card"/>
    <s v="Rahul"/>
    <s v="vikas.mehta@company.com"/>
    <n v="9293147620"/>
    <s v="Completed"/>
    <s v="Blacklisted"/>
    <s v="Vikas Mehta"/>
    <s v="Vik005De"/>
    <s v="vikas.mehta@company.com"/>
    <s v=""/>
    <n v="3"/>
    <s v="On time"/>
  </r>
  <r>
    <x v="306"/>
    <s v="C002"/>
    <s v="P104"/>
    <x v="230"/>
    <s v="28/04/2026"/>
    <s v="Priya Patel"/>
    <s v="Female"/>
    <s v="13/08/1989"/>
    <s v="Kolkata"/>
    <x v="3"/>
    <x v="0"/>
    <s v="Monitor"/>
    <n v="20"/>
    <n v="12000"/>
    <n v="15"/>
    <n v="204000"/>
    <n v="3"/>
    <s v="Cash"/>
    <s v="Ritika"/>
    <s v="priYa.patel@company.com"/>
    <n v="9755583734"/>
    <s v="Pending"/>
    <s v=""/>
    <s v="Priya Patel"/>
    <s v="Pri002Ko"/>
    <s v="priya.patel@company.com"/>
    <n v="35"/>
    <n v="2"/>
    <s v="On time"/>
  </r>
  <r>
    <x v="307"/>
    <s v="C010"/>
    <s v="P301"/>
    <x v="54"/>
    <d v="2026-04-04T00:00:00"/>
    <s v="pooja shah"/>
    <s v="Female"/>
    <d v="2003-02-02T00:00:00"/>
    <s v="Jaipur"/>
    <x v="1"/>
    <x v="2"/>
    <s v="Notebook"/>
    <n v="13"/>
    <n v="60"/>
    <n v="10"/>
    <n v="702"/>
    <n v="5"/>
    <s v="Cash"/>
    <s v="Ritika"/>
    <s v="pooja.shah@company.com"/>
    <n v="9186592813"/>
    <s v="Pending"/>
    <s v=""/>
    <s v="Pooja Shah"/>
    <s v="Poo010Ja"/>
    <s v="pooja.shah@company.com"/>
    <s v=""/>
    <s v=""/>
    <s v="Delayed"/>
  </r>
  <r>
    <x v="308"/>
    <s v="C009"/>
    <s v="P101"/>
    <x v="231"/>
    <s v="19/05/2025"/>
    <s v="Mohit Verma"/>
    <s v="Male"/>
    <s v="16/11/1995"/>
    <s v="Pune"/>
    <x v="2"/>
    <x v="0"/>
    <s v="Laptop"/>
    <n v="13"/>
    <n v="55000"/>
    <n v="5"/>
    <n v="679250"/>
    <n v="1"/>
    <s v="UPI"/>
    <s v="Karan"/>
    <s v="mohit.verma@company.com"/>
    <n v="9203482008"/>
    <s v="Pending"/>
    <s v="Blacklisted"/>
    <s v="Mohit Verma"/>
    <s v="Moh009Pu"/>
    <s v="mohit.verma@company.com"/>
    <n v="23"/>
    <s v=""/>
    <s v="Delayed"/>
  </r>
  <r>
    <x v="309"/>
    <s v="C002"/>
    <s v="P103"/>
    <x v="128"/>
    <d v="2026-10-03T00:00:00"/>
    <s v="Priya Patel"/>
    <s v="Female"/>
    <s v="24/11/1989"/>
    <s v="Bengaluru"/>
    <x v="0"/>
    <x v="0"/>
    <s v="Keyboard"/>
    <n v="7"/>
    <n v="1200"/>
    <n v="15"/>
    <n v="7140"/>
    <n v="5"/>
    <s v="UPI"/>
    <s v="Rahul"/>
    <s v="priYa.patel@company.com"/>
    <n v="9829888777"/>
    <s v="Pending"/>
    <s v=""/>
    <s v="Priya Patel"/>
    <s v="Pri002Be"/>
    <s v="priya.patel@company.com"/>
    <s v=""/>
    <s v=""/>
    <s v="Delayed"/>
  </r>
  <r>
    <x v="310"/>
    <s v="C007"/>
    <s v="P104"/>
    <x v="232"/>
    <s v="30/12/2025"/>
    <s v="arjun Rao"/>
    <s v="Male"/>
    <s v="20/04/1988"/>
    <s v="Jaipur"/>
    <x v="1"/>
    <x v="0"/>
    <s v="Monitor"/>
    <n v="17"/>
    <n v="12000"/>
    <n v="5"/>
    <n v="193800"/>
    <n v="1"/>
    <s v="Cash"/>
    <s v="Aisha"/>
    <s v="arjun.rao@company.com"/>
    <n v="9566101317"/>
    <s v="Cancelled"/>
    <s v="Blacklisted"/>
    <s v="Arjun Rao"/>
    <s v="Arj007Ja"/>
    <s v="arjun.rao@company.com"/>
    <s v=""/>
    <n v="4"/>
    <s v="On time"/>
  </r>
  <r>
    <x v="311"/>
    <s v="C007"/>
    <s v="P302"/>
    <x v="47"/>
    <s v="25/04/2026"/>
    <s v="arjun Rao"/>
    <s v="Male"/>
    <d v="1978-02-11T00:00:00"/>
    <s v="Bengaluru"/>
    <x v="0"/>
    <x v="2"/>
    <s v="Pen"/>
    <n v="10"/>
    <n v="20"/>
    <n v="5"/>
    <n v="190"/>
    <n v="2"/>
    <s v="Cash"/>
    <s v="Aisha"/>
    <s v="arjun.rao@company.com"/>
    <n v="9706240823"/>
    <s v="Cancelled"/>
    <s v="Blacklisted"/>
    <s v="Arjun Rao"/>
    <s v="Arj007Be"/>
    <s v="arjun.rao@company.com"/>
    <s v=""/>
    <n v="6"/>
    <s v="Delayed"/>
  </r>
  <r>
    <x v="312"/>
    <s v="C004"/>
    <s v="P202"/>
    <x v="35"/>
    <d v="2025-08-11T00:00:00"/>
    <s v="Anita Gupta"/>
    <s v="Female"/>
    <s v="13/12/1989"/>
    <s v="Delhi"/>
    <x v="1"/>
    <x v="1"/>
    <s v="Iron"/>
    <n v="11"/>
    <n v="2200"/>
    <n v="5"/>
    <n v="22990"/>
    <n v="5"/>
    <s v="Card"/>
    <s v="Rahul"/>
    <s v="anita.gupta@company.com"/>
    <n v="9259943760"/>
    <s v="Pending"/>
    <s v=""/>
    <s v="Anita Gupta"/>
    <s v="Ani004De"/>
    <s v="anita.gupta@company.com"/>
    <n v="48"/>
    <s v=""/>
    <s v="Delayed"/>
  </r>
  <r>
    <x v="313"/>
    <s v="C002"/>
    <s v="P301"/>
    <x v="233"/>
    <s v="28/02/2026"/>
    <s v="Priya Patel"/>
    <s v="Female"/>
    <d v="1995-08-01T00:00:00"/>
    <s v="Jaipur"/>
    <x v="1"/>
    <x v="2"/>
    <s v="Notebook"/>
    <n v="8"/>
    <n v="60"/>
    <n v="15"/>
    <n v="408"/>
    <n v="4"/>
    <s v="Cash"/>
    <s v="Rahul"/>
    <s v="priYa.patel@company.com"/>
    <n v="9527326977"/>
    <s v="Pending"/>
    <s v=""/>
    <s v="Priya Patel"/>
    <s v="Pri002Ja"/>
    <s v="priya.patel@company.com"/>
    <s v=""/>
    <n v="4"/>
    <s v="On time"/>
  </r>
  <r>
    <x v="314"/>
    <s v="C005"/>
    <s v="P303"/>
    <x v="195"/>
    <s v="25/03/2025"/>
    <s v="Vikas Mehta"/>
    <s v="Male"/>
    <s v="23/10/1994"/>
    <s v="Delhi"/>
    <x v="1"/>
    <x v="2"/>
    <s v="Marker"/>
    <n v="17"/>
    <n v="45"/>
    <n v="15"/>
    <n v="650.25"/>
    <n v="2"/>
    <s v="UPI"/>
    <s v="Karan"/>
    <s v="vikas.mehta@company.com"/>
    <n v="9886970990"/>
    <s v="Completed"/>
    <s v="Blacklisted"/>
    <s v="Vikas Mehta"/>
    <s v="Vik005De"/>
    <s v="vikas.mehta@company.com"/>
    <n v="31"/>
    <n v="2"/>
    <s v="On time"/>
  </r>
  <r>
    <x v="315"/>
    <s v="C001"/>
    <s v="P102"/>
    <x v="234"/>
    <d v="2025-10-03T00:00:00"/>
    <s v="Amit Sharma"/>
    <s v="Male"/>
    <s v="21/05/1996"/>
    <s v="Jaipur"/>
    <x v="1"/>
    <x v="0"/>
    <s v="Mouse"/>
    <n v="14"/>
    <n v="700"/>
    <n v="15"/>
    <n v="8330"/>
    <n v="1"/>
    <s v="Card"/>
    <s v="Neha"/>
    <s v="amit.sharma@company.com"/>
    <n v="9106930369"/>
    <s v="Completed"/>
    <s v="Blacklisted"/>
    <s v="Amit Sharma"/>
    <s v="Ami001Ja"/>
    <s v="amit.sharma@company.com"/>
    <s v=""/>
    <s v=""/>
    <s v="Delayed"/>
  </r>
  <r>
    <x v="316"/>
    <s v="C007"/>
    <s v="P103"/>
    <x v="235"/>
    <s v="14/06/2025"/>
    <s v="arjun Rao"/>
    <s v="Male"/>
    <s v="26/05/1982"/>
    <s v="Pune"/>
    <x v="2"/>
    <x v="0"/>
    <s v="Keyboard"/>
    <n v="3"/>
    <n v="1200"/>
    <n v="5"/>
    <n v="3420"/>
    <n v="3"/>
    <s v="NetBanking"/>
    <s v="Karan"/>
    <s v="arjun.rao@company.com"/>
    <n v="9342009114"/>
    <s v="Completed"/>
    <s v="Silver"/>
    <s v="Arjun Rao"/>
    <s v="Arj007Pu"/>
    <s v="arjun.rao@company.com"/>
    <s v=""/>
    <s v=""/>
    <s v="Delayed"/>
  </r>
  <r>
    <x v="317"/>
    <s v="C008"/>
    <s v="P103"/>
    <x v="130"/>
    <s v="16/07/2025"/>
    <s v="Kavya Nair"/>
    <s v="Female"/>
    <s v="22/11/2001"/>
    <s v="Ahmedabad"/>
    <x v="2"/>
    <x v="0"/>
    <s v="Keyboard"/>
    <n v="9"/>
    <n v="1200"/>
    <n v="15"/>
    <n v="9180"/>
    <n v="3"/>
    <s v="Cash"/>
    <s v="Rahul"/>
    <s v="KAvya.nair@company.com"/>
    <n v="9992739960"/>
    <s v="Completed"/>
    <s v="Silver"/>
    <s v="Kavya Nair"/>
    <s v="Kav008Ah"/>
    <s v="kavya.nair@company.com"/>
    <s v=""/>
    <s v=""/>
    <s v="Delayed"/>
  </r>
  <r>
    <x v="318"/>
    <s v="C006"/>
    <s v="P302"/>
    <x v="114"/>
    <s v="21/04/2026"/>
    <s v="Sneha Joshi"/>
    <s v="Female"/>
    <s v="26/02/1989"/>
    <s v="Mumbai"/>
    <x v="2"/>
    <x v="2"/>
    <s v="Pen"/>
    <n v="5"/>
    <n v="20"/>
    <n v="5"/>
    <n v="95"/>
    <n v="4"/>
    <s v="Cash"/>
    <s v="Karan"/>
    <s v="sneha.joshi@company.com"/>
    <n v="9241987748"/>
    <s v="Completed"/>
    <s v="Silver"/>
    <s v="Sneha Joshi"/>
    <s v="Sne006Mu"/>
    <s v="sneha.joshi@company.com"/>
    <s v=""/>
    <n v="1"/>
    <s v="On time"/>
  </r>
  <r>
    <x v="319"/>
    <s v="C006"/>
    <s v="P202"/>
    <x v="236"/>
    <s v="21/12/2025"/>
    <s v="Sneha Joshi"/>
    <s v="Female"/>
    <s v="18/08/1985"/>
    <s v="Ahmedabad"/>
    <x v="2"/>
    <x v="1"/>
    <s v="Iron"/>
    <n v="8"/>
    <n v="2200"/>
    <n v="10"/>
    <n v="15840"/>
    <n v="4"/>
    <s v="UPI"/>
    <s v="Aisha"/>
    <s v="sneha.joshi@company.com"/>
    <n v="9571990711"/>
    <s v="Cancelled"/>
    <s v="Blacklisted"/>
    <s v="Sneha Joshi"/>
    <s v="Sne006Ah"/>
    <s v="sneha.joshi@company.com"/>
    <s v=""/>
    <s v=""/>
    <s v="Delayed"/>
  </r>
  <r>
    <x v="320"/>
    <s v="C006"/>
    <s v="P102"/>
    <x v="36"/>
    <d v="2026-12-03T00:00:00"/>
    <s v="Sneha Joshi"/>
    <s v="Female"/>
    <d v="1980-03-01T00:00:00"/>
    <s v="Mumbai"/>
    <x v="2"/>
    <x v="0"/>
    <s v="Mouse"/>
    <n v="10"/>
    <n v="700"/>
    <n v="20"/>
    <n v="5600"/>
    <n v="1"/>
    <s v="UPI"/>
    <s v="Neha"/>
    <s v="sneha.joshi@company.com"/>
    <n v="9219231183"/>
    <s v="Completed"/>
    <s v="Blacklisted"/>
    <s v="Sneha Joshi"/>
    <s v="Sne006Mu"/>
    <s v="sneha.joshi@company.com"/>
    <s v=""/>
    <s v=""/>
    <s v="Delayed"/>
  </r>
  <r>
    <x v="321"/>
    <s v="C007"/>
    <s v="P102"/>
    <x v="237"/>
    <s v="28/11/2025"/>
    <s v="arjun Rao"/>
    <s v="Male"/>
    <d v="1978-08-01T00:00:00"/>
    <s v="Bengaluru"/>
    <x v="0"/>
    <x v="0"/>
    <s v="Mouse"/>
    <n v="2"/>
    <n v="700"/>
    <n v="20"/>
    <n v="1120"/>
    <n v="2"/>
    <s v="Cash"/>
    <s v="Neha"/>
    <s v="arjun.rao@company.com"/>
    <n v="9847386174"/>
    <s v="Pending"/>
    <s v="Blacklisted"/>
    <s v="Arjun Rao"/>
    <s v="Arj007Be"/>
    <s v="arjun.rao@company.com"/>
    <n v="46"/>
    <n v="3"/>
    <s v="On time"/>
  </r>
  <r>
    <x v="322"/>
    <s v="C005"/>
    <s v="P201"/>
    <x v="139"/>
    <s v="28/06/2025"/>
    <s v="Vikas Mehta"/>
    <s v="Male"/>
    <d v="1992-05-08T00:00:00"/>
    <s v="Pune"/>
    <x v="2"/>
    <x v="1"/>
    <s v="Mixer"/>
    <n v="16"/>
    <n v="3500"/>
    <n v="20"/>
    <n v="44800"/>
    <n v="2"/>
    <s v="UPI"/>
    <s v="Ritika"/>
    <s v="vikas.mehta@company.com"/>
    <n v="9941274924"/>
    <s v="Pending"/>
    <s v="Blacklisted"/>
    <s v="Vikas Mehta"/>
    <s v="Vik005Pu"/>
    <s v="vikas.mehta@company.com"/>
    <n v="48"/>
    <n v="9"/>
    <s v="Delayed"/>
  </r>
  <r>
    <x v="323"/>
    <s v="C004"/>
    <s v="P201"/>
    <x v="135"/>
    <d v="2025-01-08T00:00:00"/>
    <s v="Anita Gupta"/>
    <s v="Female"/>
    <s v="28/12/2004"/>
    <s v="Delhi"/>
    <x v="1"/>
    <x v="1"/>
    <s v="Mixer"/>
    <n v="9"/>
    <n v="3500"/>
    <n v="20"/>
    <n v="25200"/>
    <n v="1"/>
    <s v="Card"/>
    <s v="Rahul"/>
    <s v="anita.gupta@company.com"/>
    <n v="9950650508"/>
    <s v="Cancelled"/>
    <s v="Blacklisted"/>
    <s v="Anita Gupta"/>
    <s v="Ani004De"/>
    <s v="anita.gupta@company.com"/>
    <n v="34"/>
    <s v=""/>
    <s v="Delayed"/>
  </r>
  <r>
    <x v="324"/>
    <s v="C003"/>
    <s v="P102"/>
    <x v="238"/>
    <s v="30/10/2025"/>
    <s v="Rohit Singh"/>
    <s v="Male"/>
    <d v="2003-07-01T00:00:00"/>
    <s v="Hyderabad"/>
    <x v="0"/>
    <x v="0"/>
    <s v="Mouse"/>
    <n v="15"/>
    <n v="700"/>
    <n v="5"/>
    <n v="9975"/>
    <n v="1"/>
    <s v="Cash"/>
    <s v="Rahul"/>
    <s v="rohit.singh@company.com"/>
    <n v="9464035549"/>
    <s v="Cancelled"/>
    <s v="Blacklisted"/>
    <s v="Rohit Singh"/>
    <s v="Roh003Hy"/>
    <s v="rohit.singh@company.com"/>
    <s v=""/>
    <n v="1"/>
    <s v="On time"/>
  </r>
  <r>
    <x v="325"/>
    <s v="C010"/>
    <s v="P103"/>
    <x v="239"/>
    <d v="2026-10-03T00:00:00"/>
    <s v="pooja shah"/>
    <s v="Female"/>
    <d v="1993-09-03T00:00:00"/>
    <s v="Ahmedabad"/>
    <x v="2"/>
    <x v="0"/>
    <s v="Keyboard"/>
    <n v="13"/>
    <n v="1200"/>
    <n v="0"/>
    <n v="15600"/>
    <n v="3"/>
    <s v="NetBanking"/>
    <s v="Neha"/>
    <s v="pooja.shah@company.com"/>
    <n v="9142334315"/>
    <s v="Cancelled"/>
    <s v="Blacklisted"/>
    <s v="Pooja Shah"/>
    <s v="Poo010Ah"/>
    <s v="pooja.shah@company.com"/>
    <n v="23"/>
    <s v=""/>
    <s v="Delayed"/>
  </r>
  <r>
    <x v="326"/>
    <s v="C001"/>
    <s v="P104"/>
    <x v="240"/>
    <d v="2025-07-09T00:00:00"/>
    <s v="Amit Sharma"/>
    <s v="Male"/>
    <d v="1993-03-06T00:00:00"/>
    <s v="Delhi"/>
    <x v="1"/>
    <x v="0"/>
    <s v="Monitor"/>
    <n v="5"/>
    <n v="12000"/>
    <n v="10"/>
    <n v="54000"/>
    <n v="3"/>
    <s v="UPI"/>
    <s v="Rahul"/>
    <s v="amit.sharma@company.com"/>
    <n v="9123961962"/>
    <s v="Completed"/>
    <s v="Gold"/>
    <s v="Amit Sharma"/>
    <s v="Ami001De"/>
    <s v="amit.sharma@company.com"/>
    <n v="33"/>
    <s v=""/>
    <s v="Delayed"/>
  </r>
  <r>
    <x v="327"/>
    <s v="C010"/>
    <s v="P303"/>
    <x v="241"/>
    <d v="2025-08-04T00:00:00"/>
    <s v="pooja shah"/>
    <s v="Female"/>
    <d v="1999-10-12T00:00:00"/>
    <s v="Bengaluru"/>
    <x v="0"/>
    <x v="2"/>
    <s v="Marker"/>
    <n v="12"/>
    <n v="45"/>
    <n v="20"/>
    <n v="432"/>
    <n v="3"/>
    <s v="NetBanking"/>
    <s v="Aisha"/>
    <s v="pooja.shah@company.com"/>
    <n v="9741953402"/>
    <s v="Completed"/>
    <s v="Silver"/>
    <s v="Pooja Shah"/>
    <s v="poo010Be"/>
    <s v="pooja.shah@company.com"/>
    <n v="33"/>
    <s v=""/>
    <s v="Delayed"/>
  </r>
  <r>
    <x v="328"/>
    <s v="C008"/>
    <s v="P201"/>
    <x v="103"/>
    <s v="14/04/2025"/>
    <s v="Kavya Nair"/>
    <s v="Female"/>
    <d v="1976-06-06T00:00:00"/>
    <s v="Bengaluru"/>
    <x v="0"/>
    <x v="1"/>
    <s v="Mixer"/>
    <n v="2"/>
    <n v="3500"/>
    <n v="0"/>
    <n v="7000"/>
    <n v="1"/>
    <s v="NetBanking"/>
    <s v="Neha"/>
    <s v="KAvya.nair@company.com"/>
    <n v="9404733633"/>
    <s v="Pending"/>
    <s v="Blacklisted"/>
    <s v="Kavya Nair"/>
    <s v="Kav008Be"/>
    <s v="kavya.nair@company.com"/>
    <n v="27"/>
    <s v=""/>
    <s v="Delayed"/>
  </r>
  <r>
    <x v="329"/>
    <s v="C008"/>
    <s v="P202"/>
    <x v="58"/>
    <s v="16/05/2026"/>
    <s v="Kavya Nair"/>
    <s v="Female"/>
    <s v="27/10/1984"/>
    <s v="Pune"/>
    <x v="2"/>
    <x v="1"/>
    <s v="Iron"/>
    <n v="15"/>
    <n v="2200"/>
    <n v="15"/>
    <n v="28050"/>
    <n v="2"/>
    <s v="NetBanking"/>
    <s v="Rahul"/>
    <s v="KAvya.nair@company.com"/>
    <n v="9297492337"/>
    <s v="Pending"/>
    <s v="Blacklisted"/>
    <s v="Kavya Nair"/>
    <s v="kav008Pu"/>
    <s v="kavya.nair@company.com"/>
    <n v="50"/>
    <n v="3"/>
    <s v="On time"/>
  </r>
  <r>
    <x v="330"/>
    <s v="C002"/>
    <s v="P302"/>
    <x v="242"/>
    <d v="2025-12-12T00:00:00"/>
    <s v="Priya Patel"/>
    <s v="Female"/>
    <s v="28/02/1975"/>
    <s v="Ahmedabad"/>
    <x v="2"/>
    <x v="2"/>
    <s v="Pen"/>
    <n v="8"/>
    <n v="20"/>
    <n v="20"/>
    <n v="128"/>
    <n v="5"/>
    <s v="UPI"/>
    <s v="Rahul"/>
    <s v="priYa.patel@company.com"/>
    <n v="9350338928"/>
    <s v="Completed"/>
    <s v="Silver"/>
    <s v="Priya Patel"/>
    <s v="Pri002Ah"/>
    <s v="priya.patel@company.com"/>
    <s v=""/>
    <s v=""/>
    <s v="Delayed"/>
  </r>
  <r>
    <x v="331"/>
    <s v="C003"/>
    <s v="P302"/>
    <x v="36"/>
    <d v="2026-10-03T00:00:00"/>
    <s v="Rohit Singh"/>
    <s v="Male"/>
    <s v="19/10/1993"/>
    <s v="Hyderabad"/>
    <x v="0"/>
    <x v="2"/>
    <s v="Pen"/>
    <n v="1"/>
    <n v="20"/>
    <n v="0"/>
    <n v="20"/>
    <n v="3"/>
    <s v="UPI"/>
    <s v="Ritika"/>
    <s v="rohit.singh@company.com"/>
    <n v="9933894798"/>
    <s v="Completed"/>
    <s v="Silver"/>
    <s v="Rohit Singh"/>
    <s v="Roh003Hy"/>
    <s v="rohit.singh@company.com"/>
    <s v=""/>
    <s v=""/>
    <s v="Delayed"/>
  </r>
  <r>
    <x v="332"/>
    <s v="C008"/>
    <s v="P102"/>
    <x v="243"/>
    <s v="16/01/2026"/>
    <s v="Kavya Nair"/>
    <s v="Female"/>
    <s v="25/10/1983"/>
    <s v="Jaipur"/>
    <x v="1"/>
    <x v="0"/>
    <s v="Mouse"/>
    <n v="15"/>
    <n v="700"/>
    <n v="0"/>
    <n v="10500"/>
    <n v="2"/>
    <s v="UPI"/>
    <s v="Rahul"/>
    <s v="KAvya.nair@company.com"/>
    <n v="9705218824"/>
    <s v="Completed"/>
    <s v="Blacklisted"/>
    <s v="Kavya Nair"/>
    <s v="Kav008Ja"/>
    <s v="kavya.nair@company.com"/>
    <s v=""/>
    <s v=""/>
    <s v="Delayed"/>
  </r>
  <r>
    <x v="333"/>
    <s v="C001"/>
    <s v="P201"/>
    <x v="149"/>
    <d v="2025-10-02T00:00:00"/>
    <s v="Amit Sharma"/>
    <s v="Male"/>
    <d v="1983-08-01T00:00:00"/>
    <s v="Hyderabad"/>
    <x v="0"/>
    <x v="1"/>
    <s v="Mixer"/>
    <n v="15"/>
    <n v="3500"/>
    <n v="10"/>
    <n v="47250"/>
    <n v="3"/>
    <s v="Cash"/>
    <s v="Karan"/>
    <s v="amit.sharma@company.com"/>
    <n v="9229164453"/>
    <s v="Pending"/>
    <s v=""/>
    <s v="Amit Sharma"/>
    <s v="Ami001Hy"/>
    <s v="amit.sharma@company.com"/>
    <s v=""/>
    <s v=""/>
    <s v="Delayed"/>
  </r>
  <r>
    <x v="334"/>
    <s v="C008"/>
    <s v="P301"/>
    <x v="244"/>
    <d v="2025-07-08T00:00:00"/>
    <s v="Kavya Nair"/>
    <s v="Female"/>
    <s v="14/12/1983"/>
    <s v="Kolkata"/>
    <x v="3"/>
    <x v="2"/>
    <s v="Notebook"/>
    <n v="16"/>
    <n v="60"/>
    <n v="10"/>
    <n v="864"/>
    <n v="4"/>
    <s v="Card"/>
    <s v="Aisha"/>
    <s v="KAvya.nair@company.com"/>
    <n v="9219806176"/>
    <s v="Completed"/>
    <s v="Silver"/>
    <s v="Kavya Nair"/>
    <s v="Kav008Ko"/>
    <s v="kavya.nair@company.com"/>
    <n v="43"/>
    <s v=""/>
    <s v="Delayed"/>
  </r>
  <r>
    <x v="335"/>
    <s v="C003"/>
    <s v="P303"/>
    <x v="245"/>
    <s v="21/10/2025"/>
    <s v="Rohit Singh"/>
    <s v="Male"/>
    <s v="26/09/1983"/>
    <s v="Delhi"/>
    <x v="1"/>
    <x v="2"/>
    <s v="Marker"/>
    <n v="2"/>
    <n v="45"/>
    <n v="15"/>
    <n v="76.5"/>
    <n v="1"/>
    <s v="UPI"/>
    <s v="Karan"/>
    <s v="rohit.singh@company.com"/>
    <n v="9630210250"/>
    <s v="Cancelled"/>
    <s v="Blacklisted"/>
    <s v="Rohit Singh"/>
    <s v="Roh003De"/>
    <s v="rohit.singh@company.com"/>
    <s v=""/>
    <n v="6"/>
    <s v="Delayed"/>
  </r>
  <r>
    <x v="336"/>
    <s v="C004"/>
    <s v="P301"/>
    <x v="246"/>
    <s v="15/12/2025"/>
    <s v="Anita Gupta"/>
    <s v="Female"/>
    <s v="23/05/1975"/>
    <s v="Delhi"/>
    <x v="1"/>
    <x v="2"/>
    <s v="Notebook"/>
    <n v="13"/>
    <n v="60"/>
    <n v="15"/>
    <n v="663"/>
    <n v="2"/>
    <s v="NetBanking"/>
    <s v="Aisha"/>
    <s v="anita.gupta@company.com"/>
    <n v="9583354052"/>
    <s v="Cancelled"/>
    <s v="Blacklisted"/>
    <s v="Anita Gupta"/>
    <s v="Ani004De"/>
    <s v="anita.gupta@company.com"/>
    <s v=""/>
    <s v=""/>
    <s v="Delayed"/>
  </r>
  <r>
    <x v="337"/>
    <s v="C007"/>
    <s v="P104"/>
    <x v="183"/>
    <s v="22/05/2025"/>
    <s v="arjun Rao"/>
    <s v="Male"/>
    <d v="1994-09-11T00:00:00"/>
    <s v="Delhi"/>
    <x v="1"/>
    <x v="0"/>
    <s v="Monitor"/>
    <n v="15"/>
    <n v="12000"/>
    <n v="20"/>
    <n v="144000"/>
    <n v="3"/>
    <s v="Card"/>
    <s v="Ritika"/>
    <s v="arjun.rao@company.com"/>
    <n v="9242534507"/>
    <s v="Cancelled"/>
    <s v="Blacklisted"/>
    <s v="Arjun Rao"/>
    <s v="Arj007De"/>
    <s v="arjun.rao@company.com"/>
    <s v=""/>
    <n v="2"/>
    <s v="On time"/>
  </r>
  <r>
    <x v="338"/>
    <s v="C001"/>
    <s v="P302"/>
    <x v="120"/>
    <d v="2025-02-08T00:00:00"/>
    <s v="Amit Sharma"/>
    <s v="Male"/>
    <s v="17/12/1987"/>
    <s v="Delhi"/>
    <x v="1"/>
    <x v="2"/>
    <s v="Pen"/>
    <n v="2"/>
    <n v="20"/>
    <n v="20"/>
    <n v="32"/>
    <n v="4"/>
    <s v="Cash"/>
    <s v="Ritika"/>
    <s v="amit.sharma@company.com"/>
    <n v="9291239150"/>
    <s v="Pending"/>
    <s v=""/>
    <s v="Amit Sharma"/>
    <s v="Ami001De"/>
    <s v="amit.sharma@company.com"/>
    <n v="32"/>
    <s v=""/>
    <s v="Delayed"/>
  </r>
  <r>
    <x v="339"/>
    <s v="C003"/>
    <s v="P201"/>
    <x v="247"/>
    <s v="17/08/2025"/>
    <s v="Rohit Singh"/>
    <s v="Male"/>
    <s v="19/06/1975"/>
    <s v="Bengaluru"/>
    <x v="0"/>
    <x v="1"/>
    <s v="Mixer"/>
    <n v="16"/>
    <n v="3500"/>
    <n v="0"/>
    <n v="56000"/>
    <n v="4"/>
    <s v="Cash"/>
    <s v="Neha"/>
    <s v="rohit.singh@company.com"/>
    <n v="9550820904"/>
    <s v="Completed"/>
    <s v="Gold"/>
    <s v="Rohit Singh"/>
    <s v="Roh003Be"/>
    <s v="rohit.singh@company.com"/>
    <s v=""/>
    <s v=""/>
    <s v="Delayed"/>
  </r>
  <r>
    <x v="340"/>
    <s v="C010"/>
    <s v="P201"/>
    <x v="208"/>
    <s v="25/02/2026"/>
    <s v="pooja shah"/>
    <s v="Female"/>
    <d v="1977-09-01T00:00:00"/>
    <s v="Ahmedabad"/>
    <x v="2"/>
    <x v="1"/>
    <s v="Mixer"/>
    <n v="18"/>
    <n v="3500"/>
    <n v="15"/>
    <n v="53550"/>
    <n v="5"/>
    <s v="Cash"/>
    <s v="Karan"/>
    <s v="pooja.shah@company.com"/>
    <n v="9294486423"/>
    <s v="Cancelled"/>
    <s v="Blacklisted"/>
    <s v="Pooja Shah"/>
    <s v="Poo010Ah"/>
    <s v="pooja.shah@company.com"/>
    <s v=""/>
    <n v="7"/>
    <s v="Delayed"/>
  </r>
  <r>
    <x v="341"/>
    <s v="C008"/>
    <s v="P303"/>
    <x v="3"/>
    <s v="26/03/2026"/>
    <s v="Kavya Nair"/>
    <s v="Female"/>
    <s v="20/09/1993"/>
    <s v="Ahmedabad"/>
    <x v="2"/>
    <x v="2"/>
    <s v="Marker"/>
    <n v="20"/>
    <n v="45"/>
    <n v="15"/>
    <n v="765"/>
    <n v="4"/>
    <s v="Cash"/>
    <s v="Karan"/>
    <s v="KAvya.nair@company.com"/>
    <n v="9260258621"/>
    <s v="Cancelled"/>
    <s v="Blacklisted"/>
    <s v="Kavya Nair"/>
    <s v="Kav008Ah"/>
    <s v="kavya.nair@company.com"/>
    <n v="49"/>
    <n v="5"/>
    <s v="On time"/>
  </r>
  <r>
    <x v="342"/>
    <s v="C006"/>
    <s v="P202"/>
    <x v="248"/>
    <s v="19/04/2026"/>
    <s v="Sneha Joshi"/>
    <s v="Female"/>
    <d v="1997-05-03T00:00:00"/>
    <s v="Delhi"/>
    <x v="1"/>
    <x v="1"/>
    <s v="Iron"/>
    <n v="13"/>
    <n v="2200"/>
    <n v="15"/>
    <n v="24310"/>
    <n v="2"/>
    <s v="NetBanking"/>
    <s v="Neha"/>
    <s v="sneha.joshi@company.com"/>
    <n v="9697433584"/>
    <s v="Pending"/>
    <s v="Blacklisted"/>
    <s v="Sneha Joshi"/>
    <s v="Sne006De"/>
    <s v="sneha.joshi@company.com"/>
    <s v=""/>
    <n v="3"/>
    <s v="On time"/>
  </r>
  <r>
    <x v="343"/>
    <s v="C010"/>
    <s v="P999"/>
    <x v="44"/>
    <s v="14/10/2025"/>
    <s v="pooja shah"/>
    <s v="Female"/>
    <d v="2002-10-07T00:00:00"/>
    <s v="Kolkata"/>
    <x v="3"/>
    <x v="1"/>
    <s v="Microwave"/>
    <n v="11"/>
    <n v="8500"/>
    <n v="5"/>
    <n v="88825"/>
    <n v="1"/>
    <s v="UPI"/>
    <s v="Neha"/>
    <s v="pooja.shah@company.com"/>
    <n v="9837969758"/>
    <s v="Cancelled"/>
    <s v="Blacklisted"/>
    <s v="Pooja Shah"/>
    <s v="Poo010Ko"/>
    <s v="pooja.shah@company.com"/>
    <n v="29"/>
    <n v="1"/>
    <s v="On time"/>
  </r>
  <r>
    <x v="344"/>
    <s v="C010"/>
    <s v="P202"/>
    <x v="249"/>
    <d v="2025-10-12T00:00:00"/>
    <s v="pooja shah"/>
    <s v="Female"/>
    <s v="18/04/1984"/>
    <s v="Jaipur"/>
    <x v="1"/>
    <x v="1"/>
    <s v="Iron"/>
    <n v="2"/>
    <n v="2200"/>
    <n v="0"/>
    <n v="4400"/>
    <n v="4"/>
    <s v="UPI"/>
    <s v="Karan"/>
    <s v="pooja.shah@company.com"/>
    <n v="9209736419"/>
    <s v="Pending"/>
    <s v=""/>
    <s v="Pooja Shah"/>
    <s v="Poo010Ja"/>
    <s v="pooja.shah@company.com"/>
    <n v="24"/>
    <s v=""/>
    <s v="Delayed"/>
  </r>
  <r>
    <x v="345"/>
    <s v="C007"/>
    <s v="P102"/>
    <x v="250"/>
    <d v="2025-04-08T00:00:00"/>
    <s v="arjun Rao"/>
    <s v="Male"/>
    <d v="2003-01-07T00:00:00"/>
    <s v="Mumbai"/>
    <x v="2"/>
    <x v="0"/>
    <s v="Mouse"/>
    <n v="15"/>
    <n v="700"/>
    <n v="15"/>
    <n v="8925"/>
    <n v="3"/>
    <s v="NetBanking"/>
    <s v="Neha"/>
    <s v="arjun.rao@company.com"/>
    <n v="9645907237"/>
    <s v="Completed"/>
    <s v="Silver"/>
    <s v="Arjun Rao"/>
    <s v="arj007Mu"/>
    <s v="arjun.rao@company.com"/>
    <s v=""/>
    <s v=""/>
    <s v="Delayed"/>
  </r>
  <r>
    <x v="346"/>
    <s v="C003"/>
    <s v="P202"/>
    <x v="251"/>
    <s v="24/07/2025"/>
    <s v="Rohit Singh"/>
    <s v="Male"/>
    <s v="25/10/1992"/>
    <s v="Ahmedabad"/>
    <x v="2"/>
    <x v="1"/>
    <s v="Iron"/>
    <n v="5"/>
    <n v="2200"/>
    <n v="15"/>
    <n v="9350"/>
    <n v="1"/>
    <s v="NetBanking"/>
    <s v="Neha"/>
    <s v="rohit.singh@company.com"/>
    <n v="9566149945"/>
    <s v="Pending"/>
    <s v="Blacklisted"/>
    <s v="Rohit Singh"/>
    <s v="Roh003Ah"/>
    <s v="rohit.singh@company.com"/>
    <n v="23"/>
    <n v="6"/>
    <s v="Delayed"/>
  </r>
  <r>
    <x v="347"/>
    <s v="C007"/>
    <s v="P103"/>
    <x v="84"/>
    <d v="2026-12-03T00:00:00"/>
    <s v="arjun Rao"/>
    <s v="Male"/>
    <d v="1988-05-08T00:00:00"/>
    <s v="Ahmedabad"/>
    <x v="2"/>
    <x v="0"/>
    <s v="Keyboard"/>
    <n v="15"/>
    <n v="1200"/>
    <n v="0"/>
    <n v="18000"/>
    <n v="3"/>
    <s v="NetBanking"/>
    <s v="Aisha"/>
    <s v="arjun.rao@company.com"/>
    <n v="9935018068"/>
    <s v="Cancelled"/>
    <s v="Blacklisted"/>
    <s v="Arjun Rao"/>
    <s v="Arj007Ah"/>
    <s v="arjun.rao@company.com"/>
    <s v=""/>
    <s v=""/>
    <s v="Delayed"/>
  </r>
  <r>
    <x v="348"/>
    <s v="C006"/>
    <s v="P103"/>
    <x v="15"/>
    <d v="2026-10-04T00:00:00"/>
    <s v="Sneha Joshi"/>
    <s v="Female"/>
    <s v="24/06/1987"/>
    <s v="Mumbai"/>
    <x v="2"/>
    <x v="0"/>
    <s v="Keyboard"/>
    <n v="19"/>
    <n v="1200"/>
    <n v="0"/>
    <n v="22800"/>
    <n v="1"/>
    <s v="Cash"/>
    <s v="Rahul"/>
    <s v="sneha.joshi@company.com"/>
    <n v="9171794652"/>
    <s v="Cancelled"/>
    <s v="Blacklisted"/>
    <s v="Sneha Joshi"/>
    <s v="Sne006Mu"/>
    <s v="sneha.joshi@company.com"/>
    <n v="38"/>
    <s v=""/>
    <s v="Delayed"/>
  </r>
  <r>
    <x v="349"/>
    <s v="C004"/>
    <s v="P104"/>
    <x v="1"/>
    <s v="25/09/2025"/>
    <s v="Anita Gupta"/>
    <s v="Female"/>
    <s v="19/10/1989"/>
    <s v="Mumbai"/>
    <x v="2"/>
    <x v="0"/>
    <s v="Monitor"/>
    <n v="9"/>
    <n v="12000"/>
    <n v="15"/>
    <n v="91800"/>
    <n v="3"/>
    <s v="UPI"/>
    <s v="Rahul"/>
    <s v="anita.gupta@company.com"/>
    <n v="9671497416"/>
    <s v="Cancelled"/>
    <s v="Blacklisted"/>
    <s v="Anita Gupta"/>
    <s v="Ani004Mu"/>
    <s v="anita.gupta@company.com"/>
    <s v=""/>
    <n v="7"/>
    <s v="Delayed"/>
  </r>
  <r>
    <x v="350"/>
    <s v="C008"/>
    <s v="P303"/>
    <x v="45"/>
    <s v="21/10/2025"/>
    <s v="Kavya Nair"/>
    <s v="Female"/>
    <s v="22/05/1992"/>
    <s v="Jaipur"/>
    <x v="1"/>
    <x v="2"/>
    <s v="Marker"/>
    <n v="5"/>
    <n v="45"/>
    <n v="5"/>
    <n v="213.75"/>
    <n v="1"/>
    <s v="Card"/>
    <s v="Neha"/>
    <s v="KAvya.nair@company.com"/>
    <n v="9810433484"/>
    <s v="Completed"/>
    <s v="Blacklisted"/>
    <s v="Kavya Nair"/>
    <s v="Kav008Ja"/>
    <s v="kavya.nair@company.com"/>
    <s v=""/>
    <s v=""/>
    <s v="Delayed"/>
  </r>
  <r>
    <x v="351"/>
    <s v="C006"/>
    <s v="P102"/>
    <x v="252"/>
    <d v="2025-11-02T00:00:00"/>
    <s v="Sneha Joshi"/>
    <s v="Female"/>
    <d v="1989-10-11T00:00:00"/>
    <s v="Mumbai"/>
    <x v="2"/>
    <x v="0"/>
    <s v="Mouse"/>
    <n v="3"/>
    <n v="700"/>
    <n v="15"/>
    <n v="1785"/>
    <n v="4"/>
    <s v="Cash"/>
    <s v="Karan"/>
    <s v="sneha.joshi@company.com"/>
    <n v="9990243436"/>
    <s v="Completed"/>
    <s v="Silver"/>
    <s v="Sneha Joshi"/>
    <s v="Sne006Mu"/>
    <s v="sneha.joshi@company.com"/>
    <s v=""/>
    <s v=""/>
    <s v="Delayed"/>
  </r>
  <r>
    <x v="352"/>
    <s v="C009"/>
    <s v="P203"/>
    <x v="64"/>
    <s v="26/12/2025"/>
    <s v="Mohit Verma"/>
    <s v="Male"/>
    <d v="1980-03-09T00:00:00"/>
    <s v="Jaipur"/>
    <x v="1"/>
    <x v="1"/>
    <s v="Microwave"/>
    <n v="12"/>
    <n v="8500"/>
    <n v="5"/>
    <n v="96900"/>
    <n v="3"/>
    <s v="Card"/>
    <s v="Aisha"/>
    <s v="mohit.verma@company.com"/>
    <n v="9396678031"/>
    <s v="Pending"/>
    <s v=""/>
    <s v="Mohit Verma"/>
    <s v="Moh009Ja"/>
    <s v="mohit.verma@company.com"/>
    <n v="37"/>
    <n v="12"/>
    <s v="Delayed"/>
  </r>
  <r>
    <x v="353"/>
    <s v="C006"/>
    <s v="P203"/>
    <x v="253"/>
    <s v="19/04/2026"/>
    <s v="Sneha Joshi"/>
    <s v="Female"/>
    <d v="1979-06-03T00:00:00"/>
    <s v="Pune"/>
    <x v="2"/>
    <x v="1"/>
    <s v="Microwave"/>
    <n v="4"/>
    <n v="8500"/>
    <n v="15"/>
    <n v="28900"/>
    <n v="4"/>
    <s v="NetBanking"/>
    <s v="Aisha"/>
    <s v="sneha.joshi@company.com"/>
    <n v="9818591245"/>
    <s v="Pending"/>
    <s v=""/>
    <s v="Sneha Joshi"/>
    <s v="Sne006Pu"/>
    <s v="sneha.joshi@company.com"/>
    <n v="46"/>
    <s v=""/>
    <s v="Delayed"/>
  </r>
  <r>
    <x v="354"/>
    <s v="C003"/>
    <s v="P302"/>
    <x v="22"/>
    <s v="22/04/2025"/>
    <s v="Rohit Singh"/>
    <s v="Male"/>
    <d v="1996-04-09T00:00:00"/>
    <s v="Jaipur"/>
    <x v="1"/>
    <x v="2"/>
    <s v="Pen"/>
    <n v="16"/>
    <n v="20"/>
    <n v="10"/>
    <n v="288"/>
    <n v="4"/>
    <s v="Cash"/>
    <s v="Neha"/>
    <s v="rohit.singh@company.com"/>
    <n v="9505550047"/>
    <s v="Cancelled"/>
    <s v="Blacklisted"/>
    <s v="Rohit Singh"/>
    <s v="Roh003Ja"/>
    <s v="rohit.singh@company.com"/>
    <n v="47"/>
    <n v="3"/>
    <s v="On time"/>
  </r>
  <r>
    <x v="355"/>
    <s v="C003"/>
    <s v="P301"/>
    <x v="254"/>
    <s v="18/05/2026"/>
    <s v="Rohit Singh"/>
    <s v="Male"/>
    <s v="14/03/1999"/>
    <s v="Mumbai"/>
    <x v="2"/>
    <x v="2"/>
    <s v="Notebook"/>
    <n v="3"/>
    <n v="60"/>
    <n v="20"/>
    <n v="144"/>
    <n v="4"/>
    <s v="UPI"/>
    <s v="Karan"/>
    <s v="rohit.singh@company.com"/>
    <n v="9469828772"/>
    <s v="Pending"/>
    <s v=""/>
    <s v="Rohit Singh"/>
    <s v="roh003Mu"/>
    <s v="rohit.singh@company.com"/>
    <n v="30"/>
    <s v=""/>
    <s v="Delayed"/>
  </r>
  <r>
    <x v="356"/>
    <s v="C009"/>
    <s v="P202"/>
    <x v="179"/>
    <s v="26/07/2025"/>
    <s v="Mohit Verma"/>
    <s v="Male"/>
    <d v="1984-03-10T00:00:00"/>
    <s v="Mumbai"/>
    <x v="2"/>
    <x v="1"/>
    <s v="Iron"/>
    <n v="19"/>
    <n v="2200"/>
    <n v="10"/>
    <n v="37620"/>
    <n v="2"/>
    <s v="Cash"/>
    <s v="Karan"/>
    <s v="mohit.verma@company.com"/>
    <n v="9885092680"/>
    <s v="Pending"/>
    <s v="Blacklisted"/>
    <s v="Mohit Verma"/>
    <s v="Moh009Mu"/>
    <s v="mohit.verma@company.com"/>
    <s v=""/>
    <n v="6"/>
    <s v="Delayed"/>
  </r>
  <r>
    <x v="357"/>
    <s v="C009"/>
    <s v="P103"/>
    <x v="255"/>
    <s v="27/01/2026"/>
    <s v="Mohit Verma"/>
    <s v="Male"/>
    <d v="1984-09-07T00:00:00"/>
    <s v="Hyderabad"/>
    <x v="0"/>
    <x v="0"/>
    <s v="Keyboard"/>
    <n v="7"/>
    <n v="1200"/>
    <n v="20"/>
    <n v="6720"/>
    <n v="3"/>
    <s v="Card"/>
    <s v="Neha"/>
    <s v="mohit.verma@company.com"/>
    <n v="9362319457"/>
    <s v="Cancelled"/>
    <s v="Blacklisted"/>
    <s v="Mohit Verma"/>
    <s v="Moh009Hy"/>
    <s v="mohit.verma@company.com"/>
    <n v="42"/>
    <n v="4"/>
    <s v="On time"/>
  </r>
  <r>
    <x v="358"/>
    <s v="C010"/>
    <s v="P302"/>
    <x v="82"/>
    <s v="21/03/2026"/>
    <s v="pooja shah"/>
    <s v="Female"/>
    <d v="1989-10-03T00:00:00"/>
    <s v="Bengaluru"/>
    <x v="0"/>
    <x v="2"/>
    <s v="Pen"/>
    <n v="20"/>
    <n v="20"/>
    <n v="20"/>
    <n v="320"/>
    <n v="5"/>
    <s v="Card"/>
    <s v="Neha"/>
    <s v="pooja.shah@company.com"/>
    <n v="9223945130"/>
    <s v="Pending"/>
    <s v=""/>
    <s v="Pooja Shah"/>
    <s v="poo010Be"/>
    <s v="pooja.shah@company.com"/>
    <n v="42"/>
    <n v="5"/>
    <s v="On time"/>
  </r>
  <r>
    <x v="359"/>
    <s v="C002"/>
    <s v="P103"/>
    <x v="256"/>
    <d v="2025-07-05T00:00:00"/>
    <s v="Priya Patel"/>
    <s v="Female"/>
    <s v="19/04/1985"/>
    <s v="Hyderabad"/>
    <x v="0"/>
    <x v="0"/>
    <s v="Keyboard"/>
    <n v="19"/>
    <n v="1200"/>
    <n v="5"/>
    <n v="21660"/>
    <n v="3"/>
    <s v="Card"/>
    <s v="Ritika"/>
    <s v="priYa.patel@company.com"/>
    <n v="9910804926"/>
    <s v="Pending"/>
    <s v=""/>
    <s v="Priya Patel"/>
    <s v="Pri002Hy"/>
    <s v="priya.patel@company.com"/>
    <n v="37"/>
    <s v=""/>
    <s v="Delayed"/>
  </r>
  <r>
    <x v="360"/>
    <s v="C010"/>
    <s v="P302"/>
    <x v="257"/>
    <s v="13/02/2025"/>
    <s v="pooja shah"/>
    <s v="Female"/>
    <s v="13/08/2003"/>
    <s v="Hyderabad"/>
    <x v="0"/>
    <x v="2"/>
    <s v="Pen"/>
    <n v="5"/>
    <n v="20"/>
    <n v="0"/>
    <n v="100"/>
    <n v="2"/>
    <s v="UPI"/>
    <s v="Rahul"/>
    <s v="pooja.shah@company.com"/>
    <n v="9274269744"/>
    <s v="Pending"/>
    <s v="Blacklisted"/>
    <s v="Pooja Shah"/>
    <s v="Poo010Hy"/>
    <s v="pooja.shah@company.com"/>
    <s v=""/>
    <s v=""/>
    <s v="Delayed"/>
  </r>
  <r>
    <x v="361"/>
    <s v="C002"/>
    <s v="P303"/>
    <x v="128"/>
    <s v="16/03/2026"/>
    <s v="Priya Patel"/>
    <s v="Female"/>
    <d v="1983-11-09T00:00:00"/>
    <s v="Jaipur"/>
    <x v="1"/>
    <x v="2"/>
    <s v="Marker"/>
    <n v="16"/>
    <n v="45"/>
    <n v="15"/>
    <n v="612"/>
    <n v="5"/>
    <s v="Cash"/>
    <s v="Aisha"/>
    <s v="priYa.patel@company.com"/>
    <n v="9223196101"/>
    <s v="Cancelled"/>
    <s v="Blacklisted"/>
    <s v="Priya Patel"/>
    <s v="Pri002Ja"/>
    <s v="priya.patel@company.com"/>
    <s v=""/>
    <s v=""/>
    <s v="Delayed"/>
  </r>
  <r>
    <x v="362"/>
    <s v="C008"/>
    <s v="P202"/>
    <x v="201"/>
    <s v="15/05/2025"/>
    <s v="Kavya Nair"/>
    <s v="Female"/>
    <d v="1976-11-06T00:00:00"/>
    <s v="Jaipur"/>
    <x v="1"/>
    <x v="1"/>
    <s v="Iron"/>
    <n v="1"/>
    <n v="2200"/>
    <n v="10"/>
    <n v="1980"/>
    <n v="5"/>
    <s v="Card"/>
    <s v="Rahul"/>
    <s v="KAvya.nair@company.com"/>
    <n v="9888477457"/>
    <s v="Completed"/>
    <s v="Silver"/>
    <s v="Kavya Nair"/>
    <s v="Kav008Ja"/>
    <s v="kavya.nair@company.com"/>
    <n v="42"/>
    <s v=""/>
    <s v="Delayed"/>
  </r>
  <r>
    <x v="363"/>
    <s v="C010"/>
    <s v="P301"/>
    <x v="142"/>
    <d v="2026-05-04T00:00:00"/>
    <s v="pooja shah"/>
    <s v="Female"/>
    <d v="1987-04-01T00:00:00"/>
    <s v="Hyderabad"/>
    <x v="0"/>
    <x v="2"/>
    <s v="Notebook"/>
    <n v="19"/>
    <n v="60"/>
    <n v="15"/>
    <n v="969"/>
    <n v="4"/>
    <s v="NetBanking"/>
    <s v="Neha"/>
    <s v="pooja.shah@company.com"/>
    <n v="9435947486"/>
    <s v="Cancelled"/>
    <s v="Blacklisted"/>
    <s v="Pooja Shah"/>
    <s v="Poo010Hy"/>
    <s v="pooja.shah@company.com"/>
    <n v="49"/>
    <s v=""/>
    <s v="Delayed"/>
  </r>
  <r>
    <x v="364"/>
    <s v="C001"/>
    <s v="P101"/>
    <x v="258"/>
    <d v="2025-02-02T00:00:00"/>
    <s v="Amit Sharma"/>
    <s v="Male"/>
    <s v="14/05/1992"/>
    <s v="Delhi"/>
    <x v="1"/>
    <x v="0"/>
    <s v="Laptop"/>
    <n v="15"/>
    <n v="55000"/>
    <n v="0"/>
    <n v="825000"/>
    <n v="5"/>
    <s v="Card"/>
    <s v="Neha"/>
    <s v="amit.sharma@company.com"/>
    <n v="9411668831"/>
    <s v="Cancelled"/>
    <s v="Blacklisted"/>
    <s v="Amit Sharma"/>
    <s v="Ami001De"/>
    <s v="amit.sharma@company.com"/>
    <n v="39"/>
    <s v=""/>
    <s v="Delayed"/>
  </r>
  <r>
    <x v="365"/>
    <s v="C009"/>
    <s v="P303"/>
    <x v="229"/>
    <d v="2025-08-10T00:00:00"/>
    <s v="Mohit Verma"/>
    <s v="Male"/>
    <d v="1989-03-05T00:00:00"/>
    <s v="Bengaluru"/>
    <x v="0"/>
    <x v="2"/>
    <s v="Marker"/>
    <n v="11"/>
    <n v="45"/>
    <n v="5"/>
    <n v="470.25"/>
    <n v="5"/>
    <s v="NetBanking"/>
    <s v="Karan"/>
    <s v="mohit.verma@company.com"/>
    <n v="9523682403"/>
    <s v="Completed"/>
    <s v="Silver"/>
    <s v="Mohit Verma"/>
    <s v="Moh009Be"/>
    <s v="mohit.verma@company.com"/>
    <s v=""/>
    <s v=""/>
    <s v="Delayed"/>
  </r>
  <r>
    <x v="366"/>
    <s v="C006"/>
    <s v="P302"/>
    <x v="259"/>
    <s v="17/06/2025"/>
    <s v="Sneha Joshi"/>
    <s v="Female"/>
    <s v="19/12/1990"/>
    <s v="Jaipur"/>
    <x v="1"/>
    <x v="2"/>
    <s v="Pen"/>
    <n v="9"/>
    <n v="20"/>
    <n v="10"/>
    <n v="162"/>
    <n v="1"/>
    <s v="Card"/>
    <s v="Rahul"/>
    <s v="sneha.joshi@company.com"/>
    <n v="9652936744"/>
    <s v="Cancelled"/>
    <s v="Blacklisted"/>
    <s v="Sneha Joshi"/>
    <s v="Sne006Ja"/>
    <s v="sneha.joshi@company.com"/>
    <n v="37"/>
    <s v=""/>
    <s v="Delayed"/>
  </r>
  <r>
    <x v="367"/>
    <s v="C004"/>
    <s v="P303"/>
    <x v="102"/>
    <s v="20/11/2025"/>
    <s v="Anita Gupta"/>
    <s v="Female"/>
    <d v="1995-09-07T00:00:00"/>
    <s v="Bengaluru"/>
    <x v="0"/>
    <x v="2"/>
    <s v="Marker"/>
    <n v="5"/>
    <n v="45"/>
    <n v="5"/>
    <n v="213.75"/>
    <n v="3"/>
    <s v="Card"/>
    <s v="Neha"/>
    <s v="anita.gupta@company.com"/>
    <n v="9726464733"/>
    <s v="Pending"/>
    <s v=""/>
    <s v="Anita Gupta"/>
    <s v="Ani004Be"/>
    <s v="anita.gupta@company.com"/>
    <s v=""/>
    <n v="2"/>
    <s v="On time"/>
  </r>
  <r>
    <x v="368"/>
    <s v="C007"/>
    <s v="P102"/>
    <x v="260"/>
    <d v="2025-02-11T00:00:00"/>
    <s v="arjun Rao"/>
    <s v="Male"/>
    <s v="23/12/1998"/>
    <s v="Hyderabad"/>
    <x v="0"/>
    <x v="0"/>
    <s v="Mouse"/>
    <n v="5"/>
    <n v="700"/>
    <n v="10"/>
    <n v="3150"/>
    <n v="2"/>
    <s v="UPI"/>
    <s v="Rahul"/>
    <s v="arjun.rao@company.com"/>
    <n v="9273520544"/>
    <s v="Completed"/>
    <s v="Blacklisted"/>
    <s v="Arjun Rao"/>
    <s v="arj007Hy"/>
    <s v="arjun.rao@company.com"/>
    <n v="31"/>
    <s v=""/>
    <s v="Delayed"/>
  </r>
  <r>
    <x v="369"/>
    <s v="C005"/>
    <s v="P102"/>
    <x v="261"/>
    <s v="31/01/2025"/>
    <s v="Vikas Mehta"/>
    <s v="Male"/>
    <s v="23/12/1979"/>
    <s v="Kolkata"/>
    <x v="3"/>
    <x v="0"/>
    <s v="Mouse"/>
    <n v="1"/>
    <n v="700"/>
    <n v="0"/>
    <n v="700"/>
    <n v="1"/>
    <s v="UPI"/>
    <s v="Karan"/>
    <s v="vikas.mehta@company.com"/>
    <n v="9374259988"/>
    <s v="Completed"/>
    <s v="Blacklisted"/>
    <s v="Vikas Mehta"/>
    <s v="Vik005Ko"/>
    <s v="vikas.mehta@company.com"/>
    <s v=""/>
    <n v="7"/>
    <s v="Delayed"/>
  </r>
  <r>
    <x v="370"/>
    <s v="C008"/>
    <s v="P102"/>
    <x v="219"/>
    <s v="21/02/2026"/>
    <s v="Kavya Nair"/>
    <s v="Female"/>
    <s v="15/12/1975"/>
    <s v="Mumbai"/>
    <x v="2"/>
    <x v="0"/>
    <s v="Mouse"/>
    <n v="13"/>
    <n v="700"/>
    <n v="20"/>
    <n v="7280"/>
    <n v="2"/>
    <s v="Card"/>
    <s v="Ritika"/>
    <s v="KAvya.nair@company.com"/>
    <n v="9538129419"/>
    <s v="Completed"/>
    <s v="Blacklisted"/>
    <s v="Kavya Nair"/>
    <s v="Kav008Mu"/>
    <s v="kavya.nair@company.com"/>
    <s v=""/>
    <n v="8"/>
    <s v="Delayed"/>
  </r>
  <r>
    <x v="371"/>
    <s v="C009"/>
    <s v="P104"/>
    <x v="189"/>
    <s v="19/02/2025"/>
    <s v="Mohit Verma"/>
    <s v="Male"/>
    <s v="17/05/1993"/>
    <s v="Pune"/>
    <x v="2"/>
    <x v="0"/>
    <s v="Monitor"/>
    <n v="20"/>
    <n v="12000"/>
    <n v="0"/>
    <n v="240000"/>
    <n v="2"/>
    <s v="Card"/>
    <s v="Neha"/>
    <s v="mohit.verma@company.com"/>
    <n v="9382815686"/>
    <s v="Completed"/>
    <s v="Blacklisted"/>
    <s v="Mohit Verma"/>
    <s v="Moh009Pu"/>
    <s v="mohit.verma@company.com"/>
    <s v=""/>
    <s v=""/>
    <s v="Delayed"/>
  </r>
  <r>
    <x v="372"/>
    <s v="C007"/>
    <s v="P103"/>
    <x v="194"/>
    <d v="2026-06-01T00:00:00"/>
    <s v="arjun Rao"/>
    <s v="Male"/>
    <s v="17/09/1976"/>
    <s v="Kolkata"/>
    <x v="3"/>
    <x v="0"/>
    <s v="Keyboard"/>
    <n v="9"/>
    <n v="1200"/>
    <n v="15"/>
    <n v="9180"/>
    <n v="1"/>
    <s v="UPI"/>
    <s v="Ritika"/>
    <s v="arjun.rao@company.com"/>
    <n v="9450746157"/>
    <s v="Pending"/>
    <s v="Blacklisted"/>
    <s v="Arjun Rao"/>
    <s v="Arj007Ko"/>
    <s v="arjun.rao@company.com"/>
    <s v=""/>
    <s v=""/>
    <s v="Delayed"/>
  </r>
  <r>
    <x v="373"/>
    <s v="C007"/>
    <s v="P302"/>
    <x v="262"/>
    <d v="2025-03-10T00:00:00"/>
    <s v="arjun Rao"/>
    <s v="Male"/>
    <s v="22/12/1996"/>
    <s v="Jaipur"/>
    <x v="1"/>
    <x v="2"/>
    <s v="Pen"/>
    <n v="3"/>
    <n v="20"/>
    <n v="15"/>
    <n v="51"/>
    <n v="3"/>
    <s v="Cash"/>
    <s v="Neha"/>
    <s v="arjun.rao@company.com"/>
    <n v="9349012570"/>
    <s v="Pending"/>
    <s v=""/>
    <s v="Arjun Rao"/>
    <s v="Arj007Ja"/>
    <s v="arjun.rao@company.com"/>
    <s v=""/>
    <s v=""/>
    <s v="Delayed"/>
  </r>
  <r>
    <x v="374"/>
    <s v="C006"/>
    <s v="P101"/>
    <x v="168"/>
    <s v="19/12/2025"/>
    <s v="Sneha Joshi"/>
    <s v="Female"/>
    <s v="25/12/1995"/>
    <s v="Delhi"/>
    <x v="1"/>
    <x v="0"/>
    <s v="Laptop"/>
    <n v="8"/>
    <n v="55000"/>
    <n v="20"/>
    <n v="352000"/>
    <n v="5"/>
    <s v="Card"/>
    <s v="Karan"/>
    <s v="sneha.joshi@company.com"/>
    <n v="9442163790"/>
    <s v="Pending"/>
    <s v=""/>
    <s v="Sneha Joshi"/>
    <s v="Sne006De"/>
    <s v="sneha.joshi@company.com"/>
    <s v=""/>
    <n v="1"/>
    <s v="On time"/>
  </r>
  <r>
    <x v="375"/>
    <s v="C006"/>
    <s v="P301"/>
    <x v="263"/>
    <d v="2025-07-10T00:00:00"/>
    <s v="Sneha Joshi"/>
    <s v="Female"/>
    <s v="23/06/1985"/>
    <s v="Delhi"/>
    <x v="1"/>
    <x v="2"/>
    <s v="Notebook"/>
    <n v="17"/>
    <n v="60"/>
    <n v="20"/>
    <n v="816"/>
    <n v="1"/>
    <s v="UPI"/>
    <s v="Ritika"/>
    <s v="sneha.joshi@company.com"/>
    <n v="9953329223"/>
    <s v="Pending"/>
    <s v="Blacklisted"/>
    <s v="Sneha Joshi"/>
    <s v="Sne006De"/>
    <s v="sneha.joshi@company.com"/>
    <s v=""/>
    <s v=""/>
    <s v="Delayed"/>
  </r>
  <r>
    <x v="376"/>
    <s v="C003"/>
    <s v="P302"/>
    <x v="264"/>
    <s v="22/05/2025"/>
    <s v="Rohit Singh"/>
    <s v="Male"/>
    <d v="1984-10-02T00:00:00"/>
    <s v="Bengaluru"/>
    <x v="0"/>
    <x v="2"/>
    <s v="Pen"/>
    <n v="4"/>
    <n v="20"/>
    <n v="15"/>
    <n v="68"/>
    <n v="3"/>
    <s v="NetBanking"/>
    <s v="Aisha"/>
    <s v="rohit.singh@company.com"/>
    <n v="9202321359"/>
    <s v="Pending"/>
    <s v=""/>
    <s v="Rohit Singh"/>
    <s v="Roh003Be"/>
    <s v="rohit.singh@company.com"/>
    <s v=""/>
    <n v="8"/>
    <s v="Delayed"/>
  </r>
  <r>
    <x v="377"/>
    <s v="C003"/>
    <s v="P202"/>
    <x v="222"/>
    <d v="2025-11-04T00:00:00"/>
    <s v="Rohit Singh"/>
    <s v="Male"/>
    <d v="2002-02-04T00:00:00"/>
    <s v="Kolkata"/>
    <x v="3"/>
    <x v="1"/>
    <s v="Iron"/>
    <n v="2"/>
    <n v="2200"/>
    <n v="10"/>
    <n v="3960"/>
    <n v="2"/>
    <s v="UPI"/>
    <s v="Rahul"/>
    <s v="rohit.singh@company.com"/>
    <n v="9812564160"/>
    <s v="Pending"/>
    <s v="Blacklisted"/>
    <s v="Rohit Singh"/>
    <s v="Roh003Ko"/>
    <s v="rohit.singh@company.com"/>
    <n v="42"/>
    <s v=""/>
    <s v="Delayed"/>
  </r>
  <r>
    <x v="378"/>
    <s v="C005"/>
    <s v="P301"/>
    <x v="65"/>
    <s v="18/04/2025"/>
    <s v="Vikas Mehta"/>
    <s v="Male"/>
    <s v="17/07/2003"/>
    <s v="Bengaluru"/>
    <x v="0"/>
    <x v="2"/>
    <s v="Notebook"/>
    <n v="5"/>
    <n v="60"/>
    <n v="5"/>
    <n v="285"/>
    <n v="1"/>
    <s v="UPI"/>
    <s v="Ritika"/>
    <s v="vikas.mehta@company.com"/>
    <n v="9688458222"/>
    <s v="Cancelled"/>
    <s v="Blacklisted"/>
    <s v="Vikas Mehta"/>
    <s v="Vik005Be"/>
    <s v="vikas.mehta@company.com"/>
    <n v="24"/>
    <s v=""/>
    <s v="Delayed"/>
  </r>
  <r>
    <x v="379"/>
    <s v="C003"/>
    <s v="P202"/>
    <x v="265"/>
    <s v="23/02/2026"/>
    <s v="Rohit Singh"/>
    <s v="Male"/>
    <d v="1991-06-10T00:00:00"/>
    <s v="Delhi"/>
    <x v="1"/>
    <x v="1"/>
    <s v="Iron"/>
    <n v="17"/>
    <n v="2200"/>
    <n v="0"/>
    <n v="37400"/>
    <n v="2"/>
    <s v="UPI"/>
    <s v="Karan"/>
    <s v="rohit.singh@company.com"/>
    <n v="9634473337"/>
    <s v="Cancelled"/>
    <s v="Blacklisted"/>
    <s v="Rohit Singh"/>
    <s v="Roh003De"/>
    <s v="rohit.singh@company.com"/>
    <s v=""/>
    <n v="4"/>
    <s v="On time"/>
  </r>
  <r>
    <x v="380"/>
    <s v="C004"/>
    <s v="P301"/>
    <x v="242"/>
    <d v="2025-11-12T00:00:00"/>
    <s v="Anita Gupta"/>
    <s v="Female"/>
    <d v="1984-05-01T00:00:00"/>
    <s v="Ahmedabad"/>
    <x v="2"/>
    <x v="2"/>
    <s v="Notebook"/>
    <n v="7"/>
    <n v="60"/>
    <n v="0"/>
    <n v="420"/>
    <n v="2"/>
    <s v="UPI"/>
    <s v="Aisha"/>
    <s v="anita.gupta@company.com"/>
    <n v="9608737026"/>
    <s v="Pending"/>
    <s v="Blacklisted"/>
    <s v="Anita Gupta"/>
    <s v="Ani004Ah"/>
    <s v="anita.gupta@company.com"/>
    <n v="35"/>
    <s v=""/>
    <s v="Delayed"/>
  </r>
  <r>
    <x v="381"/>
    <s v="C005"/>
    <s v="P101"/>
    <x v="111"/>
    <s v="24/10/2025"/>
    <s v="Vikas Mehta"/>
    <s v="Male"/>
    <d v="1975-12-03T00:00:00"/>
    <s v="Hyderabad"/>
    <x v="0"/>
    <x v="0"/>
    <s v="Laptop"/>
    <n v="6"/>
    <n v="55000"/>
    <n v="5"/>
    <n v="313500"/>
    <n v="4"/>
    <s v="Card"/>
    <s v="Aisha"/>
    <s v="vikas.mehta@company.com"/>
    <n v="9804498139"/>
    <s v="Completed"/>
    <s v="Gold"/>
    <s v="Vikas Mehta"/>
    <s v="Vik005Hy"/>
    <s v="vikas.mehta@company.com"/>
    <n v="42"/>
    <n v="4"/>
    <s v="On time"/>
  </r>
  <r>
    <x v="382"/>
    <s v="C009"/>
    <s v="P302"/>
    <x v="209"/>
    <s v="25/01/2026"/>
    <s v="Mohit Verma"/>
    <s v="Male"/>
    <s v="15/03/1983"/>
    <s v="Hyderabad"/>
    <x v="0"/>
    <x v="2"/>
    <s v="Pen"/>
    <n v="16"/>
    <n v="20"/>
    <n v="5"/>
    <n v="304"/>
    <n v="1"/>
    <s v="Card"/>
    <s v="Rahul"/>
    <s v="mohit.verma@company.com"/>
    <n v="9798643580"/>
    <s v="Completed"/>
    <s v="Blacklisted"/>
    <s v="Mohit Verma"/>
    <s v="Moh009Hy"/>
    <s v="mohit.verma@company.com"/>
    <n v="50"/>
    <n v="4"/>
    <s v="On time"/>
  </r>
  <r>
    <x v="383"/>
    <s v="C008"/>
    <s v="P202"/>
    <x v="266"/>
    <s v="28/01/2025"/>
    <s v="Kavya Nair"/>
    <s v="Female"/>
    <s v="20/04/1976"/>
    <s v="Kolkata"/>
    <x v="3"/>
    <x v="1"/>
    <s v="Iron"/>
    <n v="11"/>
    <n v="2200"/>
    <n v="15"/>
    <n v="20570"/>
    <n v="1"/>
    <s v="NetBanking"/>
    <s v="Neha"/>
    <s v="KAvya.nair@company.com"/>
    <n v="9809823278"/>
    <s v="Cancelled"/>
    <s v="Blacklisted"/>
    <s v="Kavya Nair"/>
    <s v="Kav008Ko"/>
    <s v="kavya.nair@company.com"/>
    <s v=""/>
    <n v="3"/>
    <s v="On time"/>
  </r>
  <r>
    <x v="384"/>
    <s v="C002"/>
    <s v="P302"/>
    <x v="172"/>
    <d v="2025-02-03T00:00:00"/>
    <s v="Priya Patel"/>
    <s v="Female"/>
    <d v="1986-11-02T00:00:00"/>
    <s v="Pune"/>
    <x v="2"/>
    <x v="2"/>
    <s v="Pen"/>
    <n v="19"/>
    <n v="20"/>
    <n v="5"/>
    <n v="361"/>
    <n v="4"/>
    <s v="UPI"/>
    <s v="Ritika"/>
    <s v="priYa.patel@company.com"/>
    <n v="9177767854"/>
    <s v="Pending"/>
    <s v=""/>
    <s v="Priya Patel"/>
    <s v="Pri002Pu"/>
    <s v="priya.patel@company.com"/>
    <s v=""/>
    <s v=""/>
    <s v="Delayed"/>
  </r>
  <r>
    <x v="385"/>
    <s v="C002"/>
    <s v="P103"/>
    <x v="267"/>
    <s v="21/06/2025"/>
    <s v="Priya Patel"/>
    <s v="Female"/>
    <s v="21/03/1978"/>
    <s v="Pune"/>
    <x v="2"/>
    <x v="0"/>
    <s v="Keyboard"/>
    <n v="20"/>
    <n v="1200"/>
    <n v="15"/>
    <n v="20400"/>
    <n v="4"/>
    <s v="Card"/>
    <s v="Ritika"/>
    <s v="priYa.patel@company.com"/>
    <n v="9643440006"/>
    <s v="Pending"/>
    <s v=""/>
    <s v="Priya Patel"/>
    <s v="Pri002Pu"/>
    <s v="priya.patel@company.com"/>
    <n v="39"/>
    <n v="1"/>
    <s v="On time"/>
  </r>
  <r>
    <x v="386"/>
    <s v="C010"/>
    <s v="P302"/>
    <x v="268"/>
    <d v="2025-06-06T00:00:00"/>
    <s v="pooja shah"/>
    <s v="Female"/>
    <d v="1996-12-07T00:00:00"/>
    <s v="Hyderabad"/>
    <x v="0"/>
    <x v="2"/>
    <s v="Pen"/>
    <n v="13"/>
    <n v="20"/>
    <n v="15"/>
    <n v="221"/>
    <n v="4"/>
    <s v="Cash"/>
    <s v="Ritika"/>
    <s v="pooja.shah@company.com"/>
    <n v="9673698825"/>
    <s v="Pending"/>
    <s v=""/>
    <s v="Pooja Shah"/>
    <s v="Poo010Hy"/>
    <s v="pooja.shah@company.com"/>
    <s v=""/>
    <s v=""/>
    <s v="Delayed"/>
  </r>
  <r>
    <x v="387"/>
    <s v="C006"/>
    <s v="P103"/>
    <x v="21"/>
    <d v="2025-08-01T00:00:00"/>
    <s v="Sneha Joshi"/>
    <s v="Female"/>
    <d v="1992-02-12T00:00:00"/>
    <s v="Delhi"/>
    <x v="1"/>
    <x v="0"/>
    <s v="Keyboard"/>
    <n v="12"/>
    <n v="1200"/>
    <n v="10"/>
    <n v="12960"/>
    <n v="3"/>
    <s v="NetBanking"/>
    <s v="Ritika"/>
    <s v="sneha.joshi@company.com"/>
    <n v="9706238784"/>
    <s v="Pending"/>
    <s v=""/>
    <s v="Sneha Joshi"/>
    <s v="Sne006De"/>
    <s v="sneha.joshi@company.com"/>
    <n v="29"/>
    <s v=""/>
    <s v="Delayed"/>
  </r>
  <r>
    <x v="388"/>
    <s v="C002"/>
    <s v="P203"/>
    <x v="269"/>
    <s v="29/01/2025"/>
    <s v="Priya Patel"/>
    <s v="Female"/>
    <s v="23/03/1996"/>
    <s v="Kolkata"/>
    <x v="3"/>
    <x v="1"/>
    <s v="Microwave"/>
    <n v="6"/>
    <n v="8500"/>
    <n v="5"/>
    <n v="48450"/>
    <n v="5"/>
    <s v="Cash"/>
    <s v="Neha"/>
    <s v="priYa.patel@company.com"/>
    <n v="9132959877"/>
    <s v="Cancelled"/>
    <s v="Blacklisted"/>
    <s v="Priya Patel"/>
    <s v="Pri002Ko"/>
    <s v="priya.patel@company.com"/>
    <n v="34"/>
    <n v="1"/>
    <s v="On time"/>
  </r>
  <r>
    <x v="389"/>
    <s v="C008"/>
    <s v="P203"/>
    <x v="208"/>
    <s v="26/02/2026"/>
    <s v="Kavya Nair"/>
    <s v="Female"/>
    <s v="23/06/1994"/>
    <s v="Ahmedabad"/>
    <x v="2"/>
    <x v="1"/>
    <s v="Microwave"/>
    <n v="15"/>
    <n v="8500"/>
    <n v="10"/>
    <n v="114750"/>
    <n v="1"/>
    <s v="Cash"/>
    <s v="Neha"/>
    <s v="KAvya.nair@company.com"/>
    <n v="9295011645"/>
    <s v="Completed"/>
    <s v="Blacklisted"/>
    <s v="Kavya Nair"/>
    <s v="Kav008Ah"/>
    <s v="kavya.nair@company.com"/>
    <s v=""/>
    <n v="8"/>
    <s v="Delayed"/>
  </r>
  <r>
    <x v="390"/>
    <s v="C003"/>
    <s v="P104"/>
    <x v="270"/>
    <s v="15/08/2025"/>
    <s v="Rohit Singh"/>
    <s v="Male"/>
    <d v="1980-02-02T00:00:00"/>
    <s v="Hyderabad"/>
    <x v="0"/>
    <x v="0"/>
    <s v="Monitor"/>
    <n v="19"/>
    <n v="12000"/>
    <n v="20"/>
    <n v="182400"/>
    <n v="5"/>
    <s v="Cash"/>
    <s v="Neha"/>
    <s v="rohit.singh@company.com"/>
    <n v="9677606427"/>
    <s v="Completed"/>
    <s v="Gold"/>
    <s v="Rohit Singh"/>
    <s v="Roh003Hy"/>
    <s v="rohit.singh@company.com"/>
    <s v=""/>
    <s v=""/>
    <s v="Delayed"/>
  </r>
  <r>
    <x v="391"/>
    <s v="C007"/>
    <s v="P102"/>
    <x v="271"/>
    <s v="18/01/2025"/>
    <s v="arjun Rao"/>
    <s v="Male"/>
    <s v="24/08/1990"/>
    <s v="Delhi"/>
    <x v="1"/>
    <x v="0"/>
    <s v="Mouse"/>
    <n v="5"/>
    <n v="700"/>
    <n v="0"/>
    <n v="3500"/>
    <n v="2"/>
    <s v="Card"/>
    <s v="Aisha"/>
    <s v="arjun.rao@company.com"/>
    <n v="9161631566"/>
    <s v="Cancelled"/>
    <s v="Blacklisted"/>
    <s v="Arjun Rao"/>
    <s v="Arj007De"/>
    <s v="arjun.rao@company.com"/>
    <n v="46"/>
    <n v="3"/>
    <s v="On time"/>
  </r>
  <r>
    <x v="392"/>
    <s v="C007"/>
    <s v="P104"/>
    <x v="272"/>
    <d v="2025-04-02T00:00:00"/>
    <s v="arjun Rao"/>
    <s v="Male"/>
    <d v="1978-10-12T00:00:00"/>
    <s v="Kolkata"/>
    <x v="3"/>
    <x v="0"/>
    <s v="Monitor"/>
    <n v="19"/>
    <n v="12000"/>
    <n v="0"/>
    <n v="228000"/>
    <n v="4"/>
    <s v="UPI"/>
    <s v="Aisha"/>
    <s v="arjun.rao@company.com"/>
    <n v="9136906750"/>
    <s v="Pending"/>
    <s v=""/>
    <s v="Arjun Rao"/>
    <s v="Arj007Ko"/>
    <s v="arjun.rao@company.com"/>
    <s v=""/>
    <s v=""/>
    <s v="Delayed"/>
  </r>
  <r>
    <x v="393"/>
    <s v="C001"/>
    <s v="P102"/>
    <x v="258"/>
    <d v="2025-03-11T00:00:00"/>
    <s v="Amit Sharma"/>
    <s v="Male"/>
    <d v="1979-01-09T00:00:00"/>
    <s v="Bengaluru"/>
    <x v="0"/>
    <x v="0"/>
    <s v="Mouse"/>
    <n v="12"/>
    <n v="700"/>
    <n v="15"/>
    <n v="7140"/>
    <n v="3"/>
    <s v="Card"/>
    <s v="Ritika"/>
    <s v="amit.sharma@company.com"/>
    <n v="9485286324"/>
    <s v="Completed"/>
    <s v="Silver"/>
    <s v="Amit Sharma"/>
    <s v="Ami001Be"/>
    <s v="amit.sharma@company.com"/>
    <n v="48"/>
    <s v=""/>
    <s v="Delayed"/>
  </r>
  <r>
    <x v="394"/>
    <s v="C008"/>
    <s v="P103"/>
    <x v="273"/>
    <s v="21/05/2025"/>
    <s v="Kavya Nair"/>
    <s v="Female"/>
    <d v="2001-08-04T00:00:00"/>
    <s v="Delhi"/>
    <x v="1"/>
    <x v="0"/>
    <s v="Keyboard"/>
    <n v="16"/>
    <n v="1200"/>
    <n v="20"/>
    <n v="15360"/>
    <n v="1"/>
    <s v="Cash"/>
    <s v="Rahul"/>
    <s v="KAvya.nair@company.com"/>
    <n v="9414633966"/>
    <s v="Pending"/>
    <s v="Blacklisted"/>
    <s v="Kavya Nair"/>
    <s v="Kav008De"/>
    <s v="kavya.nair@company.com"/>
    <n v="47"/>
    <n v="8"/>
    <s v="Delayed"/>
  </r>
  <r>
    <x v="395"/>
    <s v="C009"/>
    <s v="P203"/>
    <x v="274"/>
    <d v="2026-04-01T00:00:00"/>
    <s v="Mohit Verma"/>
    <s v="Male"/>
    <d v="1983-01-01T00:00:00"/>
    <s v="Hyderabad"/>
    <x v="0"/>
    <x v="1"/>
    <s v="Microwave"/>
    <n v="10"/>
    <n v="8500"/>
    <n v="5"/>
    <n v="80750"/>
    <n v="5"/>
    <s v="NetBanking"/>
    <s v="Ritika"/>
    <s v="mohit.verma@company.com"/>
    <n v="9833735234"/>
    <s v="Completed"/>
    <s v="Gold"/>
    <s v="Mohit Verma"/>
    <s v="Moh009Hy"/>
    <s v="mohit.verma@company.com"/>
    <n v="25"/>
    <s v=""/>
    <s v="Delayed"/>
  </r>
  <r>
    <x v="396"/>
    <s v="C008"/>
    <s v="P302"/>
    <x v="220"/>
    <s v="21/02/2025"/>
    <s v="Kavya Nair"/>
    <s v="Female"/>
    <d v="1989-09-08T00:00:00"/>
    <s v="Ahmedabad"/>
    <x v="2"/>
    <x v="2"/>
    <s v="Pen"/>
    <n v="18"/>
    <n v="20"/>
    <n v="20"/>
    <n v="288"/>
    <n v="1"/>
    <s v="UPI"/>
    <s v="Ritika"/>
    <s v="KAvya.nair@company.com"/>
    <n v="9523689108"/>
    <s v="Pending"/>
    <s v="Blacklisted"/>
    <s v="Kavya Nair"/>
    <s v="Kav008Ah"/>
    <s v="kavya.nair@company.com"/>
    <n v="43"/>
    <s v=""/>
    <s v="Delayed"/>
  </r>
  <r>
    <x v="397"/>
    <s v="C009"/>
    <s v="P203"/>
    <x v="27"/>
    <s v="19/03/2026"/>
    <s v="Mohit Verma"/>
    <s v="Male"/>
    <s v="22/10/1993"/>
    <s v="Mumbai"/>
    <x v="2"/>
    <x v="1"/>
    <s v="Microwave"/>
    <n v="9"/>
    <n v="8500"/>
    <n v="0"/>
    <n v="76500"/>
    <n v="2"/>
    <s v="Card"/>
    <s v="Ritika"/>
    <s v="mohit.verma@company.com"/>
    <n v="9812909831"/>
    <s v="Pending"/>
    <s v="Blacklisted"/>
    <s v="Mohit Verma"/>
    <s v="Moh009Mu"/>
    <s v="mohit.verma@company.com"/>
    <n v="37"/>
    <n v="6"/>
    <s v="Delayed"/>
  </r>
  <r>
    <x v="398"/>
    <s v="C008"/>
    <s v="P203"/>
    <x v="262"/>
    <d v="2025-12-10T00:00:00"/>
    <s v="Kavya Nair"/>
    <s v="Female"/>
    <d v="2000-05-05T00:00:00"/>
    <s v="Mumbai"/>
    <x v="2"/>
    <x v="1"/>
    <s v="Microwave"/>
    <n v="8"/>
    <n v="8500"/>
    <n v="10"/>
    <n v="61200"/>
    <n v="4"/>
    <s v="Cash"/>
    <s v="Neha"/>
    <s v="KAvya.nair@company.com"/>
    <n v="9106290987"/>
    <s v="Cancelled"/>
    <s v="Blacklisted"/>
    <s v="Kavya Nair"/>
    <s v="Kav008Mu"/>
    <s v="kavya.nair@company.com"/>
    <s v=""/>
    <s v=""/>
    <s v="Delayed"/>
  </r>
  <r>
    <x v="399"/>
    <s v="C010"/>
    <s v="P302"/>
    <x v="70"/>
    <d v="2026-01-02T00:00:00"/>
    <s v="pooja shah"/>
    <s v="Female"/>
    <s v="18/02/1984"/>
    <s v="Pune"/>
    <x v="2"/>
    <x v="2"/>
    <s v="Pen"/>
    <n v="3"/>
    <n v="20"/>
    <n v="10"/>
    <n v="54"/>
    <n v="3"/>
    <s v="Card"/>
    <s v="Karan"/>
    <s v="pooja.shah@company.com"/>
    <n v="9767727724"/>
    <s v="Pending"/>
    <s v=""/>
    <s v="Pooja Shah"/>
    <s v="Poo010Pu"/>
    <s v="pooja.shah@company.com"/>
    <n v="26"/>
    <s v=""/>
    <s v="Delayed"/>
  </r>
  <r>
    <x v="400"/>
    <s v="C004"/>
    <s v="P203"/>
    <x v="275"/>
    <d v="2025-12-07T00:00:00"/>
    <s v="Anita Gupta"/>
    <s v="Female"/>
    <s v="13/06/1991"/>
    <s v="Kolkata"/>
    <x v="3"/>
    <x v="1"/>
    <s v="Microwave"/>
    <n v="18"/>
    <n v="8500"/>
    <n v="10"/>
    <n v="137700"/>
    <n v="4"/>
    <s v="Cash"/>
    <s v="Rahul"/>
    <s v="anita.gupta@company.com"/>
    <n v="9865401727"/>
    <s v="Cancelled"/>
    <s v="Blacklisted"/>
    <s v="Anita Gupta"/>
    <s v="Ani004Ko"/>
    <s v="anita.gupta@company.com"/>
    <s v=""/>
    <s v=""/>
    <s v="Delayed"/>
  </r>
  <r>
    <x v="401"/>
    <s v="C010"/>
    <s v="P303"/>
    <x v="38"/>
    <d v="2025-09-10T00:00:00"/>
    <s v="pooja shah"/>
    <s v="Female"/>
    <s v="19/05/1996"/>
    <s v="Pune"/>
    <x v="2"/>
    <x v="2"/>
    <s v="Marker"/>
    <n v="5"/>
    <n v="45"/>
    <n v="10"/>
    <n v="202.5"/>
    <n v="3"/>
    <s v="Cash"/>
    <s v="Neha"/>
    <s v="pooja.shah@company.com"/>
    <n v="9603848571"/>
    <s v="Pending"/>
    <s v=""/>
    <s v="Pooja Shah"/>
    <s v="Poo010Pu"/>
    <s v="pooja.shah@company.com"/>
    <s v=""/>
    <s v=""/>
    <s v="Delayed"/>
  </r>
  <r>
    <x v="402"/>
    <s v="C009"/>
    <s v="P303"/>
    <x v="109"/>
    <d v="2025-02-06T00:00:00"/>
    <s v="Mohit Verma"/>
    <s v="Male"/>
    <s v="23/05/1992"/>
    <s v="Mumbai"/>
    <x v="2"/>
    <x v="2"/>
    <s v="Marker"/>
    <n v="2"/>
    <n v="45"/>
    <n v="20"/>
    <n v="72"/>
    <n v="5"/>
    <s v="UPI"/>
    <s v="Aisha"/>
    <s v="mohit.verma@company.com"/>
    <n v="9101231789"/>
    <s v="Cancelled"/>
    <s v="Blacklisted"/>
    <s v="Mohit Verma"/>
    <s v="Moh009Mu"/>
    <s v="mohit.verma@company.com"/>
    <s v=""/>
    <s v=""/>
    <s v="Delayed"/>
  </r>
  <r>
    <x v="403"/>
    <s v="C002"/>
    <s v="P303"/>
    <x v="276"/>
    <d v="2025-06-02T00:00:00"/>
    <s v="Priya Patel"/>
    <s v="Female"/>
    <s v="15/06/1988"/>
    <s v="Hyderabad"/>
    <x v="0"/>
    <x v="2"/>
    <s v="Marker"/>
    <n v="18"/>
    <n v="45"/>
    <n v="10"/>
    <n v="729"/>
    <n v="2"/>
    <s v="NetBanking"/>
    <s v="Neha"/>
    <s v="priYa.patel@company.com"/>
    <n v="9485017802"/>
    <s v="Pending"/>
    <s v="Blacklisted"/>
    <s v="Priya Patel"/>
    <s v="Pri002Hy"/>
    <s v="priya.patel@company.com"/>
    <s v=""/>
    <s v=""/>
    <s v="Delayed"/>
  </r>
  <r>
    <x v="404"/>
    <s v="C003"/>
    <s v="P103"/>
    <x v="66"/>
    <d v="2026-01-01T00:00:00"/>
    <s v="Rohit Singh"/>
    <s v="Male"/>
    <s v="22/07/1993"/>
    <s v="Kolkata"/>
    <x v="3"/>
    <x v="0"/>
    <s v="Keyboard"/>
    <n v="13"/>
    <n v="1200"/>
    <n v="5"/>
    <n v="14820"/>
    <n v="4"/>
    <s v="Card"/>
    <s v="Neha"/>
    <s v="rohit.singh@company.com"/>
    <n v="9815464650"/>
    <s v="Completed"/>
    <s v="Silver"/>
    <s v="Rohit Singh"/>
    <s v="Roh003Ko"/>
    <s v="rohit.singh@company.com"/>
    <s v=""/>
    <s v=""/>
    <s v="Delayed"/>
  </r>
  <r>
    <x v="405"/>
    <s v="C008"/>
    <s v="P302"/>
    <x v="277"/>
    <s v="17/05/2026"/>
    <s v="Kavya Nair"/>
    <s v="Female"/>
    <d v="2004-03-02T00:00:00"/>
    <s v="Hyderabad"/>
    <x v="0"/>
    <x v="2"/>
    <s v="Pen"/>
    <n v="14"/>
    <n v="20"/>
    <n v="20"/>
    <n v="224"/>
    <n v="5"/>
    <s v="UPI"/>
    <s v="Rahul"/>
    <s v="KAvya.nair@company.com"/>
    <n v="9860715839"/>
    <s v="Pending"/>
    <s v=""/>
    <s v="Kavya Nair"/>
    <s v="Kav008Hy"/>
    <s v="kavya.nair@company.com"/>
    <s v=""/>
    <s v=""/>
    <s v="Delayed"/>
  </r>
  <r>
    <x v="406"/>
    <s v="C002"/>
    <s v="P201"/>
    <x v="278"/>
    <s v="23/02/2026"/>
    <s v="Priya Patel"/>
    <s v="Female"/>
    <s v="23/12/1978"/>
    <s v="Hyderabad"/>
    <x v="0"/>
    <x v="1"/>
    <s v="Mixer"/>
    <n v="16"/>
    <n v="3500"/>
    <n v="15"/>
    <n v="47600"/>
    <n v="3"/>
    <s v="UPI"/>
    <s v="Aisha"/>
    <s v="priYa.patel@company.com"/>
    <n v="9207561051"/>
    <s v="Cancelled"/>
    <s v="Blacklisted"/>
    <s v="Priya Patel"/>
    <s v="Pri002Hy"/>
    <s v="priya.patel@company.com"/>
    <n v="22"/>
    <s v=""/>
    <s v="Delayed"/>
  </r>
  <r>
    <x v="407"/>
    <s v="C006"/>
    <s v="P302"/>
    <x v="158"/>
    <s v="24/02/2025"/>
    <s v="Sneha Joshi"/>
    <s v="Female"/>
    <s v="15/10/1993"/>
    <s v="Bengaluru"/>
    <x v="0"/>
    <x v="2"/>
    <s v="Pen"/>
    <n v="20"/>
    <n v="20"/>
    <n v="15"/>
    <n v="340"/>
    <n v="1"/>
    <s v="NetBanking"/>
    <s v="Aisha"/>
    <s v="sneha.joshi@company.com"/>
    <n v="9159894508"/>
    <s v="Cancelled"/>
    <s v="Blacklisted"/>
    <s v="Sneha Joshi"/>
    <s v="Sne006Be"/>
    <s v="sneha.joshi@company.com"/>
    <s v=""/>
    <n v="8"/>
    <s v="Delayed"/>
  </r>
  <r>
    <x v="408"/>
    <s v="C004"/>
    <s v="P101"/>
    <x v="103"/>
    <s v="14/04/2025"/>
    <s v="Anita Gupta"/>
    <s v="Female"/>
    <d v="1979-12-12T00:00:00"/>
    <s v="Ahmedabad"/>
    <x v="2"/>
    <x v="0"/>
    <s v="Laptop"/>
    <n v="1"/>
    <n v="55000"/>
    <n v="15"/>
    <n v="46750"/>
    <n v="2"/>
    <s v="UPI"/>
    <s v="Neha"/>
    <s v="anita.gupta@company.com"/>
    <n v="9531465024"/>
    <s v="Cancelled"/>
    <s v="Blacklisted"/>
    <s v="Anita Gupta"/>
    <s v="Ani004Ah"/>
    <s v="anita.gupta@company.com"/>
    <s v=""/>
    <s v=""/>
    <s v="Delayed"/>
  </r>
  <r>
    <x v="409"/>
    <s v="C002"/>
    <s v="P301"/>
    <x v="271"/>
    <s v="20/01/2025"/>
    <s v="Priya Patel"/>
    <s v="Female"/>
    <s v="24/05/2002"/>
    <s v="Ahmedabad"/>
    <x v="2"/>
    <x v="2"/>
    <s v="Notebook"/>
    <n v="15"/>
    <n v="60"/>
    <n v="5"/>
    <n v="855"/>
    <n v="4"/>
    <s v="NetBanking"/>
    <s v="Aisha"/>
    <s v="priYa.patel@company.com"/>
    <n v="9158813608"/>
    <s v="Completed"/>
    <s v="Silver"/>
    <s v="Priya Patel"/>
    <s v="Pri002Ah"/>
    <s v="priya.patel@company.com"/>
    <n v="46"/>
    <n v="5"/>
    <s v="On time"/>
  </r>
  <r>
    <x v="410"/>
    <s v="C007"/>
    <s v="P102"/>
    <x v="279"/>
    <d v="2026-02-04T00:00:00"/>
    <s v="arjun Rao"/>
    <s v="Male"/>
    <d v="1976-09-03T00:00:00"/>
    <s v="Mumbai"/>
    <x v="2"/>
    <x v="0"/>
    <s v="Mouse"/>
    <n v="15"/>
    <n v="700"/>
    <n v="0"/>
    <n v="10500"/>
    <n v="5"/>
    <s v="NetBanking"/>
    <s v="Neha"/>
    <s v="arjun.rao@company.com"/>
    <n v="9308461700"/>
    <s v="Completed"/>
    <s v="Silver"/>
    <s v="Arjun Rao"/>
    <s v="arj007Mu"/>
    <s v="arjun.rao@company.com"/>
    <s v=""/>
    <s v=""/>
    <s v="Delayed"/>
  </r>
  <r>
    <x v="411"/>
    <s v="C005"/>
    <s v="P104"/>
    <x v="243"/>
    <d v="2026-09-01T00:00:00"/>
    <s v="Vikas Mehta"/>
    <s v="Male"/>
    <s v="20/09/1980"/>
    <s v="Kolkata"/>
    <x v="3"/>
    <x v="0"/>
    <s v="Monitor"/>
    <n v="13"/>
    <n v="12000"/>
    <n v="10"/>
    <n v="140400"/>
    <n v="1"/>
    <s v="Cash"/>
    <s v="Karan"/>
    <s v="vikas.mehta@company.com"/>
    <n v="9882279049"/>
    <s v="Cancelled"/>
    <s v="Blacklisted"/>
    <s v="Vikas Mehta"/>
    <s v="Vik005Ko"/>
    <s v="vikas.mehta@company.com"/>
    <n v="50"/>
    <s v=""/>
    <s v="Delayed"/>
  </r>
  <r>
    <x v="412"/>
    <s v="C007"/>
    <s v="P104"/>
    <x v="280"/>
    <s v="29/04/2026"/>
    <s v="arjun Rao"/>
    <s v="Male"/>
    <s v="24/06/1988"/>
    <s v="Hyderabad"/>
    <x v="0"/>
    <x v="0"/>
    <s v="Monitor"/>
    <n v="12"/>
    <n v="12000"/>
    <n v="20"/>
    <n v="115200"/>
    <n v="2"/>
    <s v="Cash"/>
    <s v="Ritika"/>
    <s v="arjun.rao@company.com"/>
    <n v="9961801338"/>
    <s v="Completed"/>
    <s v="Blacklisted"/>
    <s v="Arjun Rao"/>
    <s v="arj007Hy"/>
    <s v="arjun.rao@company.com"/>
    <s v=""/>
    <n v="12"/>
    <s v="Delayed"/>
  </r>
  <r>
    <x v="413"/>
    <s v="C007"/>
    <s v="P303"/>
    <x v="9"/>
    <s v="29/03/2025"/>
    <s v="arjun Rao"/>
    <s v="Male"/>
    <d v="2003-11-06T00:00:00"/>
    <s v="Mumbai"/>
    <x v="2"/>
    <x v="2"/>
    <s v="Marker"/>
    <n v="10"/>
    <n v="45"/>
    <n v="0"/>
    <n v="450"/>
    <n v="5"/>
    <s v="Card"/>
    <s v="Neha"/>
    <s v="arjun.rao@company.com"/>
    <n v="9853525026"/>
    <s v="Cancelled"/>
    <s v="Blacklisted"/>
    <s v="Arjun Rao"/>
    <s v="arj007Mu"/>
    <s v="arjun.rao@company.com"/>
    <s v=""/>
    <n v="4"/>
    <s v="On time"/>
  </r>
  <r>
    <x v="414"/>
    <s v="C003"/>
    <s v="P103"/>
    <x v="2"/>
    <d v="2025-09-05T00:00:00"/>
    <s v="Rohit Singh"/>
    <s v="Male"/>
    <d v="1981-10-12T00:00:00"/>
    <s v="Mumbai"/>
    <x v="2"/>
    <x v="0"/>
    <s v="Keyboard"/>
    <n v="20"/>
    <n v="1200"/>
    <n v="20"/>
    <n v="19200"/>
    <n v="5"/>
    <s v="NetBanking"/>
    <s v="Aisha"/>
    <s v="rohit.singh@company.com"/>
    <n v="9209649485"/>
    <s v="Cancelled"/>
    <s v="Blacklisted"/>
    <s v="Rohit Singh"/>
    <s v="roh003Mu"/>
    <s v="rohit.singh@company.com"/>
    <n v="22"/>
    <s v=""/>
    <s v="Delayed"/>
  </r>
  <r>
    <x v="415"/>
    <s v="C009"/>
    <s v="P103"/>
    <x v="10"/>
    <s v="26/09/2025"/>
    <s v="Mohit Verma"/>
    <s v="Male"/>
    <s v="24/02/1975"/>
    <s v="Pune"/>
    <x v="2"/>
    <x v="0"/>
    <s v="Keyboard"/>
    <n v="8"/>
    <n v="1200"/>
    <n v="10"/>
    <n v="8640"/>
    <n v="4"/>
    <s v="NetBanking"/>
    <s v="Aisha"/>
    <s v="mohit.verma@company.com"/>
    <n v="9712905525"/>
    <s v="Completed"/>
    <s v="Silver"/>
    <s v="Mohit Verma"/>
    <s v="Moh009Pu"/>
    <s v="mohit.verma@company.com"/>
    <n v="45"/>
    <n v="7"/>
    <s v="Delayed"/>
  </r>
  <r>
    <x v="416"/>
    <s v="C003"/>
    <s v="P103"/>
    <x v="175"/>
    <s v="20/05/2025"/>
    <s v="Rohit Singh"/>
    <s v="Male"/>
    <s v="27/09/1977"/>
    <s v="Jaipur"/>
    <x v="1"/>
    <x v="0"/>
    <s v="Keyboard"/>
    <n v="8"/>
    <n v="1200"/>
    <n v="10"/>
    <n v="8640"/>
    <n v="5"/>
    <s v="Card"/>
    <s v="Rahul"/>
    <s v="rohit.singh@company.com"/>
    <n v="9812472447"/>
    <s v="Cancelled"/>
    <s v="Blacklisted"/>
    <s v="Rohit Singh"/>
    <s v="Roh003Ja"/>
    <s v="rohit.singh@company.com"/>
    <s v=""/>
    <n v="2"/>
    <s v="On time"/>
  </r>
  <r>
    <x v="417"/>
    <s v="C001"/>
    <s v="P202"/>
    <x v="281"/>
    <s v="30/12/2025"/>
    <s v="Amit Sharma"/>
    <s v="Male"/>
    <s v="25/12/1987"/>
    <s v="Jaipur"/>
    <x v="1"/>
    <x v="1"/>
    <s v="Iron"/>
    <n v="9"/>
    <n v="2200"/>
    <n v="20"/>
    <n v="15840"/>
    <n v="1"/>
    <s v="NetBanking"/>
    <s v="Neha"/>
    <s v="amit.sharma@company.com"/>
    <n v="9281127052"/>
    <s v="Completed"/>
    <s v="Blacklisted"/>
    <s v="Amit Sharma"/>
    <s v="Ami001Ja"/>
    <s v="amit.sharma@company.com"/>
    <s v=""/>
    <n v="1"/>
    <s v="On time"/>
  </r>
  <r>
    <x v="418"/>
    <s v="C003"/>
    <s v="P302"/>
    <x v="282"/>
    <s v="16/01/2025"/>
    <s v="Rohit Singh"/>
    <s v="Male"/>
    <s v="23/03/2001"/>
    <s v="Kolkata"/>
    <x v="3"/>
    <x v="2"/>
    <s v="Pen"/>
    <n v="8"/>
    <n v="20"/>
    <n v="20"/>
    <n v="128"/>
    <n v="4"/>
    <s v="Cash"/>
    <s v="Ritika"/>
    <s v="rohit.singh@company.com"/>
    <n v="9346312555"/>
    <s v="Cancelled"/>
    <s v="Blacklisted"/>
    <s v="Rohit Singh"/>
    <s v="Roh003Ko"/>
    <s v="rohit.singh@company.com"/>
    <s v=""/>
    <s v=""/>
    <s v="Delayed"/>
  </r>
  <r>
    <x v="419"/>
    <s v="C005"/>
    <s v="P101"/>
    <x v="283"/>
    <s v="22/01/2026"/>
    <s v="Vikas Mehta"/>
    <s v="Male"/>
    <s v="22/09/1982"/>
    <s v="Pune"/>
    <x v="2"/>
    <x v="0"/>
    <s v="Laptop"/>
    <n v="5"/>
    <n v="55000"/>
    <n v="0"/>
    <n v="275000"/>
    <n v="1"/>
    <s v="Card"/>
    <s v="Neha"/>
    <s v="vikas.mehta@company.com"/>
    <n v="9443786067"/>
    <s v="Completed"/>
    <s v="Blacklisted"/>
    <s v="Vikas Mehta"/>
    <s v="Vik005Pu"/>
    <s v="vikas.mehta@company.com"/>
    <s v=""/>
    <n v="9"/>
    <s v="Delayed"/>
  </r>
  <r>
    <x v="420"/>
    <s v="C002"/>
    <s v="P103"/>
    <x v="284"/>
    <s v="18/03/2026"/>
    <s v="Priya Patel"/>
    <s v="Female"/>
    <s v="15/09/1986"/>
    <s v="Mumbai"/>
    <x v="2"/>
    <x v="0"/>
    <s v="Keyboard"/>
    <n v="13"/>
    <n v="1200"/>
    <n v="5"/>
    <n v="14820"/>
    <n v="2"/>
    <s v="Card"/>
    <s v="Ritika"/>
    <s v="priYa.patel@company.com"/>
    <n v="9452540528"/>
    <s v="Cancelled"/>
    <s v="Blacklisted"/>
    <s v="Priya Patel"/>
    <s v="Pri002Mu"/>
    <s v="priya.patel@company.com"/>
    <s v=""/>
    <n v="3"/>
    <s v="On time"/>
  </r>
  <r>
    <x v="421"/>
    <s v="C007"/>
    <s v="P203"/>
    <x v="237"/>
    <s v="30/11/2025"/>
    <s v="arjun Rao"/>
    <s v="Male"/>
    <d v="2002-12-12T00:00:00"/>
    <s v="Jaipur"/>
    <x v="1"/>
    <x v="1"/>
    <s v="Microwave"/>
    <n v="13"/>
    <n v="8500"/>
    <n v="20"/>
    <n v="88400"/>
    <n v="5"/>
    <s v="Cash"/>
    <s v="Rahul"/>
    <s v="arjun.rao@company.com"/>
    <n v="9750918728"/>
    <s v="Pending"/>
    <s v=""/>
    <s v="Arjun Rao"/>
    <s v="Arj007Ja"/>
    <s v="arjun.rao@company.com"/>
    <s v=""/>
    <n v="5"/>
    <s v="On time"/>
  </r>
  <r>
    <x v="422"/>
    <s v="C009"/>
    <s v="P301"/>
    <x v="122"/>
    <s v="15/02/2025"/>
    <s v="Mohit Verma"/>
    <s v="Male"/>
    <s v="15/09/1998"/>
    <s v="Pune"/>
    <x v="2"/>
    <x v="2"/>
    <s v="Notebook"/>
    <n v="14"/>
    <n v="60"/>
    <n v="10"/>
    <n v="756"/>
    <n v="1"/>
    <s v="Cash"/>
    <s v="Aisha"/>
    <s v="mohit.verma@company.com"/>
    <n v="9375975834"/>
    <s v="Cancelled"/>
    <s v="Blacklisted"/>
    <s v="Mohit Verma"/>
    <s v="Moh009Pu"/>
    <s v="mohit.verma@company.com"/>
    <n v="23"/>
    <s v=""/>
    <s v="Delayed"/>
  </r>
  <r>
    <x v="423"/>
    <s v="C006"/>
    <s v="P202"/>
    <x v="159"/>
    <s v="29/04/2025"/>
    <s v="Sneha Joshi"/>
    <s v="Female"/>
    <s v="17/10/1985"/>
    <s v="Bengaluru"/>
    <x v="0"/>
    <x v="1"/>
    <s v="Iron"/>
    <n v="15"/>
    <n v="2200"/>
    <n v="0"/>
    <n v="33000"/>
    <n v="1"/>
    <s v="Cash"/>
    <s v="Aisha"/>
    <s v="sneha.joshi@company.com"/>
    <n v="9497321112"/>
    <s v="Completed"/>
    <s v="Blacklisted"/>
    <s v="Sneha Joshi"/>
    <s v="Sne006Be"/>
    <s v="sneha.joshi@company.com"/>
    <s v=""/>
    <n v="1"/>
    <s v="On time"/>
  </r>
  <r>
    <x v="424"/>
    <s v="C007"/>
    <s v="P301"/>
    <x v="285"/>
    <s v="29/08/2025"/>
    <s v="arjun Rao"/>
    <s v="Male"/>
    <s v="15/08/1995"/>
    <s v="Jaipur"/>
    <x v="1"/>
    <x v="2"/>
    <s v="Notebook"/>
    <n v="19"/>
    <n v="60"/>
    <n v="20"/>
    <n v="912"/>
    <n v="3"/>
    <s v="Cash"/>
    <s v="Karan"/>
    <s v="arjun.rao@company.com"/>
    <n v="9828749888"/>
    <s v="Pending"/>
    <s v=""/>
    <s v="Arjun Rao"/>
    <s v="Arj007Ja"/>
    <s v="arjun.rao@company.com"/>
    <s v=""/>
    <n v="2"/>
    <s v="On time"/>
  </r>
  <r>
    <x v="425"/>
    <s v="C010"/>
    <s v="P303"/>
    <x v="286"/>
    <s v="23/10/2025"/>
    <s v="pooja shah"/>
    <s v="Female"/>
    <s v="27/08/1985"/>
    <s v="Jaipur"/>
    <x v="1"/>
    <x v="2"/>
    <s v="Marker"/>
    <n v="13"/>
    <n v="45"/>
    <n v="15"/>
    <n v="497.25"/>
    <n v="2"/>
    <s v="Cash"/>
    <s v="Rahul"/>
    <s v="pooja.shah@company.com"/>
    <n v="9814267382"/>
    <s v="Completed"/>
    <s v="Blacklisted"/>
    <s v="Pooja Shah"/>
    <s v="Poo010Ja"/>
    <s v="pooja.shah@company.com"/>
    <s v=""/>
    <s v=""/>
    <s v="Delayed"/>
  </r>
  <r>
    <x v="426"/>
    <s v="C006"/>
    <s v="P104"/>
    <x v="287"/>
    <s v="24/01/2026"/>
    <s v="Sneha Joshi"/>
    <s v="Female"/>
    <d v="1975-05-06T00:00:00"/>
    <s v="Mumbai"/>
    <x v="2"/>
    <x v="0"/>
    <s v="Monitor"/>
    <n v="7"/>
    <n v="12000"/>
    <n v="5"/>
    <n v="79800"/>
    <n v="4"/>
    <s v="Card"/>
    <s v="Karan"/>
    <s v="sneha.joshi@company.com"/>
    <n v="9937007439"/>
    <s v="Cancelled"/>
    <s v="Blacklisted"/>
    <s v="Sneha Joshi"/>
    <s v="Sne006Mu"/>
    <s v="sneha.joshi@company.com"/>
    <s v=""/>
    <n v="10"/>
    <s v="Delayed"/>
  </r>
  <r>
    <x v="427"/>
    <s v="C001"/>
    <s v="P302"/>
    <x v="254"/>
    <m/>
    <s v="Amit Sharma"/>
    <s v="Male"/>
    <s v="25/03/1997"/>
    <s v="Kolkata"/>
    <x v="3"/>
    <x v="2"/>
    <s v="Pen"/>
    <n v="8"/>
    <n v="20"/>
    <n v="0"/>
    <n v="160"/>
    <n v="4"/>
    <s v="Card"/>
    <s v="Aisha"/>
    <s v="amit.sharma@company.com"/>
    <n v="9657513435"/>
    <s v="Pending"/>
    <s v=""/>
    <s v="Amit Sharma"/>
    <s v="Ami001Ko"/>
    <s v="amit.sharma@company.com"/>
    <n v="51"/>
    <s v=""/>
    <s v="Pending"/>
  </r>
  <r>
    <x v="428"/>
    <s v="C008"/>
    <s v="P201"/>
    <x v="288"/>
    <d v="2025-06-02T00:00:00"/>
    <s v="Kavya Nair"/>
    <s v="Female"/>
    <s v="18/04/1997"/>
    <s v="Kolkata"/>
    <x v="3"/>
    <x v="1"/>
    <s v="Mixer"/>
    <n v="16"/>
    <n v="3500"/>
    <n v="5"/>
    <n v="53200"/>
    <n v="1"/>
    <s v="Card"/>
    <s v="Aisha"/>
    <s v="KAvya.nair@company.com"/>
    <n v="9999406260"/>
    <s v="Cancelled"/>
    <s v="Blacklisted"/>
    <s v="Kavya Nair"/>
    <s v="Kav008Ko"/>
    <s v="kavya.nair@company.com"/>
    <s v=""/>
    <s v=""/>
    <s v="Delayed"/>
  </r>
  <r>
    <x v="429"/>
    <s v="C001"/>
    <s v="P203"/>
    <x v="289"/>
    <d v="2025-04-03T00:00:00"/>
    <s v="Amit Sharma"/>
    <s v="Male"/>
    <s v="28/05/1999"/>
    <s v="Mumbai"/>
    <x v="2"/>
    <x v="1"/>
    <s v="Microwave"/>
    <n v="12"/>
    <n v="8500"/>
    <n v="10"/>
    <n v="91800"/>
    <n v="3"/>
    <s v="Card"/>
    <s v="Ritika"/>
    <s v="amit.sharma@company.com"/>
    <n v="9233727886"/>
    <s v="Completed"/>
    <s v="Gold"/>
    <s v="Amit Sharma"/>
    <s v="Ami001Mu"/>
    <s v="amit.sharma@company.com"/>
    <s v=""/>
    <s v=""/>
    <s v="Delayed"/>
  </r>
  <r>
    <x v="430"/>
    <s v="C008"/>
    <s v="P301"/>
    <x v="290"/>
    <s v="20/04/2025"/>
    <s v="Kavya Nair"/>
    <s v="Female"/>
    <s v="25/06/1983"/>
    <s v="Ahmedabad"/>
    <x v="2"/>
    <x v="2"/>
    <s v="Notebook"/>
    <n v="1"/>
    <n v="60"/>
    <n v="20"/>
    <n v="48"/>
    <n v="2"/>
    <s v="Card"/>
    <s v="Karan"/>
    <s v="KAvya.nair@company.com"/>
    <n v="9831688801"/>
    <s v="Completed"/>
    <s v="Blacklisted"/>
    <s v="Kavya Nair"/>
    <s v="Kav008Ah"/>
    <s v="kavya.nair@company.com"/>
    <s v=""/>
    <n v="2"/>
    <s v="On time"/>
  </r>
  <r>
    <x v="431"/>
    <s v="C003"/>
    <s v="P301"/>
    <x v="75"/>
    <d v="2025-11-11T00:00:00"/>
    <s v="Rohit Singh"/>
    <s v="Male"/>
    <s v="26/01/1993"/>
    <s v="Hyderabad"/>
    <x v="0"/>
    <x v="2"/>
    <s v="Notebook"/>
    <n v="3"/>
    <n v="60"/>
    <n v="15"/>
    <n v="153"/>
    <n v="4"/>
    <s v="Card"/>
    <s v="Ritika"/>
    <s v="rohit.singh@company.com"/>
    <n v="9982849508"/>
    <s v="Completed"/>
    <s v="Silver"/>
    <s v="Rohit Singh"/>
    <s v="Roh003Hy"/>
    <s v="rohit.singh@company.com"/>
    <s v=""/>
    <s v=""/>
    <s v="Delayed"/>
  </r>
  <r>
    <x v="432"/>
    <s v="C002"/>
    <s v="P102"/>
    <x v="291"/>
    <s v="25/03/2025"/>
    <s v="Priya Patel"/>
    <s v="Female"/>
    <d v="1979-03-03T00:00:00"/>
    <s v="Kolkata"/>
    <x v="3"/>
    <x v="0"/>
    <s v="Mouse"/>
    <n v="10"/>
    <n v="700"/>
    <n v="15"/>
    <n v="5950"/>
    <n v="3"/>
    <s v="NetBanking"/>
    <s v="Ritika"/>
    <s v="priYa.patel@company.com"/>
    <n v="9288309246"/>
    <s v="Pending"/>
    <s v=""/>
    <s v="Priya Patel"/>
    <s v="Pri002Ko"/>
    <s v="priya.patel@company.com"/>
    <s v=""/>
    <n v="5"/>
    <s v="On time"/>
  </r>
  <r>
    <x v="433"/>
    <s v="C007"/>
    <s v="P302"/>
    <x v="292"/>
    <s v="25/10/2025"/>
    <s v="arjun Rao"/>
    <s v="Male"/>
    <s v="13/09/1976"/>
    <s v="Ahmedabad"/>
    <x v="2"/>
    <x v="2"/>
    <s v="Pen"/>
    <n v="2"/>
    <n v="20"/>
    <n v="10"/>
    <n v="36"/>
    <n v="2"/>
    <s v="UPI"/>
    <s v="Aisha"/>
    <s v="arjun.rao@company.com"/>
    <n v="9808476235"/>
    <s v="Completed"/>
    <s v="Blacklisted"/>
    <s v="Arjun Rao"/>
    <s v="Arj007Ah"/>
    <s v="arjun.rao@company.com"/>
    <n v="47"/>
    <n v="3"/>
    <s v="On time"/>
  </r>
  <r>
    <x v="434"/>
    <s v="C007"/>
    <s v="P302"/>
    <x v="293"/>
    <d v="2026-05-01T00:00:00"/>
    <s v="arjun Rao"/>
    <s v="Male"/>
    <s v="27/07/1991"/>
    <s v="Delhi"/>
    <x v="1"/>
    <x v="2"/>
    <s v="Pen"/>
    <n v="14"/>
    <n v="20"/>
    <n v="20"/>
    <n v="224"/>
    <n v="5"/>
    <s v="Cash"/>
    <s v="Karan"/>
    <s v="arjun.rao@company.com"/>
    <n v="9869056117"/>
    <s v="Pending"/>
    <s v=""/>
    <s v="Arjun Rao"/>
    <s v="Arj007De"/>
    <s v="arjun.rao@company.com"/>
    <s v=""/>
    <s v=""/>
    <s v="Delayed"/>
  </r>
  <r>
    <x v="435"/>
    <s v="C001"/>
    <s v="P201"/>
    <x v="294"/>
    <s v="25/06/2025"/>
    <s v="Amit Sharma"/>
    <s v="Male"/>
    <s v="25/10/1987"/>
    <s v="Ahmedabad"/>
    <x v="2"/>
    <x v="1"/>
    <s v="Mixer"/>
    <n v="4"/>
    <n v="3500"/>
    <n v="0"/>
    <n v="14000"/>
    <n v="2"/>
    <s v="UPI"/>
    <s v="Ritika"/>
    <s v="amit.sharma@company.com"/>
    <n v="9734229772"/>
    <s v="Cancelled"/>
    <s v="Blacklisted"/>
    <s v="Amit Sharma"/>
    <s v="Ami001Ah"/>
    <s v="amit.sharma@company.com"/>
    <s v=""/>
    <n v="4"/>
    <s v="On time"/>
  </r>
  <r>
    <x v="436"/>
    <s v="C007"/>
    <s v="P201"/>
    <x v="40"/>
    <d v="2025-05-06T00:00:00"/>
    <s v="arjun Rao"/>
    <s v="Male"/>
    <d v="1983-09-11T00:00:00"/>
    <s v="Jaipur"/>
    <x v="1"/>
    <x v="1"/>
    <s v="Mixer"/>
    <n v="9"/>
    <n v="3500"/>
    <n v="5"/>
    <n v="29925"/>
    <n v="3"/>
    <s v="Card"/>
    <s v="Aisha"/>
    <s v="arjun.rao@company.com"/>
    <n v="9791617906"/>
    <s v="Completed"/>
    <s v="Silver"/>
    <s v="Arjun Rao"/>
    <s v="Arj007Ja"/>
    <s v="arjun.rao@company.com"/>
    <s v=""/>
    <s v=""/>
    <s v="Delayed"/>
  </r>
  <r>
    <x v="437"/>
    <s v="C003"/>
    <s v="P301"/>
    <x v="109"/>
    <d v="2025-03-06T00:00:00"/>
    <s v="Rohit Singh"/>
    <s v="Male"/>
    <s v="28/12/1983"/>
    <s v="Mumbai"/>
    <x v="2"/>
    <x v="2"/>
    <s v="Notebook"/>
    <n v="9"/>
    <n v="60"/>
    <n v="0"/>
    <n v="540"/>
    <n v="3"/>
    <s v="UPI"/>
    <s v="Ritika"/>
    <s v="rohit.singh@company.com"/>
    <n v="9286316823"/>
    <s v="Pending"/>
    <s v=""/>
    <s v="Rohit Singh"/>
    <s v="roh003Mu"/>
    <s v="rohit.singh@company.com"/>
    <n v="43"/>
    <s v=""/>
    <s v="Delayed"/>
  </r>
  <r>
    <x v="438"/>
    <s v="C004"/>
    <s v="P103"/>
    <x v="295"/>
    <d v="2025-03-05T00:00:00"/>
    <s v="Anita Gupta"/>
    <s v="Female"/>
    <s v="15/09/1992"/>
    <s v="Ahmedabad"/>
    <x v="2"/>
    <x v="0"/>
    <s v="Keyboard"/>
    <n v="4"/>
    <n v="1200"/>
    <n v="0"/>
    <n v="4800"/>
    <n v="1"/>
    <s v="NetBanking"/>
    <s v="Aisha"/>
    <s v="anita.gupta@company.com"/>
    <n v="9810569252"/>
    <s v="Completed"/>
    <s v="Blacklisted"/>
    <s v="Anita Gupta"/>
    <s v="Ani004Ah"/>
    <s v="anita.gupta@company.com"/>
    <s v=""/>
    <s v=""/>
    <s v="Delayed"/>
  </r>
  <r>
    <x v="439"/>
    <s v="C010"/>
    <s v="P101"/>
    <x v="257"/>
    <s v="13/02/2025"/>
    <s v="pooja shah"/>
    <s v="Female"/>
    <d v="1999-09-08T00:00:00"/>
    <s v="Hyderabad"/>
    <x v="0"/>
    <x v="0"/>
    <s v="Laptop"/>
    <n v="10"/>
    <n v="55000"/>
    <n v="5"/>
    <n v="522500"/>
    <n v="5"/>
    <s v="UPI"/>
    <s v="Neha"/>
    <s v="pooja.shah@company.com"/>
    <n v="9771745925"/>
    <s v="Completed"/>
    <s v="Gold"/>
    <s v="Pooja Shah"/>
    <s v="Poo010Hy"/>
    <s v="pooja.shah@company.com"/>
    <s v=""/>
    <s v=""/>
    <s v="Delayed"/>
  </r>
  <r>
    <x v="440"/>
    <s v="C005"/>
    <s v="P303"/>
    <x v="296"/>
    <d v="2025-06-07T00:00:00"/>
    <s v="Vikas Mehta"/>
    <s v="Male"/>
    <s v="27/02/1990"/>
    <s v="Hyderabad"/>
    <x v="0"/>
    <x v="2"/>
    <s v="Marker"/>
    <n v="20"/>
    <n v="45"/>
    <n v="15"/>
    <n v="765"/>
    <n v="2"/>
    <s v="Card"/>
    <s v="Ritika"/>
    <s v="vikas.mehta@company.com"/>
    <n v="9820683063"/>
    <s v="Cancelled"/>
    <s v="Blacklisted"/>
    <s v="Vikas Mehta"/>
    <s v="Vik005Hy"/>
    <s v="vikas.mehta@company.com"/>
    <n v="27"/>
    <s v=""/>
    <s v="Delayed"/>
  </r>
  <r>
    <x v="441"/>
    <s v="C008"/>
    <s v="P302"/>
    <x v="297"/>
    <s v="22/02/2026"/>
    <s v="Kavya Nair"/>
    <s v="Female"/>
    <s v="27/03/1994"/>
    <s v="Mumbai"/>
    <x v="2"/>
    <x v="2"/>
    <s v="Pen"/>
    <n v="9"/>
    <n v="20"/>
    <n v="20"/>
    <n v="144"/>
    <n v="3"/>
    <s v="Card"/>
    <s v="Aisha"/>
    <s v="KAvya.nair@company.com"/>
    <n v="9292891941"/>
    <s v="Completed"/>
    <s v="Silver"/>
    <s v="Kavya Nair"/>
    <s v="Kav008Mu"/>
    <s v="kavya.nair@company.com"/>
    <s v=""/>
    <s v=""/>
    <s v="Delayed"/>
  </r>
  <r>
    <x v="442"/>
    <s v="C008"/>
    <s v="P101"/>
    <x v="298"/>
    <s v="14/03/2025"/>
    <s v="Kavya Nair"/>
    <s v="Female"/>
    <d v="1980-11-06T00:00:00"/>
    <s v="Pune"/>
    <x v="2"/>
    <x v="0"/>
    <s v="Laptop"/>
    <n v="8"/>
    <n v="55000"/>
    <n v="0"/>
    <n v="440000"/>
    <n v="4"/>
    <s v="Cash"/>
    <s v="Neha"/>
    <s v="KAvya.nair@company.com"/>
    <n v="9413789556"/>
    <s v="Completed"/>
    <s v="Platinum"/>
    <s v="Kavya Nair"/>
    <s v="kav008Pu"/>
    <s v="kavya.nair@company.com"/>
    <s v=""/>
    <s v=""/>
    <s v="Delayed"/>
  </r>
  <r>
    <x v="443"/>
    <s v="C001"/>
    <s v="P103"/>
    <x v="299"/>
    <s v="28/04/2026"/>
    <s v="Amit Sharma"/>
    <s v="Male"/>
    <d v="2000-10-06T00:00:00"/>
    <s v="Ahmedabad"/>
    <x v="2"/>
    <x v="0"/>
    <s v="Keyboard"/>
    <n v="4"/>
    <n v="1200"/>
    <n v="10"/>
    <n v="4320"/>
    <n v="4"/>
    <s v="UPI"/>
    <s v="Ritika"/>
    <s v="amit.sharma@company.com"/>
    <n v="98765"/>
    <s v="Cancelled"/>
    <s v="Blacklisted"/>
    <s v="Amit Sharma"/>
    <s v="Ami001Ah"/>
    <s v="amit.sharma@company.com"/>
    <n v="45"/>
    <n v="4"/>
    <s v="On time"/>
  </r>
  <r>
    <x v="444"/>
    <s v="C001"/>
    <s v="P203"/>
    <x v="131"/>
    <s v="13/05/2026"/>
    <s v="Amit Sharma"/>
    <s v="Male"/>
    <s v="21/04/1998"/>
    <s v="Kolkata"/>
    <x v="3"/>
    <x v="1"/>
    <s v="Microwave"/>
    <n v="14"/>
    <n v="8500"/>
    <n v="10"/>
    <n v="107100"/>
    <n v="4"/>
    <s v="Cash"/>
    <s v="Ritika"/>
    <s v="amit.sharma@company.com"/>
    <n v="9211936331"/>
    <s v="Completed"/>
    <s v="Gold"/>
    <s v="Amit Sharma"/>
    <s v="Ami001Ko"/>
    <s v="amit.sharma@company.com"/>
    <n v="26"/>
    <s v=""/>
    <s v="Delayed"/>
  </r>
  <r>
    <x v="445"/>
    <s v="C009"/>
    <s v="P303"/>
    <x v="109"/>
    <d v="2025-07-06T00:00:00"/>
    <s v="Mohit Verma"/>
    <s v="Male"/>
    <d v="1984-10-05T00:00:00"/>
    <s v="Hyderabad"/>
    <x v="0"/>
    <x v="2"/>
    <s v="Marker"/>
    <n v="1"/>
    <n v="45"/>
    <n v="0"/>
    <n v="45"/>
    <n v="3"/>
    <s v="UPI"/>
    <s v="Karan"/>
    <s v="mohit.verma@company.com"/>
    <n v="9167291747"/>
    <s v="Cancelled"/>
    <s v="Blacklisted"/>
    <s v="Mohit Verma"/>
    <s v="Moh009Hy"/>
    <s v="mohit.verma@company.com"/>
    <s v=""/>
    <s v=""/>
    <s v="Delayed"/>
  </r>
  <r>
    <x v="446"/>
    <s v="C009"/>
    <s v="P101"/>
    <x v="300"/>
    <s v="28/02/2025"/>
    <s v="Mohit Verma"/>
    <s v="Male"/>
    <d v="1986-07-10T00:00:00"/>
    <s v="Delhi"/>
    <x v="1"/>
    <x v="0"/>
    <s v="Laptop"/>
    <n v="16"/>
    <n v="55000"/>
    <n v="15"/>
    <n v="748000"/>
    <n v="1"/>
    <s v="Card"/>
    <s v="Karan"/>
    <s v="mohit.verma@company.com"/>
    <n v="9637283597"/>
    <s v="Cancelled"/>
    <s v="Blacklisted"/>
    <s v="Mohit Verma"/>
    <s v="Moh009De"/>
    <s v="mohit.verma@company.com"/>
    <n v="42"/>
    <n v="11"/>
    <s v="Delayed"/>
  </r>
  <r>
    <x v="447"/>
    <s v="C010"/>
    <s v="P102"/>
    <x v="301"/>
    <s v="29/03/2026"/>
    <s v="pooja shah"/>
    <s v="Female"/>
    <d v="2003-01-11T00:00:00"/>
    <s v="Ahmedabad"/>
    <x v="2"/>
    <x v="0"/>
    <s v="Mouse"/>
    <n v="8"/>
    <n v="700"/>
    <n v="0"/>
    <n v="5600"/>
    <n v="3"/>
    <s v="Cash"/>
    <s v="Rahul"/>
    <s v="pooja.shah@company.com"/>
    <n v="9514269002"/>
    <s v="Completed"/>
    <s v="Silver"/>
    <s v="Pooja Shah"/>
    <s v="Poo010Ah"/>
    <s v="pooja.shah@company.com"/>
    <n v="40"/>
    <n v="7"/>
    <s v="Delayed"/>
  </r>
  <r>
    <x v="448"/>
    <s v="C006"/>
    <s v="P103"/>
    <x v="302"/>
    <s v="13/04/2026"/>
    <s v="Sneha Joshi"/>
    <s v="Female"/>
    <d v="2003-10-06T00:00:00"/>
    <s v="Ahmedabad"/>
    <x v="2"/>
    <x v="0"/>
    <s v="Keyboard"/>
    <n v="3"/>
    <n v="1200"/>
    <n v="0"/>
    <n v="3600"/>
    <n v="1"/>
    <s v="Card"/>
    <s v="Rahul"/>
    <s v="sneha.joshi@company.com"/>
    <n v="9778908233"/>
    <s v="Cancelled"/>
    <s v="Blacklisted"/>
    <s v="Sneha Joshi"/>
    <s v="Sne006Ah"/>
    <s v="sneha.joshi@company.com"/>
    <n v="23"/>
    <s v=""/>
    <s v="Delayed"/>
  </r>
  <r>
    <x v="449"/>
    <s v="C009"/>
    <s v="P201"/>
    <x v="303"/>
    <s v="26/02/2025"/>
    <s v="Mohit Verma"/>
    <s v="Male"/>
    <s v="27/03/1990"/>
    <s v="Kolkata"/>
    <x v="3"/>
    <x v="1"/>
    <s v="Mixer"/>
    <n v="7"/>
    <n v="3500"/>
    <n v="15"/>
    <n v="20825"/>
    <n v="4"/>
    <s v="Card"/>
    <s v="Aisha"/>
    <s v="mohit.verma@company.com"/>
    <n v="9981118755"/>
    <s v="Pending"/>
    <s v=""/>
    <s v="Mohit Verma"/>
    <s v="Moh009Ko"/>
    <s v="mohit.verma@company.com"/>
    <n v="23"/>
    <n v="8"/>
    <s v="Delayed"/>
  </r>
  <r>
    <x v="450"/>
    <s v="C010"/>
    <s v="P101"/>
    <x v="304"/>
    <d v="2026-04-04T00:00:00"/>
    <s v="pooja shah"/>
    <s v="Female"/>
    <s v="28/05/2003"/>
    <s v="Pune"/>
    <x v="2"/>
    <x v="0"/>
    <s v="Laptop"/>
    <n v="9"/>
    <n v="55000"/>
    <n v="15"/>
    <n v="420750"/>
    <n v="3"/>
    <s v="UPI"/>
    <s v="Ritika"/>
    <s v="pooja.shah@company.com"/>
    <n v="9887896743"/>
    <s v="Cancelled"/>
    <s v="Blacklisted"/>
    <s v="Pooja Shah"/>
    <s v="Poo010Pu"/>
    <s v="pooja.shah@company.com"/>
    <s v=""/>
    <s v=""/>
    <s v="Delayed"/>
  </r>
  <r>
    <x v="451"/>
    <s v="C001"/>
    <s v="P104"/>
    <x v="18"/>
    <d v="2025-02-12T00:00:00"/>
    <s v="Amit Sharma"/>
    <s v="Male"/>
    <d v="1993-06-02T00:00:00"/>
    <s v="Bengaluru"/>
    <x v="0"/>
    <x v="0"/>
    <s v="Monitor"/>
    <n v="12"/>
    <n v="12000"/>
    <n v="0"/>
    <n v="144000"/>
    <n v="3"/>
    <s v="Card"/>
    <s v="Karan"/>
    <s v="amit.sharma@company.com"/>
    <n v="9585330043"/>
    <s v="Cancelled"/>
    <s v="Blacklisted"/>
    <s v="Amit Sharma"/>
    <s v="Ami001Be"/>
    <s v="amit.sharma@company.com"/>
    <s v=""/>
    <s v=""/>
    <s v="Delayed"/>
  </r>
  <r>
    <x v="452"/>
    <s v="C002"/>
    <s v="P301"/>
    <x v="305"/>
    <d v="2025-11-05T00:00:00"/>
    <s v="Priya Patel"/>
    <s v="Female"/>
    <d v="1975-02-09T00:00:00"/>
    <s v="Ahmedabad"/>
    <x v="2"/>
    <x v="2"/>
    <s v="Notebook"/>
    <n v="7"/>
    <n v="60"/>
    <n v="10"/>
    <n v="378"/>
    <n v="4"/>
    <s v="Cash"/>
    <s v="Rahul"/>
    <s v="priYa.patel@company.com"/>
    <n v="9423719975"/>
    <s v="Cancelled"/>
    <s v="Blacklisted"/>
    <s v="Priya Patel"/>
    <s v="Pri002Ah"/>
    <s v="priya.patel@company.com"/>
    <n v="33"/>
    <s v=""/>
    <s v="Delayed"/>
  </r>
  <r>
    <x v="453"/>
    <s v="C005"/>
    <s v="P202"/>
    <x v="306"/>
    <s v="31/08/2025"/>
    <s v="Vikas Mehta"/>
    <s v="Male"/>
    <d v="1994-09-09T00:00:00"/>
    <s v="Mumbai"/>
    <x v="2"/>
    <x v="1"/>
    <s v="Iron"/>
    <n v="17"/>
    <n v="2200"/>
    <n v="15"/>
    <n v="31790"/>
    <n v="3"/>
    <s v="UPI"/>
    <s v="Karan"/>
    <s v="vikas.mehta@company.com"/>
    <n v="9270746961"/>
    <s v="Pending"/>
    <s v=""/>
    <s v="Vikas Mehta"/>
    <s v="Vik005Mu"/>
    <s v="vikas.mehta@company.com"/>
    <n v="51"/>
    <n v="8"/>
    <s v="Delayed"/>
  </r>
  <r>
    <x v="454"/>
    <s v="C001"/>
    <s v="P102"/>
    <x v="46"/>
    <d v="2025-06-12T00:00:00"/>
    <s v="Amit Sharma"/>
    <s v="Male"/>
    <d v="1992-07-10T00:00:00"/>
    <s v="Bengaluru"/>
    <x v="0"/>
    <x v="0"/>
    <s v="Mouse"/>
    <n v="17"/>
    <n v="700"/>
    <n v="10"/>
    <n v="10710"/>
    <n v="2"/>
    <s v="Cash"/>
    <s v="Aisha"/>
    <s v="amit.sharma@company.com"/>
    <n v="9333162025"/>
    <s v="Pending"/>
    <s v="Blacklisted"/>
    <s v="Amit Sharma"/>
    <s v="Ami001Be"/>
    <s v="amit.sharma@company.com"/>
    <n v="32"/>
    <s v=""/>
    <s v="Delayed"/>
  </r>
  <r>
    <x v="455"/>
    <s v="C001"/>
    <s v="P101"/>
    <x v="307"/>
    <d v="2025-01-06T00:00:00"/>
    <s v="Amit Sharma"/>
    <s v="Male"/>
    <s v="17/07/2002"/>
    <s v="Delhi"/>
    <x v="1"/>
    <x v="0"/>
    <s v="Laptop"/>
    <n v="19"/>
    <n v="55000"/>
    <n v="20"/>
    <n v="836000"/>
    <n v="5"/>
    <s v="NetBanking"/>
    <s v="Aisha"/>
    <s v="amit.sharma@company.com"/>
    <n v="9247023285"/>
    <s v="Completed"/>
    <s v="Gold"/>
    <s v="Amit Sharma"/>
    <s v="Ami001De"/>
    <s v="amit.sharma@company.com"/>
    <n v="34"/>
    <s v=""/>
    <s v="Delayed"/>
  </r>
  <r>
    <x v="456"/>
    <s v="C003"/>
    <s v="P301"/>
    <x v="308"/>
    <s v="19/09/2025"/>
    <s v="Rohit Singh"/>
    <s v="Male"/>
    <d v="2001-03-02T00:00:00"/>
    <s v="Delhi"/>
    <x v="1"/>
    <x v="2"/>
    <s v="Notebook"/>
    <n v="1"/>
    <n v="60"/>
    <n v="10"/>
    <n v="54"/>
    <n v="4"/>
    <s v="NetBanking"/>
    <m/>
    <s v="rohit.singh@company.com"/>
    <n v="9448658297"/>
    <s v="Cancelled"/>
    <s v="Blacklisted"/>
    <s v="Rohit Singh"/>
    <s v="Roh003De"/>
    <s v="rohit.singh@company.com"/>
    <s v=""/>
    <s v=""/>
    <s v="Delayed"/>
  </r>
  <r>
    <x v="457"/>
    <s v="C009"/>
    <s v="P201"/>
    <x v="309"/>
    <d v="2026-11-03T00:00:00"/>
    <s v="Mohit Verma"/>
    <s v="Male"/>
    <s v="23/06/1990"/>
    <s v="Hyderabad"/>
    <x v="0"/>
    <x v="1"/>
    <s v="Mixer"/>
    <n v="16"/>
    <n v="3500"/>
    <n v="0"/>
    <n v="56000"/>
    <n v="4"/>
    <s v="NetBanking"/>
    <s v="Ritika"/>
    <s v="mohit.verma@company.com"/>
    <n v="9906748486"/>
    <s v="Pending"/>
    <s v=""/>
    <s v="Mohit Verma"/>
    <s v="Moh009Hy"/>
    <s v="mohit.verma@company.com"/>
    <n v="25"/>
    <s v=""/>
    <s v="Delayed"/>
  </r>
  <r>
    <x v="458"/>
    <s v="C003"/>
    <s v="P302"/>
    <x v="261"/>
    <d v="2025-05-02T00:00:00"/>
    <s v="Rohit Singh"/>
    <s v="Male"/>
    <s v="13/05/1978"/>
    <s v="Pune"/>
    <x v="2"/>
    <x v="2"/>
    <s v="Pen"/>
    <n v="14"/>
    <n v="20"/>
    <n v="10"/>
    <n v="252"/>
    <n v="1"/>
    <s v="NetBanking"/>
    <s v="Aisha"/>
    <s v="rohit.singh@company.com"/>
    <n v="9365182725"/>
    <s v="Pending"/>
    <s v="Blacklisted"/>
    <s v="Rohit Singh"/>
    <s v="Roh003Pu"/>
    <s v="rohit.singh@company.com"/>
    <s v=""/>
    <s v=""/>
    <s v="Delayed"/>
  </r>
  <r>
    <x v="459"/>
    <s v="C009"/>
    <s v="P202"/>
    <x v="68"/>
    <s v="14/12/2025"/>
    <s v="Mohit Verma"/>
    <s v="Male"/>
    <s v="22/07/2000"/>
    <s v="Bengaluru"/>
    <x v="0"/>
    <x v="1"/>
    <s v="Iron"/>
    <n v="11"/>
    <n v="2200"/>
    <n v="15"/>
    <n v="20570"/>
    <n v="4"/>
    <s v="NetBanking"/>
    <s v="Rahul"/>
    <s v="mohit.verma@company.com"/>
    <n v="9937119494"/>
    <s v="Cancelled"/>
    <s v="Blacklisted"/>
    <s v="Mohit Verma"/>
    <s v="Moh009Be"/>
    <s v="mohit.verma@company.com"/>
    <s v=""/>
    <n v="1"/>
    <s v="On time"/>
  </r>
  <r>
    <x v="460"/>
    <s v="C007"/>
    <s v="P101"/>
    <x v="310"/>
    <d v="2025-09-08T00:00:00"/>
    <s v="arjun Rao"/>
    <s v="Male"/>
    <s v="20/03/1985"/>
    <s v="Jaipur"/>
    <x v="1"/>
    <x v="0"/>
    <s v="Laptop"/>
    <n v="2"/>
    <n v="55000"/>
    <n v="0"/>
    <n v="110000"/>
    <n v="4"/>
    <s v="NetBanking"/>
    <s v="Rahul"/>
    <s v="arjun.rao@company.com"/>
    <n v="9828015293"/>
    <s v="Cancelled"/>
    <s v="Blacklisted"/>
    <s v="Arjun Rao"/>
    <s v="Arj007Ja"/>
    <s v="arjun.rao@company.com"/>
    <s v=""/>
    <s v=""/>
    <s v="Delayed"/>
  </r>
  <r>
    <x v="461"/>
    <s v="C010"/>
    <s v="P202"/>
    <x v="76"/>
    <d v="2025-07-01T00:00:00"/>
    <s v="pooja shah"/>
    <s v="Female"/>
    <d v="1988-08-02T00:00:00"/>
    <s v="Pune"/>
    <x v="2"/>
    <x v="1"/>
    <s v="Iron"/>
    <n v="7"/>
    <n v="2200"/>
    <n v="5"/>
    <n v="14630"/>
    <n v="4"/>
    <s v="Card"/>
    <s v="Neha"/>
    <s v="pooja.shah@company.com"/>
    <n v="9864206250"/>
    <s v="Cancelled"/>
    <s v="Blacklisted"/>
    <s v="Pooja Shah"/>
    <s v="Poo010Pu"/>
    <s v="pooja.shah@company.com"/>
    <s v=""/>
    <s v=""/>
    <s v="Delayed"/>
  </r>
  <r>
    <x v="462"/>
    <s v="C008"/>
    <s v="P303"/>
    <x v="311"/>
    <d v="2025-12-04T00:00:00"/>
    <s v="Kavya Nair"/>
    <s v="Female"/>
    <s v="26/04/1997"/>
    <s v="Ahmedabad"/>
    <x v="2"/>
    <x v="2"/>
    <s v="Marker"/>
    <n v="11"/>
    <n v="45"/>
    <n v="15"/>
    <n v="420.75"/>
    <n v="4"/>
    <s v="Card"/>
    <s v="Aisha"/>
    <s v="KAvya.nair@company.com"/>
    <n v="9519293104"/>
    <s v="Pending"/>
    <s v=""/>
    <s v="Kavya Nair"/>
    <s v="Kav008Ah"/>
    <s v="kavya.nair@company.com"/>
    <n v="38"/>
    <s v=""/>
    <s v="Delayed"/>
  </r>
  <r>
    <x v="463"/>
    <s v="C002"/>
    <s v="P301"/>
    <x v="181"/>
    <s v="30/04/2025"/>
    <s v="Priya Patel"/>
    <s v="Female"/>
    <s v="22/05/2001"/>
    <s v="Mumbai"/>
    <x v="2"/>
    <x v="2"/>
    <s v="Notebook"/>
    <n v="16"/>
    <n v="60"/>
    <n v="5"/>
    <n v="912"/>
    <n v="2"/>
    <s v="Cash"/>
    <s v="Neha"/>
    <s v="priYa.patel@company.com"/>
    <n v="9296075245"/>
    <s v="Cancelled"/>
    <s v="Blacklisted"/>
    <s v="Priya Patel"/>
    <s v="Pri002Mu"/>
    <s v="priya.patel@company.com"/>
    <s v=""/>
    <n v="10"/>
    <s v="Delayed"/>
  </r>
  <r>
    <x v="464"/>
    <s v="C001"/>
    <s v="P101"/>
    <x v="312"/>
    <d v="2025-04-11T00:00:00"/>
    <s v="Amit Sharma"/>
    <s v="Male"/>
    <s v="19/06/1982"/>
    <s v="Pune"/>
    <x v="2"/>
    <x v="0"/>
    <s v="Laptop"/>
    <n v="18"/>
    <n v="55000"/>
    <n v="0"/>
    <n v="990000"/>
    <n v="5"/>
    <s v="NetBanking"/>
    <s v="Rahul"/>
    <s v="amit.sharma@company.com"/>
    <n v="9316770206"/>
    <s v="Pending"/>
    <s v=""/>
    <s v="Amit Sharma"/>
    <s v="Ami001Pu"/>
    <s v="amit.sharma@company.com"/>
    <s v=""/>
    <s v=""/>
    <s v="Delayed"/>
  </r>
  <r>
    <x v="465"/>
    <s v="C008"/>
    <s v="P103"/>
    <x v="313"/>
    <s v="22/10/2025"/>
    <s v="Kavya Nair"/>
    <s v="Female"/>
    <s v="23/06/1999"/>
    <s v="Bengaluru"/>
    <x v="0"/>
    <x v="0"/>
    <s v="Keyboard"/>
    <n v="17"/>
    <n v="1200"/>
    <n v="5"/>
    <n v="19380"/>
    <n v="1"/>
    <s v="NetBanking"/>
    <s v="Ritika"/>
    <s v="KAvya.nair@company.com"/>
    <n v="9706553861"/>
    <s v="Pending"/>
    <s v="Blacklisted"/>
    <s v="Kavya Nair"/>
    <s v="Kav008Be"/>
    <s v="kavya.nair@company.com"/>
    <s v=""/>
    <n v="4"/>
    <s v="On time"/>
  </r>
  <r>
    <x v="466"/>
    <s v="C010"/>
    <s v="P101"/>
    <x v="2"/>
    <d v="2025-05-05T00:00:00"/>
    <s v="pooja shah"/>
    <s v="Female"/>
    <d v="2001-02-02T00:00:00"/>
    <s v="Pune"/>
    <x v="2"/>
    <x v="0"/>
    <s v="Laptop"/>
    <n v="11"/>
    <n v="55000"/>
    <n v="0"/>
    <n v="605000"/>
    <n v="2"/>
    <s v="Cash"/>
    <s v="Aisha"/>
    <s v="pooja.shah@company.com"/>
    <n v="9524904662"/>
    <s v="Pending"/>
    <s v="Blacklisted"/>
    <s v="Pooja Shah"/>
    <s v="Poo010Pu"/>
    <s v="pooja.shah@company.com"/>
    <s v=""/>
    <s v=""/>
    <s v="Delayed"/>
  </r>
  <r>
    <x v="467"/>
    <s v="C006"/>
    <s v="P102"/>
    <x v="26"/>
    <s v="31/05/2025"/>
    <s v="Sneha Joshi"/>
    <s v="Female"/>
    <d v="1999-09-02T00:00:00"/>
    <s v="Delhi"/>
    <x v="1"/>
    <x v="0"/>
    <s v="Mouse"/>
    <n v="20"/>
    <n v="700"/>
    <n v="20"/>
    <n v="11200"/>
    <n v="5"/>
    <s v="NetBanking"/>
    <s v="Aisha"/>
    <s v="sneha.joshi@company.com"/>
    <n v="9577624596"/>
    <s v="Completed"/>
    <s v="Silver"/>
    <s v="Sneha Joshi"/>
    <s v="Sne006De"/>
    <s v="sneha.joshi@company.com"/>
    <n v="25"/>
    <n v="9"/>
    <s v="Delayed"/>
  </r>
  <r>
    <x v="468"/>
    <s v="C009"/>
    <s v="P302"/>
    <x v="314"/>
    <d v="2026-08-02T00:00:00"/>
    <s v="Mohit Verma"/>
    <s v="Male"/>
    <d v="1988-06-05T00:00:00"/>
    <s v="Delhi"/>
    <x v="1"/>
    <x v="2"/>
    <s v="Pen"/>
    <n v="5"/>
    <n v="20"/>
    <n v="5"/>
    <n v="95"/>
    <n v="4"/>
    <s v="Cash"/>
    <s v="Rahul"/>
    <s v="mohit.verma@company.com"/>
    <n v="9898452436"/>
    <s v="Cancelled"/>
    <s v="Blacklisted"/>
    <s v="Mohit Verma"/>
    <s v="Moh009De"/>
    <s v="mohit.verma@company.com"/>
    <n v="27"/>
    <s v=""/>
    <s v="Delayed"/>
  </r>
  <r>
    <x v="469"/>
    <s v="C001"/>
    <s v="P101"/>
    <x v="122"/>
    <d v="2025-11-02T00:00:00"/>
    <s v="Amit Sharma"/>
    <s v="Male"/>
    <d v="1975-12-02T00:00:00"/>
    <s v="Mumbai"/>
    <x v="2"/>
    <x v="0"/>
    <s v="Laptop"/>
    <n v="13"/>
    <n v="55000"/>
    <n v="5"/>
    <n v="679250"/>
    <n v="1"/>
    <s v="NetBanking"/>
    <s v="Rahul"/>
    <s v="amit.sharma@company.com"/>
    <n v="9960757012"/>
    <s v="Pending"/>
    <s v="Blacklisted"/>
    <s v="Amit Sharma"/>
    <s v="Ami001Mu"/>
    <s v="amit.sharma@company.com"/>
    <n v="38"/>
    <s v=""/>
    <s v="Delayed"/>
  </r>
  <r>
    <x v="470"/>
    <s v="C003"/>
    <s v="P101"/>
    <x v="22"/>
    <s v="20/04/2025"/>
    <s v="Rohit Singh"/>
    <s v="Male"/>
    <d v="2004-01-01T00:00:00"/>
    <s v="Kolkata"/>
    <x v="3"/>
    <x v="0"/>
    <s v="Laptop"/>
    <n v="12"/>
    <n v="55000"/>
    <n v="5"/>
    <n v="627000"/>
    <n v="1"/>
    <s v="NetBanking"/>
    <s v="Neha"/>
    <s v="rohit.singh@company.com"/>
    <n v="9331268182"/>
    <s v="Cancelled"/>
    <s v="Blacklisted"/>
    <s v="Rohit Singh"/>
    <s v="Roh003Ko"/>
    <s v="rohit.singh@company.com"/>
    <n v="50"/>
    <n v="1"/>
    <s v="On time"/>
  </r>
  <r>
    <x v="471"/>
    <s v="C010"/>
    <s v="P303"/>
    <x v="315"/>
    <s v="28/01/2025"/>
    <s v="pooja shah"/>
    <s v="Female"/>
    <s v="23/08/2001"/>
    <s v="Mumbai"/>
    <x v="2"/>
    <x v="2"/>
    <s v="Marker"/>
    <n v="16"/>
    <n v="45"/>
    <n v="20"/>
    <n v="576"/>
    <n v="2"/>
    <s v="Cash"/>
    <s v="Rahul"/>
    <s v="pooja.shah@company.com"/>
    <n v="9135996862"/>
    <s v="Pending"/>
    <s v="Blacklisted"/>
    <s v="Pooja Shah"/>
    <s v="Poo010Mu"/>
    <s v="pooja.shah@company.com"/>
    <n v="22"/>
    <n v="7"/>
    <s v="Delayed"/>
  </r>
  <r>
    <x v="472"/>
    <s v="C008"/>
    <s v="P103"/>
    <x v="1"/>
    <s v="27/09/2025"/>
    <s v="Kavya Nair"/>
    <s v="Female"/>
    <s v="23/01/1998"/>
    <s v="Bengaluru"/>
    <x v="0"/>
    <x v="0"/>
    <s v="Keyboard"/>
    <n v="5"/>
    <n v="1200"/>
    <n v="10"/>
    <n v="5400"/>
    <n v="1"/>
    <s v="Cash"/>
    <m/>
    <s v="KAvya.nair@company.com"/>
    <n v="9540813143"/>
    <s v="Completed"/>
    <s v="Blacklisted"/>
    <s v="Kavya Nair"/>
    <s v="Kav008Be"/>
    <s v="kavya.nair@company.com"/>
    <s v=""/>
    <n v="9"/>
    <s v="Delayed"/>
  </r>
  <r>
    <x v="473"/>
    <s v="C004"/>
    <s v="P303"/>
    <x v="316"/>
    <s v="20/10/2025"/>
    <s v="Anita Gupta"/>
    <s v="Female"/>
    <s v="28/05/2004"/>
    <s v="Kolkata"/>
    <x v="3"/>
    <x v="2"/>
    <s v="Marker"/>
    <n v="2"/>
    <n v="45"/>
    <n v="10"/>
    <n v="81"/>
    <n v="4"/>
    <s v="UPI"/>
    <s v="Rahul"/>
    <s v="anita.gupta@company.com"/>
    <n v="9910913552"/>
    <s v="Pending"/>
    <s v=""/>
    <s v="Anita Gupta"/>
    <s v="Ani004Ko"/>
    <s v="anita.gupta@company.com"/>
    <s v=""/>
    <n v="1"/>
    <s v="On time"/>
  </r>
  <r>
    <x v="474"/>
    <s v="C003"/>
    <s v="P104"/>
    <x v="317"/>
    <s v="18/01/2026"/>
    <s v="Rohit Singh"/>
    <s v="Male"/>
    <d v="1985-06-03T00:00:00"/>
    <s v="Ahmedabad"/>
    <x v="2"/>
    <x v="0"/>
    <s v="Monitor"/>
    <n v="3"/>
    <n v="12000"/>
    <n v="0"/>
    <n v="36000"/>
    <n v="2"/>
    <s v="UPI"/>
    <s v="Karan"/>
    <s v="rohit.singh@company.com"/>
    <n v="9282751683"/>
    <s v="Pending"/>
    <s v="Blacklisted"/>
    <s v="Rohit Singh"/>
    <s v="Roh003Ah"/>
    <s v="rohit.singh@company.com"/>
    <s v=""/>
    <s v=""/>
    <s v="Delayed"/>
  </r>
  <r>
    <x v="475"/>
    <s v="C008"/>
    <s v="P104"/>
    <x v="318"/>
    <d v="2025-01-02T00:00:00"/>
    <s v="Kavya Nair"/>
    <s v="Female"/>
    <d v="1986-06-09T00:00:00"/>
    <s v="Bengaluru"/>
    <x v="0"/>
    <x v="0"/>
    <s v="Monitor"/>
    <n v="3"/>
    <n v="12000"/>
    <n v="20"/>
    <n v="28800"/>
    <n v="3"/>
    <s v="UPI"/>
    <s v="Neha"/>
    <s v="KAvya.nair@company.com"/>
    <n v="9939332058"/>
    <s v="Completed"/>
    <s v="Silver"/>
    <s v="Kavya Nair"/>
    <s v="Kav008Be"/>
    <s v="kavya.nair@company.com"/>
    <n v="41"/>
    <s v=""/>
    <s v="Delayed"/>
  </r>
  <r>
    <x v="476"/>
    <s v="C003"/>
    <s v="P203"/>
    <x v="319"/>
    <d v="2026-08-04T00:00:00"/>
    <s v="Rohit Singh"/>
    <s v="Male"/>
    <s v="21/08/1981"/>
    <s v="Kolkata"/>
    <x v="3"/>
    <x v="1"/>
    <s v="Microwave"/>
    <n v="9"/>
    <n v="8500"/>
    <n v="15"/>
    <n v="65025"/>
    <n v="5"/>
    <s v="Cash"/>
    <s v="Rahul"/>
    <s v="rohit.singh@company.com"/>
    <n v="9780626473"/>
    <s v="Pending"/>
    <s v=""/>
    <s v="Rohit Singh"/>
    <s v="Roh003Ko"/>
    <s v="rohit.singh@company.com"/>
    <n v="40"/>
    <s v=""/>
    <s v="Delayed"/>
  </r>
  <r>
    <x v="477"/>
    <s v="C009"/>
    <s v="P102"/>
    <x v="320"/>
    <d v="2025-06-07T00:00:00"/>
    <s v="Mohit Verma"/>
    <s v="Male"/>
    <s v="23/04/1992"/>
    <s v="Kolkata"/>
    <x v="3"/>
    <x v="0"/>
    <s v="Mouse"/>
    <n v="17"/>
    <n v="700"/>
    <n v="0"/>
    <n v="11900"/>
    <n v="2"/>
    <s v="Cash"/>
    <s v="Aisha"/>
    <s v="mohit.verma@company.com"/>
    <n v="9347298020"/>
    <s v="Cancelled"/>
    <s v="Blacklisted"/>
    <s v="Mohit Verma"/>
    <s v="Moh009Ko"/>
    <s v="mohit.verma@company.com"/>
    <s v=""/>
    <s v=""/>
    <s v="Delayed"/>
  </r>
  <r>
    <x v="478"/>
    <s v="C008"/>
    <s v="P102"/>
    <x v="199"/>
    <s v="18/07/2025"/>
    <s v="Kavya Nair"/>
    <s v="Female"/>
    <d v="1991-03-07T00:00:00"/>
    <s v="Hyderabad"/>
    <x v="0"/>
    <x v="0"/>
    <s v="Mouse"/>
    <n v="20"/>
    <n v="700"/>
    <n v="5"/>
    <n v="13300"/>
    <n v="2"/>
    <s v="UPI"/>
    <s v="Ritika"/>
    <s v="KAvya.nair@company.com"/>
    <n v="9345328522"/>
    <s v="Completed"/>
    <s v="Blacklisted"/>
    <s v="Kavya Nair"/>
    <s v="Kav008Hy"/>
    <s v="kavya.nair@company.com"/>
    <s v=""/>
    <s v=""/>
    <s v="Delayed"/>
  </r>
  <r>
    <x v="479"/>
    <s v="C001"/>
    <s v="P103"/>
    <x v="84"/>
    <s v="21/03/2026"/>
    <s v="Amit Sharma"/>
    <s v="Male"/>
    <d v="1978-05-02T00:00:00"/>
    <s v="Ahmedabad"/>
    <x v="2"/>
    <x v="0"/>
    <s v="Keyboard"/>
    <n v="13"/>
    <n v="1200"/>
    <n v="20"/>
    <n v="12480"/>
    <n v="5"/>
    <s v="Card"/>
    <s v="Neha"/>
    <s v="amit.sharma@company.com"/>
    <n v="9160310438"/>
    <s v="Completed"/>
    <s v="Silver"/>
    <s v="Amit Sharma"/>
    <s v="Ami001Ah"/>
    <s v="amit.sharma@company.com"/>
    <n v="35"/>
    <s v=""/>
    <s v="Delayed"/>
  </r>
  <r>
    <x v="480"/>
    <s v="C002"/>
    <s v="P101"/>
    <x v="321"/>
    <s v="29/03/2026"/>
    <s v="Priya Patel"/>
    <s v="Female"/>
    <s v="18/07/1999"/>
    <s v="Jaipur"/>
    <x v="1"/>
    <x v="0"/>
    <s v="Laptop"/>
    <n v="20"/>
    <n v="55000"/>
    <n v="10"/>
    <n v="990000"/>
    <n v="1"/>
    <s v="UPI"/>
    <s v="Ritika"/>
    <s v="priYa.patel@company.com"/>
    <n v="9343776153"/>
    <s v="Pending"/>
    <s v="Blacklisted"/>
    <s v="Priya Patel"/>
    <s v="Pri002Ja"/>
    <s v="priya.patel@company.com"/>
    <n v="48"/>
    <n v="6"/>
    <s v="Delayed"/>
  </r>
  <r>
    <x v="481"/>
    <s v="C006"/>
    <s v="P103"/>
    <x v="80"/>
    <d v="2025-05-11T00:00:00"/>
    <s v="Sneha Joshi"/>
    <s v="Female"/>
    <d v="1988-03-04T00:00:00"/>
    <s v="Kolkata"/>
    <x v="3"/>
    <x v="0"/>
    <s v="Keyboard"/>
    <n v="8"/>
    <n v="1200"/>
    <n v="0"/>
    <n v="9600"/>
    <n v="2"/>
    <s v="NetBanking"/>
    <s v="Karan"/>
    <s v="sneha.joshi@company.com"/>
    <n v="9458599727"/>
    <s v="Completed"/>
    <s v="Blacklisted"/>
    <s v="Sneha Joshi"/>
    <s v="Sne006Ko"/>
    <s v="sneha.joshi@company.com"/>
    <s v=""/>
    <s v=""/>
    <s v="Delayed"/>
  </r>
  <r>
    <x v="482"/>
    <s v="C010"/>
    <s v="P302"/>
    <x v="322"/>
    <d v="2026-09-05T00:00:00"/>
    <s v="pooja shah"/>
    <s v="Female"/>
    <d v="1978-11-11T00:00:00"/>
    <s v="Kolkata"/>
    <x v="3"/>
    <x v="2"/>
    <s v="Pen"/>
    <n v="18"/>
    <n v="20"/>
    <n v="10"/>
    <n v="324"/>
    <n v="5"/>
    <s v="Card"/>
    <m/>
    <s v="pooja.shah@company.com"/>
    <n v="9218660140"/>
    <s v="Pending"/>
    <s v=""/>
    <s v="Pooja Shah"/>
    <s v="Poo010Ko"/>
    <s v="pooja.shah@company.com"/>
    <n v="38"/>
    <s v=""/>
    <s v="Delayed"/>
  </r>
  <r>
    <x v="483"/>
    <s v="C004"/>
    <s v="P104"/>
    <x v="323"/>
    <d v="2025-07-03T00:00:00"/>
    <s v="Anita Gupta"/>
    <s v="Female"/>
    <d v="1994-02-04T00:00:00"/>
    <s v="Pune"/>
    <x v="2"/>
    <x v="0"/>
    <s v="Monitor"/>
    <n v="11"/>
    <n v="12000"/>
    <n v="10"/>
    <n v="118800"/>
    <n v="1"/>
    <s v="Card"/>
    <s v="Rahul"/>
    <s v="anita.gupta@company.com"/>
    <n v="9341979199"/>
    <s v="Cancelled"/>
    <s v="Blacklisted"/>
    <s v="Anita Gupta"/>
    <s v="Ani004Pu"/>
    <s v="anita.gupta@company.com"/>
    <n v="47"/>
    <s v=""/>
    <s v="Delayed"/>
  </r>
  <r>
    <x v="484"/>
    <s v="C001"/>
    <s v="P203"/>
    <x v="271"/>
    <s v="17/01/2025"/>
    <s v="Amit Sharma"/>
    <s v="Male"/>
    <d v="1993-09-05T00:00:00"/>
    <s v="Hyderabad"/>
    <x v="0"/>
    <x v="1"/>
    <s v="Microwave"/>
    <n v="2"/>
    <n v="8500"/>
    <n v="5"/>
    <n v="16150"/>
    <n v="1"/>
    <s v="Card"/>
    <s v="Aisha"/>
    <s v="amit.sharma@company.com"/>
    <n v="9823080381"/>
    <s v="Completed"/>
    <s v="Blacklisted"/>
    <s v="Amit Sharma"/>
    <s v="Ami001Hy"/>
    <s v="amit.sharma@company.com"/>
    <n v="32"/>
    <n v="2"/>
    <s v="On time"/>
  </r>
  <r>
    <x v="485"/>
    <s v="C002"/>
    <s v="P202"/>
    <x v="42"/>
    <d v="2025-08-04T00:00:00"/>
    <s v="Priya Patel"/>
    <s v="Female"/>
    <d v="1994-11-07T00:00:00"/>
    <s v="Pune"/>
    <x v="2"/>
    <x v="1"/>
    <s v="Iron"/>
    <n v="7"/>
    <n v="2200"/>
    <n v="0"/>
    <n v="15400"/>
    <n v="5"/>
    <s v="NetBanking"/>
    <s v="Ritika"/>
    <s v="priYa.patel@company.com"/>
    <n v="9981183477"/>
    <s v="Pending"/>
    <s v=""/>
    <s v="Priya Patel"/>
    <s v="Pri002Pu"/>
    <s v="priya.patel@company.com"/>
    <n v="33"/>
    <s v=""/>
    <s v="Delayed"/>
  </r>
  <r>
    <x v="486"/>
    <s v="C007"/>
    <s v="P203"/>
    <x v="299"/>
    <d v="2026-02-05T00:00:00"/>
    <s v="arjun Rao"/>
    <s v="Male"/>
    <s v="19/12/1982"/>
    <s v="Delhi"/>
    <x v="1"/>
    <x v="1"/>
    <s v="Microwave"/>
    <n v="20"/>
    <n v="8500"/>
    <n v="0"/>
    <n v="170000"/>
    <n v="3"/>
    <s v="NetBanking"/>
    <s v="Rahul"/>
    <s v="arjun.rao@company.com"/>
    <n v="9281596011"/>
    <s v="Completed"/>
    <s v="Gold"/>
    <s v="Arjun Rao"/>
    <s v="Arj007De"/>
    <s v="arjun.rao@company.com"/>
    <n v="31"/>
    <s v=""/>
    <s v="Delayed"/>
  </r>
  <r>
    <x v="487"/>
    <s v="C003"/>
    <s v="P103"/>
    <x v="179"/>
    <s v="29/07/2025"/>
    <s v="Rohit Singh"/>
    <s v="Male"/>
    <d v="2001-02-11T00:00:00"/>
    <s v="Hyderabad"/>
    <x v="0"/>
    <x v="0"/>
    <s v="Keyboard"/>
    <n v="11"/>
    <n v="1200"/>
    <n v="5"/>
    <n v="12540"/>
    <n v="2"/>
    <s v="Cash"/>
    <s v="Ritika"/>
    <s v="rohit.singh@company.com"/>
    <n v="9211734022"/>
    <s v="Pending"/>
    <s v="Blacklisted"/>
    <s v="Rohit Singh"/>
    <s v="Roh003Hy"/>
    <s v="rohit.singh@company.com"/>
    <s v=""/>
    <n v="9"/>
    <s v="Delayed"/>
  </r>
  <r>
    <x v="488"/>
    <s v="C007"/>
    <s v="P102"/>
    <x v="324"/>
    <d v="2025-01-08T00:00:00"/>
    <s v="arjun Rao"/>
    <s v="Male"/>
    <s v="18/10/2001"/>
    <s v="Ahmedabad"/>
    <x v="2"/>
    <x v="0"/>
    <s v="Mouse"/>
    <n v="14"/>
    <n v="700"/>
    <n v="0"/>
    <n v="9800"/>
    <n v="2"/>
    <s v="Card"/>
    <s v="Karan"/>
    <s v="arjun.rao@company.com"/>
    <n v="9447151666"/>
    <s v="Cancelled"/>
    <s v="Blacklisted"/>
    <s v="Arjun Rao"/>
    <s v="Arj007Ah"/>
    <s v="arjun.rao@company.com"/>
    <n v="25"/>
    <s v=""/>
    <s v="Delayed"/>
  </r>
  <r>
    <x v="489"/>
    <s v="C009"/>
    <s v="P103"/>
    <x v="325"/>
    <d v="2025-01-11T00:00:00"/>
    <s v="Mohit Verma"/>
    <s v="Male"/>
    <s v="21/12/2000"/>
    <s v="Pune"/>
    <x v="2"/>
    <x v="0"/>
    <s v="Keyboard"/>
    <n v="16"/>
    <n v="1200"/>
    <n v="15"/>
    <n v="16320"/>
    <n v="4"/>
    <s v="Cash"/>
    <s v="Karan"/>
    <s v="mohit.verma@company.com"/>
    <n v="9345342793"/>
    <s v="Pending"/>
    <s v=""/>
    <s v="Mohit Verma"/>
    <s v="Moh009Pu"/>
    <s v="mohit.verma@company.com"/>
    <s v=""/>
    <s v=""/>
    <s v="Delayed"/>
  </r>
  <r>
    <x v="490"/>
    <s v="C004"/>
    <s v="P202"/>
    <x v="72"/>
    <s v="29/03/2026"/>
    <s v="Anita Gupta"/>
    <s v="Female"/>
    <s v="20/02/1983"/>
    <s v="Jaipur"/>
    <x v="1"/>
    <x v="1"/>
    <s v="Iron"/>
    <n v="20"/>
    <n v="2200"/>
    <n v="0"/>
    <n v="44000"/>
    <n v="5"/>
    <s v="Cash"/>
    <s v="Ritika"/>
    <s v="anita.gupta@company.com"/>
    <n v="9329668173"/>
    <s v="Cancelled"/>
    <s v="Blacklisted"/>
    <s v="Anita Gupta"/>
    <s v="Ani004Ja"/>
    <s v="anita.gupta@company.com"/>
    <s v=""/>
    <n v="12"/>
    <s v="Delayed"/>
  </r>
  <r>
    <x v="491"/>
    <s v="C007"/>
    <s v="P104"/>
    <x v="323"/>
    <d v="2025-07-03T00:00:00"/>
    <s v="arjun Rao"/>
    <s v="Male"/>
    <s v="13/06/1988"/>
    <s v="Jaipur"/>
    <x v="1"/>
    <x v="0"/>
    <s v="Monitor"/>
    <n v="12"/>
    <n v="12000"/>
    <n v="15"/>
    <n v="122400"/>
    <n v="5"/>
    <s v="Cash"/>
    <s v="Karan"/>
    <s v="arjun.rao@company.com"/>
    <n v="9294740227"/>
    <s v="Completed"/>
    <s v="Gold"/>
    <s v="Arjun Rao"/>
    <s v="Arj007Ja"/>
    <s v="arjun.rao@company.com"/>
    <s v=""/>
    <s v=""/>
    <s v="Delayed"/>
  </r>
  <r>
    <x v="492"/>
    <s v="C005"/>
    <s v="P103"/>
    <x v="96"/>
    <s v="20/12/2025"/>
    <s v="Vikas Mehta"/>
    <s v="Male"/>
    <s v="22/07/1992"/>
    <s v="Delhi"/>
    <x v="1"/>
    <x v="0"/>
    <s v="Keyboard"/>
    <n v="3"/>
    <n v="1200"/>
    <n v="20"/>
    <n v="2880"/>
    <n v="2"/>
    <s v="NetBanking"/>
    <s v="Neha"/>
    <s v="vikas.mehtacompany.com"/>
    <n v="9549426303"/>
    <s v="Pending"/>
    <s v="Blacklisted"/>
    <s v="Vikas Mehta"/>
    <s v="Vik005De"/>
    <s v="invalid email"/>
    <s v=""/>
    <s v=""/>
    <s v="Delayed"/>
  </r>
  <r>
    <x v="493"/>
    <s v="C002"/>
    <s v="P101"/>
    <x v="125"/>
    <d v="2025-05-07T00:00:00"/>
    <s v="Priya Patel"/>
    <s v="Female"/>
    <d v="1979-12-08T00:00:00"/>
    <s v="Mumbai"/>
    <x v="2"/>
    <x v="0"/>
    <s v="Laptop,Mouse"/>
    <n v="6"/>
    <n v="55000"/>
    <n v="20"/>
    <n v="264000"/>
    <n v="3"/>
    <s v="Cash"/>
    <s v="Karan"/>
    <s v="priYa.patel@company.com"/>
    <n v="9374249303"/>
    <s v="Completed"/>
    <s v="Gold"/>
    <s v="Priya Patel"/>
    <s v="Pri002Mu"/>
    <s v="priya.patel@company.com"/>
    <s v=""/>
    <s v=""/>
    <s v="Delayed"/>
  </r>
  <r>
    <x v="494"/>
    <s v="C002"/>
    <s v="P201"/>
    <x v="326"/>
    <s v="23/09/2025"/>
    <s v="Priya Patel"/>
    <s v="Female"/>
    <s v="24/11/1976"/>
    <s v="Bengaluru"/>
    <x v="0"/>
    <x v="1"/>
    <s v="Mixer"/>
    <n v="20"/>
    <n v="3500"/>
    <n v="0"/>
    <n v="70000"/>
    <n v="1"/>
    <s v="NetBanking"/>
    <s v="Karan"/>
    <s v="priYa.patel@company.com"/>
    <n v="9810334941"/>
    <s v="Pending"/>
    <s v="Blacklisted"/>
    <s v="Priya Patel"/>
    <s v="Pri002Be"/>
    <s v="priya.patel@company.com"/>
    <n v="46"/>
    <n v="7"/>
    <s v="Delay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8F4EB-3E92-491B-AD82-FD2CB5E3F5D4}" name="PivotTable5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7:B19" firstHeaderRow="1" firstDataRow="1" firstDataCol="1"/>
  <pivotFields count="2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h="1"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2">
    <i>
      <x/>
    </i>
    <i t="grand">
      <x/>
    </i>
  </rowItems>
  <colItems count="1">
    <i/>
  </colItems>
  <dataFields count="1">
    <dataField name="Sum of Sales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48251-5A2E-489A-80FC-E3BEB4E3EA93}" name="PivotTable4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4:D5" firstHeaderRow="1" firstDataRow="1" firstDataCol="0"/>
  <pivotFields count="29">
    <pivotField dataField="1" compact="0" outline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BF2C3-690A-454C-9855-CFC11967FE05}" name="PivotTable3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2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Sales" fld="1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5B189-F672-4AA8-82B2-A77EB6C7E05B}" name="PivotTable7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5:H333" firstHeaderRow="1" firstDataRow="1" firstDataCol="1"/>
  <pivotFields count="29">
    <pivotField compact="0" outline="0" showAll="0"/>
    <pivotField compact="0" outline="0" showAll="0"/>
    <pivotField compact="0" outline="0" showAll="0"/>
    <pivotField axis="axisRow" compact="0" outline="0" showAll="0">
      <items count="328">
        <item x="252"/>
        <item x="97"/>
        <item x="283"/>
        <item x="37"/>
        <item x="219"/>
        <item x="134"/>
        <item x="27"/>
        <item x="7"/>
        <item x="273"/>
        <item x="58"/>
        <item x="86"/>
        <item x="44"/>
        <item x="68"/>
        <item x="287"/>
        <item x="147"/>
        <item x="145"/>
        <item x="92"/>
        <item x="264"/>
        <item x="153"/>
        <item x="133"/>
        <item x="64"/>
        <item x="271"/>
        <item x="284"/>
        <item x="160"/>
        <item x="152"/>
        <item x="55"/>
        <item x="83"/>
        <item x="245"/>
        <item x="74"/>
        <item x="196"/>
        <item x="121"/>
        <item x="186"/>
        <item x="158"/>
        <item x="87"/>
        <item x="82"/>
        <item x="248"/>
        <item x="224"/>
        <item x="192"/>
        <item x="30"/>
        <item x="57"/>
        <item x="326"/>
        <item x="157"/>
        <item x="155"/>
        <item x="221"/>
        <item x="166"/>
        <item x="300"/>
        <item x="117"/>
        <item x="98"/>
        <item x="72"/>
        <item x="203"/>
        <item x="280"/>
        <item x="210"/>
        <item x="126"/>
        <item x="91"/>
        <item x="303"/>
        <item x="208"/>
        <item x="78"/>
        <item x="290"/>
        <item x="175"/>
        <item x="251"/>
        <item x="1"/>
        <item x="313"/>
        <item x="102"/>
        <item x="168"/>
        <item x="177"/>
        <item x="180"/>
        <item x="265"/>
        <item x="22"/>
        <item x="47"/>
        <item x="206"/>
        <item x="139"/>
        <item x="137"/>
        <item x="50"/>
        <item x="10"/>
        <item x="316"/>
        <item x="34"/>
        <item x="161"/>
        <item x="187"/>
        <item x="291"/>
        <item x="181"/>
        <item x="114"/>
        <item x="183"/>
        <item x="267"/>
        <item x="179"/>
        <item x="85"/>
        <item x="111"/>
        <item x="315"/>
        <item x="209"/>
        <item x="52"/>
        <item x="214"/>
        <item x="3"/>
        <item x="95"/>
        <item x="294"/>
        <item x="136"/>
        <item x="167"/>
        <item x="325"/>
        <item x="123"/>
        <item x="289"/>
        <item x="16"/>
        <item x="301"/>
        <item x="154"/>
        <item x="170"/>
        <item x="26"/>
        <item x="205"/>
        <item x="135"/>
        <item x="215"/>
        <item x="292"/>
        <item x="23"/>
        <item x="255"/>
        <item x="323"/>
        <item x="195"/>
        <item x="321"/>
        <item x="213"/>
        <item x="226"/>
        <item x="225"/>
        <item x="306"/>
        <item x="105"/>
        <item x="129"/>
        <item x="261"/>
        <item x="184"/>
        <item x="233"/>
        <item x="54"/>
        <item x="299"/>
        <item x="162"/>
        <item x="25"/>
        <item x="107"/>
        <item x="66"/>
        <item x="266"/>
        <item x="99"/>
        <item x="223"/>
        <item x="9"/>
        <item x="43"/>
        <item x="77"/>
        <item x="193"/>
        <item x="19"/>
        <item x="120"/>
        <item x="49"/>
        <item x="237"/>
        <item x="318"/>
        <item x="70"/>
        <item x="100"/>
        <item x="140"/>
        <item x="176"/>
        <item x="20"/>
        <item x="230"/>
        <item x="150"/>
        <item x="320"/>
        <item x="14"/>
        <item x="240"/>
        <item x="232"/>
        <item x="276"/>
        <item x="190"/>
        <item x="234"/>
        <item x="217"/>
        <item x="279"/>
        <item x="2"/>
        <item x="116"/>
        <item x="71"/>
        <item x="51"/>
        <item x="285"/>
        <item x="4"/>
        <item x="46"/>
        <item x="274"/>
        <item x="269"/>
        <item x="314"/>
        <item x="172"/>
        <item x="17"/>
        <item x="48"/>
        <item x="159"/>
        <item x="268"/>
        <item x="244"/>
        <item x="228"/>
        <item x="143"/>
        <item x="194"/>
        <item x="207"/>
        <item x="304"/>
        <item x="174"/>
        <item x="307"/>
        <item x="296"/>
        <item x="324"/>
        <item x="263"/>
        <item x="238"/>
        <item x="132"/>
        <item x="281"/>
        <item x="173"/>
        <item x="42"/>
        <item x="256"/>
        <item x="109"/>
        <item x="250"/>
        <item x="67"/>
        <item x="79"/>
        <item x="272"/>
        <item x="8"/>
        <item x="6"/>
        <item x="108"/>
        <item x="80"/>
        <item x="293"/>
        <item x="76"/>
        <item x="288"/>
        <item x="59"/>
        <item x="222"/>
        <item x="31"/>
        <item x="310"/>
        <item x="62"/>
        <item x="262"/>
        <item x="260"/>
        <item x="18"/>
        <item x="227"/>
        <item x="295"/>
        <item x="169"/>
        <item x="275"/>
        <item x="312"/>
        <item x="146"/>
        <item x="21"/>
        <item x="257"/>
        <item x="298"/>
        <item x="106"/>
        <item x="201"/>
        <item x="235"/>
        <item x="270"/>
        <item x="0"/>
        <item x="197"/>
        <item x="122"/>
        <item x="305"/>
        <item x="40"/>
        <item x="125"/>
        <item x="115"/>
        <item x="88"/>
        <item x="151"/>
        <item x="138"/>
        <item x="242"/>
        <item x="56"/>
        <item x="241"/>
        <item x="182"/>
        <item x="247"/>
        <item x="38"/>
        <item x="35"/>
        <item x="249"/>
        <item x="144"/>
        <item x="164"/>
        <item x="141"/>
        <item x="212"/>
        <item x="229"/>
        <item x="75"/>
        <item x="246"/>
        <item x="149"/>
        <item x="32"/>
        <item x="65"/>
        <item x="130"/>
        <item x="189"/>
        <item x="11"/>
        <item x="311"/>
        <item x="231"/>
        <item x="119"/>
        <item x="199"/>
        <item x="28"/>
        <item x="202"/>
        <item x="60"/>
        <item x="13"/>
        <item x="103"/>
        <item x="93"/>
        <item x="73"/>
        <item x="188"/>
        <item x="204"/>
        <item x="33"/>
        <item x="148"/>
        <item x="12"/>
        <item x="81"/>
        <item x="101"/>
        <item x="53"/>
        <item x="127"/>
        <item x="236"/>
        <item x="220"/>
        <item x="124"/>
        <item x="112"/>
        <item x="185"/>
        <item x="45"/>
        <item x="96"/>
        <item x="282"/>
        <item x="218"/>
        <item x="89"/>
        <item x="211"/>
        <item x="259"/>
        <item x="308"/>
        <item x="286"/>
        <item x="200"/>
        <item x="142"/>
        <item x="113"/>
        <item x="302"/>
        <item x="178"/>
        <item x="110"/>
        <item x="104"/>
        <item x="131"/>
        <item x="5"/>
        <item x="69"/>
        <item x="309"/>
        <item x="118"/>
        <item x="90"/>
        <item x="243"/>
        <item x="239"/>
        <item x="322"/>
        <item x="163"/>
        <item x="171"/>
        <item x="165"/>
        <item x="128"/>
        <item x="319"/>
        <item x="94"/>
        <item x="191"/>
        <item x="41"/>
        <item x="36"/>
        <item x="15"/>
        <item x="216"/>
        <item x="61"/>
        <item x="63"/>
        <item x="24"/>
        <item x="198"/>
        <item x="39"/>
        <item x="254"/>
        <item x="29"/>
        <item x="278"/>
        <item x="84"/>
        <item x="253"/>
        <item x="277"/>
        <item x="317"/>
        <item x="297"/>
        <item x="156"/>
        <item x="25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 t="grand">
      <x/>
    </i>
  </rowItems>
  <colItems count="1">
    <i/>
  </colItems>
  <dataFields count="1">
    <dataField name="Sum of Sales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FCB28-0BBB-4925-A17C-DE44B5B8CD89}" name="PivotTable6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O13:P15" firstHeaderRow="1" firstDataRow="1" firstDataCol="1"/>
  <pivotFields count="2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h="1" x="0"/>
        <item x="1"/>
        <item h="1" x="3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Sales" fld="1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427A3EC-83F1-4805-8615-136CB1F27179}" sourceName="Region">
  <pivotTables>
    <pivotTable tabId="10" name="PivotTable5"/>
  </pivotTables>
  <data>
    <tabular pivotCacheId="1706136953">
      <items count="4">
        <i x="3" s="1"/>
        <i x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339D348-2F86-4C94-A7D1-4956E2BA7C03}" sourceName="Category">
  <pivotTables>
    <pivotTable tabId="10" name="PivotTable6"/>
  </pivotTables>
  <data>
    <tabular pivotCacheId="1706136953">
      <items count="4">
        <i x="0"/>
        <i x="1" s="1"/>
        <i x="3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91931333-FAC5-4F13-91E0-3CB4A422BCEB}" cache="Slicer_Region" caption="Region" rowHeight="228600"/>
  <slicer name="Category" xr10:uid="{1F1D2D78-4FD4-4B4C-858B-018D2CA5DD52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7FE93-EBE6-4603-8040-90B0A1691922}" name="Table1" displayName="Table1" ref="A1:AC501" totalsRowShown="0" tableBorderDxfId="22">
  <autoFilter ref="A1:AC501" xr:uid="{4F37FE93-EBE6-4603-8040-90B0A1691922}"/>
  <tableColumns count="29">
    <tableColumn id="1" xr3:uid="{F6611259-5E07-43E6-A24F-FB956B0878D8}" name="Order ID" dataDxfId="21"/>
    <tableColumn id="2" xr3:uid="{71441F9A-F7A6-45D1-A8B7-D793BB02A5B8}" name="Customer_ID" dataDxfId="20"/>
    <tableColumn id="3" xr3:uid="{1B1042FE-5273-4983-8850-921C1ECA9A01}" name="Product_ID" dataDxfId="19"/>
    <tableColumn id="4" xr3:uid="{24911569-5E1B-45CD-BB2A-EC3B6459A6E1}" name="Order_Date"/>
    <tableColumn id="5" xr3:uid="{3BC5F63F-96ED-47FF-B4AB-12E3C959EC6B}" name="Delivery_Date" dataDxfId="18"/>
    <tableColumn id="6" xr3:uid="{605ED1C6-D60E-45D5-9954-770569E2E271}" name="Customer_Name" dataDxfId="17"/>
    <tableColumn id="7" xr3:uid="{283BC41C-F010-4019-80A5-ED2908ED561A}" name="Gender" dataDxfId="16"/>
    <tableColumn id="8" xr3:uid="{32B97984-7E32-4E8E-AB43-9FE7382F3D5D}" name="DOB" dataDxfId="15"/>
    <tableColumn id="9" xr3:uid="{B05842C6-829C-41A8-B0E9-C25C6688B05E}" name="City" dataDxfId="14"/>
    <tableColumn id="10" xr3:uid="{4367112F-C7A0-4654-90F0-14943C3759DC}" name="Region" dataDxfId="13"/>
    <tableColumn id="11" xr3:uid="{EAC4A296-A233-471B-BC6F-F1C54807FE64}" name="Category" dataDxfId="12"/>
    <tableColumn id="12" xr3:uid="{E1862292-C9EA-48FB-8E7E-5454752C590C}" name="Product_Name" dataDxfId="11"/>
    <tableColumn id="13" xr3:uid="{92DB4F72-DF3B-4DA3-AE23-3E2CE5E83896}" name="Quantity" dataDxfId="10"/>
    <tableColumn id="14" xr3:uid="{E83DA220-B63C-4819-8BA3-5EACF4F1235C}" name="Unit_Price" dataDxfId="9"/>
    <tableColumn id="15" xr3:uid="{EEDDB64A-8C13-49D6-90FC-3B48FDE2BB71}" name="Discount_%" dataDxfId="8"/>
    <tableColumn id="16" xr3:uid="{7DAEE6F6-B1F0-4981-BB5B-3C2C64A6C892}" name="Sales" dataDxfId="7"/>
    <tableColumn id="17" xr3:uid="{5519CF5B-4136-492F-965B-D5DFCBCB62BF}" name="Rating" dataDxfId="6"/>
    <tableColumn id="18" xr3:uid="{047E0101-D222-4A70-9295-0CC126BD380E}" name="Payment_Mode" dataDxfId="5"/>
    <tableColumn id="19" xr3:uid="{D01D2EFC-B733-4790-AF27-576012929CD8}" name="Salesperson" dataDxfId="4"/>
    <tableColumn id="20" xr3:uid="{355C66D5-95D2-4437-9A6E-DE55EFD72FB4}" name="Email" dataDxfId="3"/>
    <tableColumn id="21" xr3:uid="{25BE42A2-1F85-4D77-8C48-AB103A8FC5D1}" name="Phone" dataDxfId="2"/>
    <tableColumn id="22" xr3:uid="{45AB0C3D-A9DC-44E7-9863-168310CD6038}" name="Order_Status" dataDxfId="1"/>
    <tableColumn id="23" xr3:uid="{297D1355-09A3-4E37-93C3-103392AE01B0}" name="Customer Classification">
      <calculatedColumnFormula>IF(OR(Q2&lt;=2,V2="Cancelled"),"Blacklisted",IF(AND(P2&gt;100000,Q2&gt;=4,O2&lt;=10%,V2="Completed"),"Platinum",IF(AND(P2&gt;=50000,Q2&gt;=3,V2="Completed"),"Gold",IF(AND(P2&lt;50000,V2="Completed"),"Silver",""))))</calculatedColumnFormula>
    </tableColumn>
    <tableColumn id="24" xr3:uid="{E3AA1D69-0F92-419B-B10D-D04603A5CC27}" name="Standarized Customer Name">
      <calculatedColumnFormula>PROPER(TRIM(F2))</calculatedColumnFormula>
    </tableColumn>
    <tableColumn id="25" xr3:uid="{F987A0B6-135D-47BB-873E-9565C58B4769}" name="Customer Code">
      <calculatedColumnFormula>LEFT(F2,3)&amp;MID(B2,2,3)&amp;LEFT(I2,2)</calculatedColumnFormula>
    </tableColumn>
    <tableColumn id="26" xr3:uid="{DED42776-1C9F-4710-9E43-57C40BA4E978}" name="Standerized Email">
      <calculatedColumnFormula>IF(ISNUMBER(SEARCH("@",T2)),LOWER(TRIM(T2)),"invalid email")</calculatedColumnFormula>
    </tableColumn>
    <tableColumn id="27" xr3:uid="{F47D9D25-D084-432F-A44A-5EC2CF015545}" name="Customer age ">
      <calculatedColumnFormula>IF(H1="","",IFERROR(DATEDIF(IF(ISNUMBER(H1),H1,DATE(VALUE(RIGHT(H1,4)),VALUE(MID(H1,3,2)),VALUE(LEFT(H1,2)))),TODAY(),"Y"),""))</calculatedColumnFormula>
    </tableColumn>
    <tableColumn id="28" xr3:uid="{57EB418A-C736-4A27-9948-6283F2614369}" name="Delivery Time">
      <calculatedColumnFormula>IF(OR(D2="",E2=""),"",IFERROR(DATE(MID(E2,7,4),MID(E2,4,2),LEFT(E2,2))-DATE(MID(D2,7,4),MID(D2,4,2),LEFT(D2,2)),""))</calculatedColumnFormula>
    </tableColumn>
    <tableColumn id="29" xr3:uid="{6541493D-4C0B-4296-AD7B-4EA74AE2DC1B}" name="DELIVERY status">
      <calculatedColumnFormula>IF(E2="","Pending",IF(AB2&lt;=5,"On time","Delayed"))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.mehta@company.com" TargetMode="External"/><Relationship Id="rId13" Type="http://schemas.openxmlformats.org/officeDocument/2006/relationships/hyperlink" Target="mailto:kavya.Nair@company.com" TargetMode="External"/><Relationship Id="rId3" Type="http://schemas.openxmlformats.org/officeDocument/2006/relationships/hyperlink" Target="mailto:priYa.patel@company.com" TargetMode="External"/><Relationship Id="rId7" Type="http://schemas.openxmlformats.org/officeDocument/2006/relationships/hyperlink" Target="mailto:arjun.Rao@company.com" TargetMode="External"/><Relationship Id="rId12" Type="http://schemas.openxmlformats.org/officeDocument/2006/relationships/hyperlink" Target="mailto:rohit.sinGh@company.com" TargetMode="External"/><Relationship Id="rId2" Type="http://schemas.openxmlformats.org/officeDocument/2006/relationships/hyperlink" Target="mailto:kavya.nair@company.com" TargetMode="External"/><Relationship Id="rId1" Type="http://schemas.openxmlformats.org/officeDocument/2006/relationships/hyperlink" Target="mailto:KAvya.nair@company.com" TargetMode="External"/><Relationship Id="rId6" Type="http://schemas.openxmlformats.org/officeDocument/2006/relationships/hyperlink" Target="mailto:kavya.nair@company.com" TargetMode="External"/><Relationship Id="rId11" Type="http://schemas.openxmlformats.org/officeDocument/2006/relationships/hyperlink" Target="mailto:amit.SHarma@company.com" TargetMode="External"/><Relationship Id="rId5" Type="http://schemas.openxmlformats.org/officeDocument/2006/relationships/hyperlink" Target="mailto:rOhit.singh@company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Pooja.shah@company.com" TargetMode="External"/><Relationship Id="rId4" Type="http://schemas.openxmlformats.org/officeDocument/2006/relationships/hyperlink" Target="mailto:PRiya.patel@company.com" TargetMode="External"/><Relationship Id="rId9" Type="http://schemas.openxmlformats.org/officeDocument/2006/relationships/hyperlink" Target="mailto:Anita.gupta@company.com" TargetMode="External"/><Relationship Id="rId14" Type="http://schemas.openxmlformats.org/officeDocument/2006/relationships/hyperlink" Target="mailto:pOOja.shah@company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Anita.gupta@company.com" TargetMode="External"/><Relationship Id="rId13" Type="http://schemas.openxmlformats.org/officeDocument/2006/relationships/hyperlink" Target="mailto:pOOja.shah@company.com" TargetMode="External"/><Relationship Id="rId3" Type="http://schemas.openxmlformats.org/officeDocument/2006/relationships/hyperlink" Target="mailto:PRiya.patel@company.com" TargetMode="External"/><Relationship Id="rId7" Type="http://schemas.openxmlformats.org/officeDocument/2006/relationships/hyperlink" Target="mailto:Vikas.mehta@company.com" TargetMode="External"/><Relationship Id="rId12" Type="http://schemas.openxmlformats.org/officeDocument/2006/relationships/hyperlink" Target="mailto:kavya.Nair@company.com" TargetMode="External"/><Relationship Id="rId2" Type="http://schemas.openxmlformats.org/officeDocument/2006/relationships/hyperlink" Target="mailto:priYa.patel@company.com" TargetMode="External"/><Relationship Id="rId1" Type="http://schemas.openxmlformats.org/officeDocument/2006/relationships/hyperlink" Target="mailto:KAvya.nair@company.com" TargetMode="External"/><Relationship Id="rId6" Type="http://schemas.openxmlformats.org/officeDocument/2006/relationships/hyperlink" Target="mailto:arjun.Rao@company.com" TargetMode="External"/><Relationship Id="rId11" Type="http://schemas.openxmlformats.org/officeDocument/2006/relationships/hyperlink" Target="mailto:rohit.sinGh@company.com" TargetMode="External"/><Relationship Id="rId5" Type="http://schemas.openxmlformats.org/officeDocument/2006/relationships/hyperlink" Target="mailto:kavya.nair@company.com" TargetMode="External"/><Relationship Id="rId10" Type="http://schemas.openxmlformats.org/officeDocument/2006/relationships/hyperlink" Target="mailto:amit.SHarma@company.com" TargetMode="External"/><Relationship Id="rId4" Type="http://schemas.openxmlformats.org/officeDocument/2006/relationships/hyperlink" Target="mailto:rOhit.singh@company.com" TargetMode="External"/><Relationship Id="rId9" Type="http://schemas.openxmlformats.org/officeDocument/2006/relationships/hyperlink" Target="mailto:Pooja.shah@company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.mehta@company.com" TargetMode="External"/><Relationship Id="rId13" Type="http://schemas.openxmlformats.org/officeDocument/2006/relationships/hyperlink" Target="mailto:kavya.Nair@company.com" TargetMode="External"/><Relationship Id="rId3" Type="http://schemas.openxmlformats.org/officeDocument/2006/relationships/hyperlink" Target="mailto:priYa.patel@company.com" TargetMode="External"/><Relationship Id="rId7" Type="http://schemas.openxmlformats.org/officeDocument/2006/relationships/hyperlink" Target="mailto:arjun.Rao@company.com" TargetMode="External"/><Relationship Id="rId12" Type="http://schemas.openxmlformats.org/officeDocument/2006/relationships/hyperlink" Target="mailto:rohit.sinGh@company.com" TargetMode="External"/><Relationship Id="rId2" Type="http://schemas.openxmlformats.org/officeDocument/2006/relationships/hyperlink" Target="mailto:kavya.nair@company.com" TargetMode="External"/><Relationship Id="rId1" Type="http://schemas.openxmlformats.org/officeDocument/2006/relationships/hyperlink" Target="mailto:KAvya.nair@company.com" TargetMode="External"/><Relationship Id="rId6" Type="http://schemas.openxmlformats.org/officeDocument/2006/relationships/hyperlink" Target="mailto:kavya.nair@company.com" TargetMode="External"/><Relationship Id="rId11" Type="http://schemas.openxmlformats.org/officeDocument/2006/relationships/hyperlink" Target="mailto:amit.SHarma@company.com" TargetMode="External"/><Relationship Id="rId5" Type="http://schemas.openxmlformats.org/officeDocument/2006/relationships/hyperlink" Target="mailto:rOhit.singh@company.com" TargetMode="External"/><Relationship Id="rId10" Type="http://schemas.openxmlformats.org/officeDocument/2006/relationships/hyperlink" Target="mailto:Pooja.shah@company.com" TargetMode="External"/><Relationship Id="rId4" Type="http://schemas.openxmlformats.org/officeDocument/2006/relationships/hyperlink" Target="mailto:PRiya.patel@company.com" TargetMode="External"/><Relationship Id="rId9" Type="http://schemas.openxmlformats.org/officeDocument/2006/relationships/hyperlink" Target="mailto:Anita.gupta@company.com" TargetMode="External"/><Relationship Id="rId14" Type="http://schemas.openxmlformats.org/officeDocument/2006/relationships/hyperlink" Target="mailto:pOOja.shah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B561-5338-4230-B390-5D34B1FE6364}">
  <dimension ref="A3:P333"/>
  <sheetViews>
    <sheetView tabSelected="1" topLeftCell="F1" workbookViewId="0">
      <selection activeCell="D13" sqref="D13"/>
    </sheetView>
  </sheetViews>
  <sheetFormatPr defaultRowHeight="15"/>
  <cols>
    <col min="1" max="1" width="11.7109375" bestFit="1" customWidth="1"/>
    <col min="2" max="2" width="12.42578125" bestFit="1" customWidth="1"/>
    <col min="4" max="4" width="17" bestFit="1" customWidth="1"/>
    <col min="7" max="7" width="14.7109375" bestFit="1" customWidth="1"/>
    <col min="8" max="8" width="12.42578125" bestFit="1" customWidth="1"/>
    <col min="15" max="15" width="16.42578125" customWidth="1"/>
    <col min="16" max="16" width="12.42578125" bestFit="1" customWidth="1"/>
  </cols>
  <sheetData>
    <row r="3" spans="1:16">
      <c r="A3" t="s">
        <v>0</v>
      </c>
    </row>
    <row r="4" spans="1:16">
      <c r="A4" s="30">
        <v>34765937.5</v>
      </c>
      <c r="D4" t="s">
        <v>1</v>
      </c>
      <c r="E4" t="s">
        <v>2</v>
      </c>
    </row>
    <row r="5" spans="1:16">
      <c r="D5" s="30">
        <v>500</v>
      </c>
      <c r="E5">
        <f>IF(COUNTIF($A$2:A2,A2)=1,1,0)</f>
        <v>0</v>
      </c>
      <c r="G5" s="31" t="s">
        <v>3</v>
      </c>
      <c r="H5" t="s">
        <v>0</v>
      </c>
    </row>
    <row r="6" spans="1:16">
      <c r="G6" t="s">
        <v>4</v>
      </c>
      <c r="H6" s="30">
        <v>1785</v>
      </c>
    </row>
    <row r="7" spans="1:16">
      <c r="G7" t="s">
        <v>5</v>
      </c>
      <c r="H7" s="30">
        <v>574930</v>
      </c>
    </row>
    <row r="8" spans="1:16">
      <c r="G8" t="s">
        <v>6</v>
      </c>
      <c r="H8" s="30">
        <v>275000</v>
      </c>
    </row>
    <row r="9" spans="1:16">
      <c r="G9" t="s">
        <v>7</v>
      </c>
      <c r="H9" s="30">
        <v>100</v>
      </c>
    </row>
    <row r="10" spans="1:16">
      <c r="A10" s="36" t="s">
        <v>8</v>
      </c>
      <c r="G10" t="s">
        <v>9</v>
      </c>
      <c r="H10" s="30">
        <v>12080</v>
      </c>
    </row>
    <row r="11" spans="1:16">
      <c r="A11">
        <f>IFERROR(A4/D5,0)</f>
        <v>69531.875</v>
      </c>
      <c r="G11" t="s">
        <v>10</v>
      </c>
      <c r="H11" s="30">
        <v>180000</v>
      </c>
    </row>
    <row r="12" spans="1:16">
      <c r="G12" t="s">
        <v>11</v>
      </c>
      <c r="H12" s="30">
        <v>305589.5</v>
      </c>
    </row>
    <row r="13" spans="1:16">
      <c r="G13" t="s">
        <v>12</v>
      </c>
      <c r="H13" s="30">
        <v>143760</v>
      </c>
      <c r="O13" s="31" t="s">
        <v>13</v>
      </c>
      <c r="P13" t="s">
        <v>0</v>
      </c>
    </row>
    <row r="14" spans="1:16">
      <c r="G14" t="s">
        <v>14</v>
      </c>
      <c r="H14" s="30">
        <v>15360</v>
      </c>
      <c r="O14" t="s">
        <v>15</v>
      </c>
      <c r="P14" s="30">
        <v>7000575</v>
      </c>
    </row>
    <row r="15" spans="1:16">
      <c r="G15" t="s">
        <v>16</v>
      </c>
      <c r="H15" s="30">
        <v>69325</v>
      </c>
      <c r="O15" t="s">
        <v>17</v>
      </c>
      <c r="P15" s="30">
        <v>7000575</v>
      </c>
    </row>
    <row r="16" spans="1:16">
      <c r="G16" t="s">
        <v>18</v>
      </c>
      <c r="H16" s="30">
        <v>18780</v>
      </c>
    </row>
    <row r="17" spans="1:8">
      <c r="A17" s="31" t="s">
        <v>19</v>
      </c>
      <c r="B17" t="s">
        <v>0</v>
      </c>
      <c r="G17" t="s">
        <v>20</v>
      </c>
      <c r="H17" s="30">
        <v>142408.25</v>
      </c>
    </row>
    <row r="18" spans="1:8">
      <c r="A18" t="s">
        <v>21</v>
      </c>
      <c r="B18" s="30">
        <v>4041922</v>
      </c>
      <c r="G18" t="s">
        <v>22</v>
      </c>
      <c r="H18" s="30">
        <v>21710</v>
      </c>
    </row>
    <row r="19" spans="1:8">
      <c r="A19" t="s">
        <v>17</v>
      </c>
      <c r="B19" s="30">
        <v>4041922</v>
      </c>
      <c r="G19" t="s">
        <v>23</v>
      </c>
      <c r="H19" s="30">
        <v>79800</v>
      </c>
    </row>
    <row r="20" spans="1:8">
      <c r="G20" t="s">
        <v>24</v>
      </c>
      <c r="H20" s="30">
        <v>1062</v>
      </c>
    </row>
    <row r="21" spans="1:8">
      <c r="G21" t="s">
        <v>25</v>
      </c>
      <c r="H21" s="30">
        <v>650.25</v>
      </c>
    </row>
    <row r="22" spans="1:8">
      <c r="G22" t="s">
        <v>26</v>
      </c>
      <c r="H22" s="30">
        <v>140</v>
      </c>
    </row>
    <row r="23" spans="1:8">
      <c r="G23" t="s">
        <v>27</v>
      </c>
      <c r="H23" s="30">
        <v>68</v>
      </c>
    </row>
    <row r="24" spans="1:8">
      <c r="G24" t="s">
        <v>28</v>
      </c>
      <c r="H24" s="30">
        <v>12320</v>
      </c>
    </row>
    <row r="25" spans="1:8">
      <c r="G25" t="s">
        <v>29</v>
      </c>
      <c r="H25" s="30">
        <v>28160</v>
      </c>
    </row>
    <row r="26" spans="1:8">
      <c r="G26" t="s">
        <v>30</v>
      </c>
      <c r="H26" s="30">
        <v>198900</v>
      </c>
    </row>
    <row r="27" spans="1:8">
      <c r="G27" t="s">
        <v>31</v>
      </c>
      <c r="H27" s="30">
        <v>20505</v>
      </c>
    </row>
    <row r="28" spans="1:8">
      <c r="G28" t="s">
        <v>32</v>
      </c>
      <c r="H28" s="30">
        <v>14820</v>
      </c>
    </row>
    <row r="29" spans="1:8">
      <c r="G29" t="s">
        <v>33</v>
      </c>
      <c r="H29" s="30">
        <v>59850</v>
      </c>
    </row>
    <row r="30" spans="1:8">
      <c r="G30" t="s">
        <v>34</v>
      </c>
      <c r="H30" s="30">
        <v>43732.5</v>
      </c>
    </row>
    <row r="31" spans="1:8">
      <c r="G31" t="s">
        <v>35</v>
      </c>
      <c r="H31" s="30">
        <v>10127</v>
      </c>
    </row>
    <row r="32" spans="1:8">
      <c r="G32" t="s">
        <v>36</v>
      </c>
      <c r="H32" s="30">
        <v>69540</v>
      </c>
    </row>
    <row r="33" spans="7:8">
      <c r="G33" t="s">
        <v>37</v>
      </c>
      <c r="H33" s="30">
        <v>76.5</v>
      </c>
    </row>
    <row r="34" spans="7:8">
      <c r="G34" t="s">
        <v>38</v>
      </c>
      <c r="H34" s="30">
        <v>89400</v>
      </c>
    </row>
    <row r="35" spans="7:8">
      <c r="G35" t="s">
        <v>39</v>
      </c>
      <c r="H35" s="30">
        <v>10200</v>
      </c>
    </row>
    <row r="36" spans="7:8">
      <c r="G36" t="s">
        <v>40</v>
      </c>
      <c r="H36" s="30">
        <v>360</v>
      </c>
    </row>
    <row r="37" spans="7:8">
      <c r="G37" t="s">
        <v>41</v>
      </c>
      <c r="H37" s="30">
        <v>133</v>
      </c>
    </row>
    <row r="38" spans="7:8">
      <c r="G38" t="s">
        <v>42</v>
      </c>
      <c r="H38" s="30">
        <v>26580</v>
      </c>
    </row>
    <row r="39" spans="7:8">
      <c r="G39" t="s">
        <v>43</v>
      </c>
      <c r="H39" s="30">
        <v>200</v>
      </c>
    </row>
    <row r="40" spans="7:8">
      <c r="G40" t="s">
        <v>44</v>
      </c>
      <c r="H40" s="30">
        <v>54720</v>
      </c>
    </row>
    <row r="41" spans="7:8">
      <c r="G41" t="s">
        <v>45</v>
      </c>
      <c r="H41" s="30">
        <v>24310</v>
      </c>
    </row>
    <row r="42" spans="7:8">
      <c r="G42" t="s">
        <v>46</v>
      </c>
      <c r="H42" s="30">
        <v>585</v>
      </c>
    </row>
    <row r="43" spans="7:8">
      <c r="G43" t="s">
        <v>47</v>
      </c>
      <c r="H43" s="30">
        <v>18240</v>
      </c>
    </row>
    <row r="44" spans="7:8">
      <c r="G44" t="s">
        <v>48</v>
      </c>
      <c r="H44" s="30">
        <v>177659</v>
      </c>
    </row>
    <row r="45" spans="7:8">
      <c r="G45" t="s">
        <v>49</v>
      </c>
      <c r="H45" s="30">
        <v>514570</v>
      </c>
    </row>
    <row r="46" spans="7:8">
      <c r="G46" t="s">
        <v>50</v>
      </c>
      <c r="H46" s="30">
        <v>70000</v>
      </c>
    </row>
    <row r="47" spans="7:8">
      <c r="G47" t="s">
        <v>51</v>
      </c>
      <c r="H47" s="30">
        <v>34200</v>
      </c>
    </row>
    <row r="48" spans="7:8">
      <c r="G48" t="s">
        <v>52</v>
      </c>
      <c r="H48" s="30">
        <v>720</v>
      </c>
    </row>
    <row r="49" spans="7:8">
      <c r="G49" t="s">
        <v>53</v>
      </c>
      <c r="H49" s="30">
        <v>20220</v>
      </c>
    </row>
    <row r="50" spans="7:8">
      <c r="G50" t="s">
        <v>54</v>
      </c>
      <c r="H50" s="30">
        <v>660000</v>
      </c>
    </row>
    <row r="51" spans="7:8">
      <c r="G51" t="s">
        <v>55</v>
      </c>
      <c r="H51" s="30">
        <v>748000</v>
      </c>
    </row>
    <row r="52" spans="7:8">
      <c r="G52" t="s">
        <v>56</v>
      </c>
      <c r="H52" s="30">
        <v>18096</v>
      </c>
    </row>
    <row r="53" spans="7:8">
      <c r="G53" t="s">
        <v>57</v>
      </c>
      <c r="H53" s="30">
        <v>30087</v>
      </c>
    </row>
    <row r="54" spans="7:8">
      <c r="G54" t="s">
        <v>58</v>
      </c>
      <c r="H54" s="30">
        <v>55970</v>
      </c>
    </row>
    <row r="55" spans="7:8">
      <c r="G55" t="s">
        <v>59</v>
      </c>
      <c r="H55" s="30">
        <v>64600</v>
      </c>
    </row>
    <row r="56" spans="7:8">
      <c r="G56" t="s">
        <v>60</v>
      </c>
      <c r="H56" s="30">
        <v>115200</v>
      </c>
    </row>
    <row r="57" spans="7:8">
      <c r="G57" t="s">
        <v>61</v>
      </c>
      <c r="H57" s="30">
        <v>2200</v>
      </c>
    </row>
    <row r="58" spans="7:8">
      <c r="G58" t="s">
        <v>62</v>
      </c>
      <c r="H58" s="30">
        <v>180</v>
      </c>
    </row>
    <row r="59" spans="7:8">
      <c r="G59" t="s">
        <v>63</v>
      </c>
      <c r="H59" s="30">
        <v>139080</v>
      </c>
    </row>
    <row r="60" spans="7:8">
      <c r="G60" t="s">
        <v>64</v>
      </c>
      <c r="H60" s="30">
        <v>20825</v>
      </c>
    </row>
    <row r="61" spans="7:8">
      <c r="G61" t="s">
        <v>65</v>
      </c>
      <c r="H61" s="30">
        <v>173060</v>
      </c>
    </row>
    <row r="62" spans="7:8">
      <c r="G62" t="s">
        <v>66</v>
      </c>
      <c r="H62" s="30">
        <v>18360</v>
      </c>
    </row>
    <row r="63" spans="7:8">
      <c r="G63" t="s">
        <v>67</v>
      </c>
      <c r="H63" s="30">
        <v>48</v>
      </c>
    </row>
    <row r="64" spans="7:8">
      <c r="G64" t="s">
        <v>68</v>
      </c>
      <c r="H64" s="30">
        <v>144640</v>
      </c>
    </row>
    <row r="65" spans="7:8">
      <c r="G65" t="s">
        <v>69</v>
      </c>
      <c r="H65" s="30">
        <v>9350</v>
      </c>
    </row>
    <row r="66" spans="7:8">
      <c r="G66" t="s">
        <v>70</v>
      </c>
      <c r="H66" s="30">
        <v>105120</v>
      </c>
    </row>
    <row r="67" spans="7:8">
      <c r="G67" t="s">
        <v>71</v>
      </c>
      <c r="H67" s="30">
        <v>19380</v>
      </c>
    </row>
    <row r="68" spans="7:8">
      <c r="G68" t="s">
        <v>72</v>
      </c>
      <c r="H68" s="30">
        <v>127713.75</v>
      </c>
    </row>
    <row r="69" spans="7:8">
      <c r="G69" t="s">
        <v>73</v>
      </c>
      <c r="H69" s="30">
        <v>415175</v>
      </c>
    </row>
    <row r="70" spans="7:8">
      <c r="G70" t="s">
        <v>74</v>
      </c>
      <c r="H70" s="30">
        <v>12000</v>
      </c>
    </row>
    <row r="71" spans="7:8">
      <c r="G71" t="s">
        <v>75</v>
      </c>
      <c r="H71" s="30">
        <v>136</v>
      </c>
    </row>
    <row r="72" spans="7:8">
      <c r="G72" t="s">
        <v>76</v>
      </c>
      <c r="H72" s="30">
        <v>37400</v>
      </c>
    </row>
    <row r="73" spans="7:8">
      <c r="G73" t="s">
        <v>77</v>
      </c>
      <c r="H73" s="30">
        <v>638593</v>
      </c>
    </row>
    <row r="74" spans="7:8">
      <c r="G74" t="s">
        <v>78</v>
      </c>
      <c r="H74" s="30">
        <v>235030</v>
      </c>
    </row>
    <row r="75" spans="7:8">
      <c r="G75" t="s">
        <v>79</v>
      </c>
      <c r="H75" s="30">
        <v>304</v>
      </c>
    </row>
    <row r="76" spans="7:8">
      <c r="G76" t="s">
        <v>80</v>
      </c>
      <c r="H76" s="30">
        <v>120925</v>
      </c>
    </row>
    <row r="77" spans="7:8">
      <c r="G77" t="s">
        <v>81</v>
      </c>
      <c r="H77" s="30">
        <v>3240</v>
      </c>
    </row>
    <row r="78" spans="7:8">
      <c r="G78" t="s">
        <v>82</v>
      </c>
      <c r="H78" s="30">
        <v>769800</v>
      </c>
    </row>
    <row r="79" spans="7:8">
      <c r="G79" t="s">
        <v>83</v>
      </c>
      <c r="H79" s="30">
        <v>84842</v>
      </c>
    </row>
    <row r="80" spans="7:8">
      <c r="G80" t="s">
        <v>84</v>
      </c>
      <c r="H80" s="30">
        <v>81</v>
      </c>
    </row>
    <row r="81" spans="7:8">
      <c r="G81" t="s">
        <v>85</v>
      </c>
      <c r="H81" s="30">
        <v>22080</v>
      </c>
    </row>
    <row r="82" spans="7:8">
      <c r="G82" t="s">
        <v>86</v>
      </c>
      <c r="H82" s="30">
        <v>880000</v>
      </c>
    </row>
    <row r="83" spans="7:8">
      <c r="G83" t="s">
        <v>87</v>
      </c>
      <c r="H83" s="30">
        <v>26400</v>
      </c>
    </row>
    <row r="84" spans="7:8">
      <c r="G84" t="s">
        <v>88</v>
      </c>
      <c r="H84" s="30">
        <v>5950</v>
      </c>
    </row>
    <row r="85" spans="7:8">
      <c r="G85" t="s">
        <v>89</v>
      </c>
      <c r="H85" s="30">
        <v>103512</v>
      </c>
    </row>
    <row r="86" spans="7:8">
      <c r="G86" t="s">
        <v>90</v>
      </c>
      <c r="H86" s="30">
        <v>522595</v>
      </c>
    </row>
    <row r="87" spans="7:8">
      <c r="G87" t="s">
        <v>91</v>
      </c>
      <c r="H87" s="30">
        <v>154080</v>
      </c>
    </row>
    <row r="88" spans="7:8">
      <c r="G88" t="s">
        <v>92</v>
      </c>
      <c r="H88" s="30">
        <v>20400</v>
      </c>
    </row>
    <row r="89" spans="7:8">
      <c r="G89" t="s">
        <v>93</v>
      </c>
      <c r="H89" s="30">
        <v>50456.5</v>
      </c>
    </row>
    <row r="90" spans="7:8">
      <c r="G90" t="s">
        <v>94</v>
      </c>
      <c r="H90" s="30">
        <v>5202</v>
      </c>
    </row>
    <row r="91" spans="7:8">
      <c r="G91" t="s">
        <v>95</v>
      </c>
      <c r="H91" s="30">
        <v>326940</v>
      </c>
    </row>
    <row r="92" spans="7:8">
      <c r="G92" t="s">
        <v>96</v>
      </c>
      <c r="H92" s="30">
        <v>576</v>
      </c>
    </row>
    <row r="93" spans="7:8">
      <c r="G93" t="s">
        <v>97</v>
      </c>
      <c r="H93" s="30">
        <v>30004</v>
      </c>
    </row>
    <row r="94" spans="7:8">
      <c r="G94" t="s">
        <v>98</v>
      </c>
      <c r="H94" s="30">
        <v>969</v>
      </c>
    </row>
    <row r="95" spans="7:8">
      <c r="G95" t="s">
        <v>99</v>
      </c>
      <c r="H95" s="30">
        <v>6600</v>
      </c>
    </row>
    <row r="96" spans="7:8">
      <c r="G96" t="s">
        <v>100</v>
      </c>
      <c r="H96" s="30">
        <v>11215</v>
      </c>
    </row>
    <row r="97" spans="7:8">
      <c r="G97" t="s">
        <v>101</v>
      </c>
      <c r="H97" s="30">
        <v>1026</v>
      </c>
    </row>
    <row r="98" spans="7:8">
      <c r="G98" t="s">
        <v>102</v>
      </c>
      <c r="H98" s="30">
        <v>14000</v>
      </c>
    </row>
    <row r="99" spans="7:8">
      <c r="G99" t="s">
        <v>103</v>
      </c>
      <c r="H99" s="30">
        <v>10260</v>
      </c>
    </row>
    <row r="100" spans="7:8">
      <c r="G100" t="s">
        <v>104</v>
      </c>
      <c r="H100" s="30">
        <v>81600</v>
      </c>
    </row>
    <row r="101" spans="7:8">
      <c r="G101" t="s">
        <v>105</v>
      </c>
      <c r="H101" s="30">
        <v>16320</v>
      </c>
    </row>
    <row r="102" spans="7:8">
      <c r="G102" t="s">
        <v>106</v>
      </c>
      <c r="H102" s="30">
        <v>1077300</v>
      </c>
    </row>
    <row r="103" spans="7:8">
      <c r="G103" t="s">
        <v>107</v>
      </c>
      <c r="H103" s="30">
        <v>91800</v>
      </c>
    </row>
    <row r="104" spans="7:8">
      <c r="G104" t="s">
        <v>108</v>
      </c>
      <c r="H104" s="30">
        <v>88400</v>
      </c>
    </row>
    <row r="105" spans="7:8">
      <c r="G105" t="s">
        <v>109</v>
      </c>
      <c r="H105" s="30">
        <v>5600</v>
      </c>
    </row>
    <row r="106" spans="7:8">
      <c r="G106" t="s">
        <v>110</v>
      </c>
      <c r="H106" s="30">
        <v>136000</v>
      </c>
    </row>
    <row r="107" spans="7:8">
      <c r="G107" t="s">
        <v>111</v>
      </c>
      <c r="H107" s="30">
        <v>855</v>
      </c>
    </row>
    <row r="108" spans="7:8">
      <c r="G108" t="s">
        <v>112</v>
      </c>
      <c r="H108" s="30">
        <v>46900</v>
      </c>
    </row>
    <row r="109" spans="7:8">
      <c r="G109" t="s">
        <v>113</v>
      </c>
      <c r="H109" s="30">
        <v>95</v>
      </c>
    </row>
    <row r="110" spans="7:8">
      <c r="G110" t="s">
        <v>114</v>
      </c>
      <c r="H110" s="30">
        <v>25914</v>
      </c>
    </row>
    <row r="111" spans="7:8">
      <c r="G111" t="s">
        <v>115</v>
      </c>
      <c r="H111" s="30">
        <v>2400</v>
      </c>
    </row>
    <row r="112" spans="7:8">
      <c r="G112" t="s">
        <v>116</v>
      </c>
      <c r="H112" s="30">
        <v>36</v>
      </c>
    </row>
    <row r="113" spans="7:8">
      <c r="G113" t="s">
        <v>117</v>
      </c>
      <c r="H113" s="30">
        <v>685740</v>
      </c>
    </row>
    <row r="114" spans="7:8">
      <c r="G114" t="s">
        <v>118</v>
      </c>
      <c r="H114" s="30">
        <v>6720</v>
      </c>
    </row>
    <row r="115" spans="7:8">
      <c r="G115" t="s">
        <v>119</v>
      </c>
      <c r="H115" s="30">
        <v>241200</v>
      </c>
    </row>
    <row r="116" spans="7:8">
      <c r="G116" t="s">
        <v>120</v>
      </c>
      <c r="H116" s="30">
        <v>136650.25</v>
      </c>
    </row>
    <row r="117" spans="7:8">
      <c r="G117" t="s">
        <v>121</v>
      </c>
      <c r="H117" s="30">
        <v>990000</v>
      </c>
    </row>
    <row r="118" spans="7:8">
      <c r="G118" t="s">
        <v>122</v>
      </c>
      <c r="H118" s="30">
        <v>3360</v>
      </c>
    </row>
    <row r="119" spans="7:8">
      <c r="G119" t="s">
        <v>123</v>
      </c>
      <c r="H119" s="30">
        <v>63175</v>
      </c>
    </row>
    <row r="120" spans="7:8">
      <c r="G120" t="s">
        <v>124</v>
      </c>
      <c r="H120" s="30">
        <v>176000</v>
      </c>
    </row>
    <row r="121" spans="7:8">
      <c r="G121" t="s">
        <v>125</v>
      </c>
      <c r="H121" s="30">
        <v>31790</v>
      </c>
    </row>
    <row r="122" spans="7:8">
      <c r="G122" t="s">
        <v>126</v>
      </c>
      <c r="H122" s="30">
        <v>35485</v>
      </c>
    </row>
    <row r="123" spans="7:8">
      <c r="G123" t="s">
        <v>127</v>
      </c>
      <c r="H123" s="30">
        <v>40375</v>
      </c>
    </row>
    <row r="124" spans="7:8">
      <c r="G124" t="s">
        <v>128</v>
      </c>
      <c r="H124" s="30">
        <v>952</v>
      </c>
    </row>
    <row r="125" spans="7:8">
      <c r="G125" t="s">
        <v>129</v>
      </c>
      <c r="H125" s="30">
        <v>46550</v>
      </c>
    </row>
    <row r="126" spans="7:8">
      <c r="G126" t="s">
        <v>130</v>
      </c>
      <c r="H126" s="30">
        <v>408</v>
      </c>
    </row>
    <row r="127" spans="7:8">
      <c r="G127" t="s">
        <v>131</v>
      </c>
      <c r="H127" s="30">
        <v>4902</v>
      </c>
    </row>
    <row r="128" spans="7:8">
      <c r="G128" t="s">
        <v>132</v>
      </c>
      <c r="H128" s="30">
        <v>174320</v>
      </c>
    </row>
    <row r="129" spans="7:8">
      <c r="G129" t="s">
        <v>133</v>
      </c>
      <c r="H129" s="30">
        <v>76.5</v>
      </c>
    </row>
    <row r="130" spans="7:8">
      <c r="G130" t="s">
        <v>134</v>
      </c>
      <c r="H130" s="30">
        <v>59944</v>
      </c>
    </row>
    <row r="131" spans="7:8">
      <c r="G131" t="s">
        <v>135</v>
      </c>
      <c r="H131" s="30">
        <v>1190</v>
      </c>
    </row>
    <row r="132" spans="7:8">
      <c r="G132" t="s">
        <v>136</v>
      </c>
      <c r="H132" s="30">
        <v>34020</v>
      </c>
    </row>
    <row r="133" spans="7:8">
      <c r="G133" t="s">
        <v>137</v>
      </c>
      <c r="H133" s="30">
        <v>20570</v>
      </c>
    </row>
    <row r="134" spans="7:8">
      <c r="G134" t="s">
        <v>138</v>
      </c>
      <c r="H134" s="30">
        <v>11029.5</v>
      </c>
    </row>
    <row r="135" spans="7:8">
      <c r="G135" t="s">
        <v>139</v>
      </c>
      <c r="H135" s="30">
        <v>607.5</v>
      </c>
    </row>
    <row r="136" spans="7:8">
      <c r="G136" t="s">
        <v>140</v>
      </c>
      <c r="H136" s="30">
        <v>116410</v>
      </c>
    </row>
    <row r="137" spans="7:8">
      <c r="G137" t="s">
        <v>141</v>
      </c>
      <c r="H137" s="30">
        <v>33542</v>
      </c>
    </row>
    <row r="138" spans="7:8">
      <c r="G138" t="s">
        <v>142</v>
      </c>
      <c r="H138" s="30">
        <v>39900</v>
      </c>
    </row>
    <row r="139" spans="7:8">
      <c r="G139" t="s">
        <v>143</v>
      </c>
      <c r="H139" s="30">
        <v>12635</v>
      </c>
    </row>
    <row r="140" spans="7:8">
      <c r="G140" t="s">
        <v>144</v>
      </c>
      <c r="H140" s="30">
        <v>352000</v>
      </c>
    </row>
    <row r="141" spans="7:8">
      <c r="G141" t="s">
        <v>145</v>
      </c>
      <c r="H141" s="30">
        <v>44132</v>
      </c>
    </row>
    <row r="142" spans="7:8">
      <c r="G142" t="s">
        <v>146</v>
      </c>
      <c r="H142" s="30">
        <v>432</v>
      </c>
    </row>
    <row r="143" spans="7:8">
      <c r="G143" t="s">
        <v>147</v>
      </c>
      <c r="H143" s="30">
        <v>89520</v>
      </c>
    </row>
    <row r="144" spans="7:8">
      <c r="G144" t="s">
        <v>148</v>
      </c>
      <c r="H144" s="30">
        <v>28800</v>
      </c>
    </row>
    <row r="145" spans="7:8">
      <c r="G145" t="s">
        <v>149</v>
      </c>
      <c r="H145" s="30">
        <v>3294</v>
      </c>
    </row>
    <row r="146" spans="7:8">
      <c r="G146" t="s">
        <v>150</v>
      </c>
      <c r="H146" s="30">
        <v>9450</v>
      </c>
    </row>
    <row r="147" spans="7:8">
      <c r="G147" t="s">
        <v>151</v>
      </c>
      <c r="H147" s="30">
        <v>63175</v>
      </c>
    </row>
    <row r="148" spans="7:8">
      <c r="G148" t="s">
        <v>152</v>
      </c>
      <c r="H148" s="30">
        <v>33250</v>
      </c>
    </row>
    <row r="149" spans="7:8">
      <c r="G149" t="s">
        <v>153</v>
      </c>
      <c r="H149" s="30">
        <v>5600</v>
      </c>
    </row>
    <row r="150" spans="7:8">
      <c r="G150" t="s">
        <v>154</v>
      </c>
      <c r="H150" s="30">
        <v>204000</v>
      </c>
    </row>
    <row r="151" spans="7:8">
      <c r="G151" t="s">
        <v>155</v>
      </c>
      <c r="H151" s="30">
        <v>137275</v>
      </c>
    </row>
    <row r="152" spans="7:8">
      <c r="G152" t="s">
        <v>156</v>
      </c>
      <c r="H152" s="30">
        <v>11900</v>
      </c>
    </row>
    <row r="153" spans="7:8">
      <c r="G153" t="s">
        <v>157</v>
      </c>
      <c r="H153" s="30">
        <v>44625</v>
      </c>
    </row>
    <row r="154" spans="7:8">
      <c r="G154" t="s">
        <v>158</v>
      </c>
      <c r="H154" s="30">
        <v>54000</v>
      </c>
    </row>
    <row r="155" spans="7:8">
      <c r="G155" t="s">
        <v>159</v>
      </c>
      <c r="H155" s="30">
        <v>193800</v>
      </c>
    </row>
    <row r="156" spans="7:8">
      <c r="G156" t="s">
        <v>160</v>
      </c>
      <c r="H156" s="30">
        <v>729</v>
      </c>
    </row>
    <row r="157" spans="7:8">
      <c r="G157" t="s">
        <v>161</v>
      </c>
      <c r="H157" s="30">
        <v>450</v>
      </c>
    </row>
    <row r="158" spans="7:8">
      <c r="G158" t="s">
        <v>162</v>
      </c>
      <c r="H158" s="30">
        <v>8330</v>
      </c>
    </row>
    <row r="159" spans="7:8">
      <c r="G159" t="s">
        <v>163</v>
      </c>
      <c r="H159" s="30">
        <v>4800</v>
      </c>
    </row>
    <row r="160" spans="7:8">
      <c r="G160" t="s">
        <v>164</v>
      </c>
      <c r="H160" s="30">
        <v>10500</v>
      </c>
    </row>
    <row r="161" spans="7:8">
      <c r="G161" t="s">
        <v>165</v>
      </c>
      <c r="H161" s="30">
        <v>808016</v>
      </c>
    </row>
    <row r="162" spans="7:8">
      <c r="G162" t="s">
        <v>166</v>
      </c>
      <c r="H162" s="30">
        <v>16800</v>
      </c>
    </row>
    <row r="163" spans="7:8">
      <c r="G163" t="s">
        <v>167</v>
      </c>
      <c r="H163" s="30">
        <v>34160</v>
      </c>
    </row>
    <row r="164" spans="7:8">
      <c r="G164" t="s">
        <v>168</v>
      </c>
      <c r="H164" s="30">
        <v>2100</v>
      </c>
    </row>
    <row r="165" spans="7:8">
      <c r="G165" t="s">
        <v>169</v>
      </c>
      <c r="H165" s="30">
        <v>912</v>
      </c>
    </row>
    <row r="166" spans="7:8">
      <c r="G166" t="s">
        <v>170</v>
      </c>
      <c r="H166" s="30">
        <v>9120</v>
      </c>
    </row>
    <row r="167" spans="7:8">
      <c r="G167" t="s">
        <v>171</v>
      </c>
      <c r="H167" s="30">
        <v>21350</v>
      </c>
    </row>
    <row r="168" spans="7:8">
      <c r="G168" t="s">
        <v>172</v>
      </c>
      <c r="H168" s="30">
        <v>80750</v>
      </c>
    </row>
    <row r="169" spans="7:8">
      <c r="G169" t="s">
        <v>173</v>
      </c>
      <c r="H169" s="30">
        <v>48450</v>
      </c>
    </row>
    <row r="170" spans="7:8">
      <c r="G170" t="s">
        <v>174</v>
      </c>
      <c r="H170" s="30">
        <v>95</v>
      </c>
    </row>
    <row r="171" spans="7:8">
      <c r="G171" t="s">
        <v>175</v>
      </c>
      <c r="H171" s="30">
        <v>168361</v>
      </c>
    </row>
    <row r="172" spans="7:8">
      <c r="G172" t="s">
        <v>176</v>
      </c>
      <c r="H172" s="30">
        <v>27200</v>
      </c>
    </row>
    <row r="173" spans="7:8">
      <c r="G173" t="s">
        <v>177</v>
      </c>
      <c r="H173" s="30">
        <v>13090</v>
      </c>
    </row>
    <row r="174" spans="7:8">
      <c r="G174" t="s">
        <v>178</v>
      </c>
      <c r="H174" s="30">
        <v>33126</v>
      </c>
    </row>
    <row r="175" spans="7:8">
      <c r="G175" t="s">
        <v>179</v>
      </c>
      <c r="H175" s="30">
        <v>221</v>
      </c>
    </row>
    <row r="176" spans="7:8">
      <c r="G176" t="s">
        <v>180</v>
      </c>
      <c r="H176" s="30">
        <v>864</v>
      </c>
    </row>
    <row r="177" spans="7:8">
      <c r="G177" t="s">
        <v>181</v>
      </c>
      <c r="H177" s="30">
        <v>43350</v>
      </c>
    </row>
    <row r="178" spans="7:8">
      <c r="G178" t="s">
        <v>182</v>
      </c>
      <c r="H178" s="30">
        <v>8160</v>
      </c>
    </row>
    <row r="179" spans="7:8">
      <c r="G179" t="s">
        <v>183</v>
      </c>
      <c r="H179" s="30">
        <v>27229.5</v>
      </c>
    </row>
    <row r="180" spans="7:8">
      <c r="G180" t="s">
        <v>184</v>
      </c>
      <c r="H180" s="30">
        <v>726.75</v>
      </c>
    </row>
    <row r="181" spans="7:8">
      <c r="G181" t="s">
        <v>185</v>
      </c>
      <c r="H181" s="30">
        <v>420750</v>
      </c>
    </row>
    <row r="182" spans="7:8">
      <c r="G182" t="s">
        <v>186</v>
      </c>
      <c r="H182" s="30">
        <v>153</v>
      </c>
    </row>
    <row r="183" spans="7:8">
      <c r="G183" t="s">
        <v>187</v>
      </c>
      <c r="H183" s="30">
        <v>836000</v>
      </c>
    </row>
    <row r="184" spans="7:8">
      <c r="G184" t="s">
        <v>188</v>
      </c>
      <c r="H184" s="30">
        <v>765</v>
      </c>
    </row>
    <row r="185" spans="7:8">
      <c r="G185" t="s">
        <v>189</v>
      </c>
      <c r="H185" s="30">
        <v>9800</v>
      </c>
    </row>
    <row r="186" spans="7:8">
      <c r="G186" t="s">
        <v>190</v>
      </c>
      <c r="H186" s="30">
        <v>816</v>
      </c>
    </row>
    <row r="187" spans="7:8">
      <c r="G187" t="s">
        <v>191</v>
      </c>
      <c r="H187" s="30">
        <v>9975</v>
      </c>
    </row>
    <row r="188" spans="7:8">
      <c r="G188" t="s">
        <v>192</v>
      </c>
      <c r="H188" s="30">
        <v>36</v>
      </c>
    </row>
    <row r="189" spans="7:8">
      <c r="G189" t="s">
        <v>193</v>
      </c>
      <c r="H189" s="30">
        <v>15840</v>
      </c>
    </row>
    <row r="190" spans="7:8">
      <c r="G190" t="s">
        <v>194</v>
      </c>
      <c r="H190" s="30">
        <v>3920</v>
      </c>
    </row>
    <row r="191" spans="7:8">
      <c r="G191" t="s">
        <v>195</v>
      </c>
      <c r="H191" s="30">
        <v>15706</v>
      </c>
    </row>
    <row r="192" spans="7:8">
      <c r="G192" t="s">
        <v>196</v>
      </c>
      <c r="H192" s="30">
        <v>21660</v>
      </c>
    </row>
    <row r="193" spans="7:8">
      <c r="G193" t="s">
        <v>197</v>
      </c>
      <c r="H193" s="30">
        <v>7797</v>
      </c>
    </row>
    <row r="194" spans="7:8">
      <c r="G194" t="s">
        <v>198</v>
      </c>
      <c r="H194" s="30">
        <v>8925</v>
      </c>
    </row>
    <row r="195" spans="7:8">
      <c r="G195" t="s">
        <v>199</v>
      </c>
      <c r="H195" s="30">
        <v>171</v>
      </c>
    </row>
    <row r="196" spans="7:8">
      <c r="G196" t="s">
        <v>200</v>
      </c>
      <c r="H196" s="30">
        <v>183600</v>
      </c>
    </row>
    <row r="197" spans="7:8">
      <c r="G197" t="s">
        <v>201</v>
      </c>
      <c r="H197" s="30">
        <v>228000</v>
      </c>
    </row>
    <row r="198" spans="7:8">
      <c r="G198" t="s">
        <v>202</v>
      </c>
      <c r="H198" s="30">
        <v>40935</v>
      </c>
    </row>
    <row r="199" spans="7:8">
      <c r="G199" t="s">
        <v>203</v>
      </c>
      <c r="H199" s="30">
        <v>6650</v>
      </c>
    </row>
    <row r="200" spans="7:8">
      <c r="G200" t="s">
        <v>204</v>
      </c>
      <c r="H200" s="30">
        <v>720</v>
      </c>
    </row>
    <row r="201" spans="7:8">
      <c r="G201" t="s">
        <v>205</v>
      </c>
      <c r="H201" s="30">
        <v>702590</v>
      </c>
    </row>
    <row r="202" spans="7:8">
      <c r="G202" t="s">
        <v>206</v>
      </c>
      <c r="H202" s="30">
        <v>224</v>
      </c>
    </row>
    <row r="203" spans="7:8">
      <c r="G203" s="29">
        <v>45658</v>
      </c>
      <c r="H203" s="30">
        <v>15012.5</v>
      </c>
    </row>
    <row r="204" spans="7:8">
      <c r="G204" s="29">
        <v>45659</v>
      </c>
      <c r="H204" s="30">
        <v>53200</v>
      </c>
    </row>
    <row r="205" spans="7:8">
      <c r="G205" s="29">
        <v>45660</v>
      </c>
      <c r="H205" s="30">
        <v>10410</v>
      </c>
    </row>
    <row r="206" spans="7:8">
      <c r="G206" s="29">
        <v>45661</v>
      </c>
      <c r="H206" s="30">
        <v>17050</v>
      </c>
    </row>
    <row r="207" spans="7:8">
      <c r="G207" s="29">
        <v>45664</v>
      </c>
      <c r="H207" s="30">
        <v>132000</v>
      </c>
    </row>
    <row r="208" spans="7:8">
      <c r="G208" s="29">
        <v>45665</v>
      </c>
      <c r="H208" s="30">
        <v>110000</v>
      </c>
    </row>
    <row r="209" spans="7:8">
      <c r="G209" s="29">
        <v>45666</v>
      </c>
      <c r="H209" s="30">
        <v>441009.5</v>
      </c>
    </row>
    <row r="210" spans="7:8">
      <c r="G210" s="29">
        <v>45667</v>
      </c>
      <c r="H210" s="30">
        <v>61251</v>
      </c>
    </row>
    <row r="211" spans="7:8">
      <c r="G211" s="29">
        <v>45668</v>
      </c>
      <c r="H211" s="30">
        <v>3150</v>
      </c>
    </row>
    <row r="212" spans="7:8">
      <c r="G212" s="29">
        <v>45669</v>
      </c>
      <c r="H212" s="30">
        <v>149985</v>
      </c>
    </row>
    <row r="213" spans="7:8">
      <c r="G213" s="29">
        <v>45691</v>
      </c>
      <c r="H213" s="30">
        <v>17340</v>
      </c>
    </row>
    <row r="214" spans="7:8">
      <c r="G214" s="29">
        <v>45693</v>
      </c>
      <c r="H214" s="30">
        <v>4800</v>
      </c>
    </row>
    <row r="215" spans="7:8">
      <c r="G215" s="29">
        <v>45694</v>
      </c>
      <c r="H215" s="30">
        <v>4143</v>
      </c>
    </row>
    <row r="216" spans="7:8">
      <c r="G216" s="29">
        <v>45695</v>
      </c>
      <c r="H216" s="30">
        <v>137700</v>
      </c>
    </row>
    <row r="217" spans="7:8">
      <c r="G217" s="29">
        <v>45699</v>
      </c>
      <c r="H217" s="30">
        <v>990000</v>
      </c>
    </row>
    <row r="218" spans="7:8">
      <c r="G218" s="29">
        <v>45700</v>
      </c>
      <c r="H218" s="30">
        <v>220</v>
      </c>
    </row>
    <row r="219" spans="7:8">
      <c r="G219" s="29">
        <v>45717</v>
      </c>
      <c r="H219" s="30">
        <v>47085</v>
      </c>
    </row>
    <row r="220" spans="7:8">
      <c r="G220" s="29">
        <v>45718</v>
      </c>
      <c r="H220" s="30">
        <v>522600</v>
      </c>
    </row>
    <row r="221" spans="7:8">
      <c r="G221" s="29">
        <v>45719</v>
      </c>
      <c r="H221" s="30">
        <v>440000</v>
      </c>
    </row>
    <row r="222" spans="7:8">
      <c r="G222" s="29">
        <v>45720</v>
      </c>
      <c r="H222" s="30">
        <v>2100</v>
      </c>
    </row>
    <row r="223" spans="7:8">
      <c r="G223" s="29">
        <v>45721</v>
      </c>
      <c r="H223" s="30">
        <v>2322</v>
      </c>
    </row>
    <row r="224" spans="7:8">
      <c r="G224" s="29">
        <v>45722</v>
      </c>
      <c r="H224" s="30">
        <v>3420</v>
      </c>
    </row>
    <row r="225" spans="7:8">
      <c r="G225" s="29">
        <v>45724</v>
      </c>
      <c r="H225" s="30">
        <v>182400</v>
      </c>
    </row>
    <row r="226" spans="7:8">
      <c r="G226" s="29">
        <v>45725</v>
      </c>
      <c r="H226" s="30">
        <v>261250</v>
      </c>
    </row>
    <row r="227" spans="7:8">
      <c r="G227" s="29">
        <v>45727</v>
      </c>
      <c r="H227" s="30">
        <v>40800</v>
      </c>
    </row>
    <row r="228" spans="7:8">
      <c r="G228" s="29">
        <v>45749</v>
      </c>
      <c r="H228" s="30">
        <v>680476.25</v>
      </c>
    </row>
    <row r="229" spans="7:8">
      <c r="G229" s="29">
        <v>45752</v>
      </c>
      <c r="H229" s="30">
        <v>378</v>
      </c>
    </row>
    <row r="230" spans="7:8">
      <c r="G230" s="29">
        <v>45753</v>
      </c>
      <c r="H230" s="30">
        <v>109725</v>
      </c>
    </row>
    <row r="231" spans="7:8">
      <c r="G231" s="29">
        <v>45754</v>
      </c>
      <c r="H231" s="30">
        <v>301761</v>
      </c>
    </row>
    <row r="232" spans="7:8">
      <c r="G232" s="29">
        <v>45755</v>
      </c>
      <c r="H232" s="30">
        <v>47250</v>
      </c>
    </row>
    <row r="233" spans="7:8">
      <c r="G233" s="29">
        <v>45756</v>
      </c>
      <c r="H233" s="30">
        <v>35640</v>
      </c>
    </row>
    <row r="234" spans="7:8">
      <c r="G234" s="29">
        <v>45757</v>
      </c>
      <c r="H234" s="30">
        <v>912</v>
      </c>
    </row>
    <row r="235" spans="7:8">
      <c r="G235" s="29">
        <v>45758</v>
      </c>
      <c r="H235" s="30">
        <v>420</v>
      </c>
    </row>
    <row r="236" spans="7:8">
      <c r="G236" s="29">
        <v>45759</v>
      </c>
      <c r="H236" s="30">
        <v>548</v>
      </c>
    </row>
    <row r="237" spans="7:8">
      <c r="G237" s="29">
        <v>45780</v>
      </c>
      <c r="H237" s="30">
        <v>89040</v>
      </c>
    </row>
    <row r="238" spans="7:8">
      <c r="G238" s="29">
        <v>45781</v>
      </c>
      <c r="H238" s="30">
        <v>432</v>
      </c>
    </row>
    <row r="239" spans="7:8">
      <c r="G239" s="29">
        <v>45783</v>
      </c>
      <c r="H239" s="30">
        <v>8925</v>
      </c>
    </row>
    <row r="240" spans="7:8">
      <c r="G240" s="29">
        <v>45785</v>
      </c>
      <c r="H240" s="30">
        <v>56000</v>
      </c>
    </row>
    <row r="241" spans="7:8">
      <c r="G241" s="29">
        <v>45787</v>
      </c>
      <c r="H241" s="30">
        <v>212544.5</v>
      </c>
    </row>
    <row r="242" spans="7:8">
      <c r="G242" s="29">
        <v>45788</v>
      </c>
      <c r="H242" s="30">
        <v>573237</v>
      </c>
    </row>
    <row r="243" spans="7:8">
      <c r="G243" s="29">
        <v>45789</v>
      </c>
      <c r="H243" s="30">
        <v>4400</v>
      </c>
    </row>
    <row r="244" spans="7:8">
      <c r="G244" s="29">
        <v>45810</v>
      </c>
      <c r="H244" s="30">
        <v>81834.25</v>
      </c>
    </row>
    <row r="245" spans="7:8">
      <c r="G245" s="29">
        <v>45811</v>
      </c>
      <c r="H245" s="30">
        <v>33660</v>
      </c>
    </row>
    <row r="246" spans="7:8">
      <c r="G246" s="29">
        <v>45815</v>
      </c>
      <c r="H246" s="30">
        <v>627000</v>
      </c>
    </row>
    <row r="247" spans="7:8">
      <c r="G247" s="29">
        <v>45817</v>
      </c>
      <c r="H247" s="30">
        <v>12000</v>
      </c>
    </row>
    <row r="248" spans="7:8">
      <c r="G248" s="29">
        <v>45818</v>
      </c>
      <c r="H248" s="30">
        <v>9920.25</v>
      </c>
    </row>
    <row r="249" spans="7:8">
      <c r="G249" s="29">
        <v>45819</v>
      </c>
      <c r="H249" s="30">
        <v>273</v>
      </c>
    </row>
    <row r="250" spans="7:8">
      <c r="G250" s="29">
        <v>45820</v>
      </c>
      <c r="H250" s="30">
        <v>663</v>
      </c>
    </row>
    <row r="251" spans="7:8">
      <c r="G251" s="29">
        <v>45840</v>
      </c>
      <c r="H251" s="30">
        <v>71330</v>
      </c>
    </row>
    <row r="252" spans="7:8">
      <c r="G252" s="29">
        <v>45841</v>
      </c>
      <c r="H252" s="30">
        <v>41800</v>
      </c>
    </row>
    <row r="253" spans="7:8">
      <c r="G253" s="29">
        <v>45842</v>
      </c>
      <c r="H253" s="30">
        <v>792285</v>
      </c>
    </row>
    <row r="254" spans="7:8">
      <c r="G254" s="29">
        <v>45845</v>
      </c>
      <c r="H254" s="30">
        <v>12960</v>
      </c>
    </row>
    <row r="255" spans="7:8">
      <c r="G255" s="29">
        <v>45871</v>
      </c>
      <c r="H255" s="30">
        <v>251200</v>
      </c>
    </row>
    <row r="256" spans="7:8">
      <c r="G256" s="29">
        <v>45872</v>
      </c>
      <c r="H256" s="30">
        <v>39850</v>
      </c>
    </row>
    <row r="257" spans="7:8">
      <c r="G257" s="29">
        <v>45873</v>
      </c>
      <c r="H257" s="30">
        <v>420.75</v>
      </c>
    </row>
    <row r="258" spans="7:8">
      <c r="G258" s="29">
        <v>45874</v>
      </c>
      <c r="H258" s="30">
        <v>679250</v>
      </c>
    </row>
    <row r="259" spans="7:8">
      <c r="G259" s="29">
        <v>45875</v>
      </c>
      <c r="H259" s="30">
        <v>34000</v>
      </c>
    </row>
    <row r="260" spans="7:8">
      <c r="G260" s="29">
        <v>45876</v>
      </c>
      <c r="H260" s="30">
        <v>21660</v>
      </c>
    </row>
    <row r="261" spans="7:8">
      <c r="G261" s="29">
        <v>45878</v>
      </c>
      <c r="H261" s="30">
        <v>60520</v>
      </c>
    </row>
    <row r="262" spans="7:8">
      <c r="G262" s="29">
        <v>45901</v>
      </c>
      <c r="H262" s="30">
        <v>161500</v>
      </c>
    </row>
    <row r="263" spans="7:8">
      <c r="G263" s="29">
        <v>45902</v>
      </c>
      <c r="H263" s="30">
        <v>114.75</v>
      </c>
    </row>
    <row r="264" spans="7:8">
      <c r="G264" s="29">
        <v>45903</v>
      </c>
      <c r="H264" s="30">
        <v>35530</v>
      </c>
    </row>
    <row r="265" spans="7:8">
      <c r="G265" s="29">
        <v>45904</v>
      </c>
      <c r="H265" s="30">
        <v>104540</v>
      </c>
    </row>
    <row r="266" spans="7:8">
      <c r="G266" s="29">
        <v>45905</v>
      </c>
      <c r="H266" s="30">
        <v>999999</v>
      </c>
    </row>
    <row r="267" spans="7:8">
      <c r="G267" s="29">
        <v>45906</v>
      </c>
      <c r="H267" s="30">
        <v>7140</v>
      </c>
    </row>
    <row r="268" spans="7:8">
      <c r="G268" s="29">
        <v>45907</v>
      </c>
      <c r="H268" s="30">
        <v>76800</v>
      </c>
    </row>
    <row r="269" spans="7:8">
      <c r="G269" s="29">
        <v>45908</v>
      </c>
      <c r="H269" s="30">
        <v>247</v>
      </c>
    </row>
    <row r="270" spans="7:8">
      <c r="G270" s="29">
        <v>45910</v>
      </c>
      <c r="H270" s="30">
        <v>648</v>
      </c>
    </row>
    <row r="271" spans="7:8">
      <c r="G271" s="29">
        <v>45911</v>
      </c>
      <c r="H271" s="30">
        <v>535.5</v>
      </c>
    </row>
    <row r="272" spans="7:8">
      <c r="G272" s="29">
        <v>45931</v>
      </c>
      <c r="H272" s="30">
        <v>29700</v>
      </c>
    </row>
    <row r="273" spans="7:8">
      <c r="G273" s="29">
        <v>45934</v>
      </c>
      <c r="H273" s="30">
        <v>56108</v>
      </c>
    </row>
    <row r="274" spans="7:8">
      <c r="G274" s="29">
        <v>45937</v>
      </c>
      <c r="H274" s="30">
        <v>17340</v>
      </c>
    </row>
    <row r="275" spans="7:8">
      <c r="G275" s="29">
        <v>45938</v>
      </c>
      <c r="H275" s="30">
        <v>432</v>
      </c>
    </row>
    <row r="276" spans="7:8">
      <c r="G276" s="29">
        <v>45940</v>
      </c>
      <c r="H276" s="30">
        <v>35640</v>
      </c>
    </row>
    <row r="277" spans="7:8">
      <c r="G277" s="29">
        <v>45942</v>
      </c>
      <c r="H277" s="30">
        <v>15840</v>
      </c>
    </row>
    <row r="278" spans="7:8">
      <c r="G278" s="29">
        <v>45963</v>
      </c>
      <c r="H278" s="30">
        <v>478</v>
      </c>
    </row>
    <row r="279" spans="7:8">
      <c r="G279" s="29">
        <v>45965</v>
      </c>
      <c r="H279" s="30">
        <v>56000</v>
      </c>
    </row>
    <row r="280" spans="7:8">
      <c r="G280" s="29">
        <v>45966</v>
      </c>
      <c r="H280" s="30">
        <v>85.5</v>
      </c>
    </row>
    <row r="281" spans="7:8">
      <c r="G281" s="29">
        <v>45967</v>
      </c>
      <c r="H281" s="30">
        <v>50575</v>
      </c>
    </row>
    <row r="282" spans="7:8">
      <c r="G282" s="29">
        <v>45971</v>
      </c>
      <c r="H282" s="30">
        <v>9138.75</v>
      </c>
    </row>
    <row r="283" spans="7:8">
      <c r="G283" s="29">
        <v>45973</v>
      </c>
      <c r="H283" s="30">
        <v>25340</v>
      </c>
    </row>
    <row r="284" spans="7:8">
      <c r="G284" s="29">
        <v>45992</v>
      </c>
      <c r="H284" s="30">
        <v>128</v>
      </c>
    </row>
    <row r="285" spans="7:8">
      <c r="G285" s="29">
        <v>45994</v>
      </c>
      <c r="H285" s="30">
        <v>9600</v>
      </c>
    </row>
    <row r="286" spans="7:8">
      <c r="G286" s="29">
        <v>45995</v>
      </c>
      <c r="H286" s="30">
        <v>20825</v>
      </c>
    </row>
    <row r="287" spans="7:8">
      <c r="G287" s="29">
        <v>45996</v>
      </c>
      <c r="H287" s="30">
        <v>47600</v>
      </c>
    </row>
    <row r="288" spans="7:8">
      <c r="G288" s="29">
        <v>45997</v>
      </c>
      <c r="H288" s="30">
        <v>162</v>
      </c>
    </row>
    <row r="289" spans="7:8">
      <c r="G289" s="29">
        <v>46000</v>
      </c>
      <c r="H289" s="30">
        <v>54</v>
      </c>
    </row>
    <row r="290" spans="7:8">
      <c r="G290" s="29">
        <v>46001</v>
      </c>
      <c r="H290" s="30">
        <v>497.25</v>
      </c>
    </row>
    <row r="291" spans="7:8">
      <c r="G291" s="29">
        <v>46003</v>
      </c>
      <c r="H291" s="30">
        <v>264000</v>
      </c>
    </row>
    <row r="292" spans="7:8">
      <c r="G292" s="29">
        <v>46026</v>
      </c>
      <c r="H292" s="30">
        <v>990969</v>
      </c>
    </row>
    <row r="293" spans="7:8">
      <c r="G293" s="29">
        <v>46054</v>
      </c>
      <c r="H293" s="30">
        <v>441920</v>
      </c>
    </row>
    <row r="294" spans="7:8">
      <c r="G294" s="29">
        <v>46057</v>
      </c>
      <c r="H294" s="30">
        <v>3600</v>
      </c>
    </row>
    <row r="295" spans="7:8">
      <c r="G295" s="29">
        <v>46058</v>
      </c>
      <c r="H295" s="30">
        <v>173526.75</v>
      </c>
    </row>
    <row r="296" spans="7:8">
      <c r="G296" s="29">
        <v>46082</v>
      </c>
      <c r="H296" s="30">
        <v>9065</v>
      </c>
    </row>
    <row r="297" spans="7:8">
      <c r="G297" s="29">
        <v>46085</v>
      </c>
      <c r="H297" s="30">
        <v>513</v>
      </c>
    </row>
    <row r="298" spans="7:8">
      <c r="G298" s="29">
        <v>46086</v>
      </c>
      <c r="H298" s="30">
        <v>170100</v>
      </c>
    </row>
    <row r="299" spans="7:8">
      <c r="G299" s="29">
        <v>46113</v>
      </c>
      <c r="H299" s="30">
        <v>54700</v>
      </c>
    </row>
    <row r="300" spans="7:8">
      <c r="G300" s="29">
        <v>46114</v>
      </c>
      <c r="H300" s="30">
        <v>1870</v>
      </c>
    </row>
    <row r="301" spans="7:8">
      <c r="G301" s="29">
        <v>46115</v>
      </c>
      <c r="H301" s="30">
        <v>56000</v>
      </c>
    </row>
    <row r="302" spans="7:8">
      <c r="G302" s="29">
        <v>46116</v>
      </c>
      <c r="H302" s="30">
        <v>64851</v>
      </c>
    </row>
    <row r="303" spans="7:8">
      <c r="G303" s="29">
        <v>46117</v>
      </c>
      <c r="H303" s="30">
        <v>137275</v>
      </c>
    </row>
    <row r="304" spans="7:8">
      <c r="G304" s="29">
        <v>46143</v>
      </c>
      <c r="H304" s="30">
        <v>150900</v>
      </c>
    </row>
    <row r="305" spans="7:8">
      <c r="G305" s="29">
        <v>46145</v>
      </c>
      <c r="H305" s="30">
        <v>15600</v>
      </c>
    </row>
    <row r="306" spans="7:8">
      <c r="G306" s="29">
        <v>46147</v>
      </c>
      <c r="H306" s="30">
        <v>324</v>
      </c>
    </row>
    <row r="307" spans="7:8">
      <c r="G307" s="29">
        <v>46174</v>
      </c>
      <c r="H307" s="30">
        <v>170000</v>
      </c>
    </row>
    <row r="308" spans="7:8">
      <c r="G308" s="29">
        <v>46176</v>
      </c>
      <c r="H308" s="30">
        <v>114000</v>
      </c>
    </row>
    <row r="309" spans="7:8">
      <c r="G309" s="29">
        <v>46177</v>
      </c>
      <c r="H309" s="30">
        <v>10710</v>
      </c>
    </row>
    <row r="310" spans="7:8">
      <c r="G310" s="29">
        <v>46206</v>
      </c>
      <c r="H310" s="30">
        <v>8778</v>
      </c>
    </row>
    <row r="311" spans="7:8">
      <c r="G311" s="29">
        <v>46207</v>
      </c>
      <c r="H311" s="30">
        <v>65025</v>
      </c>
    </row>
    <row r="312" spans="7:8">
      <c r="G312" s="29">
        <v>46208</v>
      </c>
      <c r="H312" s="30">
        <v>56384.75</v>
      </c>
    </row>
    <row r="313" spans="7:8">
      <c r="G313" s="29">
        <v>46235</v>
      </c>
      <c r="H313" s="30">
        <v>612</v>
      </c>
    </row>
    <row r="314" spans="7:8">
      <c r="G314" s="29">
        <v>46236</v>
      </c>
      <c r="H314" s="30">
        <v>8500</v>
      </c>
    </row>
    <row r="315" spans="7:8">
      <c r="G315" s="29">
        <v>46237</v>
      </c>
      <c r="H315" s="30">
        <v>88570</v>
      </c>
    </row>
    <row r="316" spans="7:8">
      <c r="G316" s="29">
        <v>46238</v>
      </c>
      <c r="H316" s="30">
        <v>26220</v>
      </c>
    </row>
    <row r="317" spans="7:8">
      <c r="G317" s="29">
        <v>46239</v>
      </c>
      <c r="H317" s="30">
        <v>8330</v>
      </c>
    </row>
    <row r="318" spans="7:8">
      <c r="G318" s="29">
        <v>46266</v>
      </c>
      <c r="H318" s="30">
        <v>13888</v>
      </c>
    </row>
    <row r="319" spans="7:8">
      <c r="G319" s="29">
        <v>46267</v>
      </c>
      <c r="H319" s="30">
        <v>37698</v>
      </c>
    </row>
    <row r="320" spans="7:8">
      <c r="G320" s="29">
        <v>46269</v>
      </c>
      <c r="H320" s="30">
        <v>138</v>
      </c>
    </row>
    <row r="321" spans="7:8">
      <c r="G321" s="29">
        <v>46270</v>
      </c>
      <c r="H321" s="30">
        <v>11970</v>
      </c>
    </row>
    <row r="322" spans="7:8">
      <c r="G322" s="29">
        <v>46297</v>
      </c>
      <c r="H322" s="30">
        <v>408</v>
      </c>
    </row>
    <row r="323" spans="7:8">
      <c r="G323" s="29">
        <v>46300</v>
      </c>
      <c r="H323" s="30">
        <v>304</v>
      </c>
    </row>
    <row r="324" spans="7:8">
      <c r="G324" s="29">
        <v>46327</v>
      </c>
      <c r="H324" s="30">
        <v>129314</v>
      </c>
    </row>
    <row r="325" spans="7:8">
      <c r="G325" s="29">
        <v>46328</v>
      </c>
      <c r="H325" s="30">
        <v>47600</v>
      </c>
    </row>
    <row r="326" spans="7:8">
      <c r="G326" s="29">
        <v>46329</v>
      </c>
      <c r="H326" s="30">
        <v>157980</v>
      </c>
    </row>
    <row r="327" spans="7:8">
      <c r="G327" s="29">
        <v>46330</v>
      </c>
      <c r="H327" s="30">
        <v>28900</v>
      </c>
    </row>
    <row r="328" spans="7:8">
      <c r="G328" s="29">
        <v>46331</v>
      </c>
      <c r="H328" s="30">
        <v>224</v>
      </c>
    </row>
    <row r="329" spans="7:8">
      <c r="G329" s="29">
        <v>46357</v>
      </c>
      <c r="H329" s="30">
        <v>36000</v>
      </c>
    </row>
    <row r="330" spans="7:8">
      <c r="G330" s="29">
        <v>46358</v>
      </c>
      <c r="H330" s="30">
        <v>144</v>
      </c>
    </row>
    <row r="331" spans="7:8">
      <c r="G331" s="29">
        <v>46361</v>
      </c>
      <c r="H331" s="30">
        <v>68400</v>
      </c>
    </row>
    <row r="332" spans="7:8">
      <c r="G332" t="s">
        <v>207</v>
      </c>
      <c r="H332" s="30">
        <v>832140</v>
      </c>
    </row>
    <row r="333" spans="7:8">
      <c r="G333" t="s">
        <v>17</v>
      </c>
      <c r="H333" s="30">
        <v>34765937.5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workbookViewId="0">
      <pane ySplit="3" topLeftCell="A4" activePane="bottomLeft" state="frozen"/>
      <selection pane="bottomLeft" activeCell="X1" sqref="X1"/>
    </sheetView>
  </sheetViews>
  <sheetFormatPr defaultRowHeight="15"/>
  <cols>
    <col min="1" max="1" width="11.28515625" customWidth="1"/>
    <col min="2" max="2" width="15" bestFit="1" customWidth="1"/>
    <col min="3" max="3" width="13.28515625" bestFit="1" customWidth="1"/>
    <col min="4" max="4" width="13.5703125" bestFit="1" customWidth="1"/>
    <col min="5" max="5" width="15.85546875" bestFit="1" customWidth="1"/>
    <col min="6" max="6" width="18.85546875" customWidth="1"/>
    <col min="7" max="7" width="10" bestFit="1" customWidth="1"/>
    <col min="8" max="8" width="11.5703125" customWidth="1"/>
    <col min="9" max="9" width="11.42578125" bestFit="1" customWidth="1"/>
    <col min="10" max="10" width="9.42578125" bestFit="1" customWidth="1"/>
    <col min="11" max="11" width="16.42578125" bestFit="1" customWidth="1"/>
    <col min="12" max="12" width="16.7109375" bestFit="1" customWidth="1"/>
    <col min="13" max="13" width="11" bestFit="1" customWidth="1"/>
    <col min="14" max="14" width="12.5703125" bestFit="1" customWidth="1"/>
    <col min="15" max="15" width="13.85546875" bestFit="1" customWidth="1"/>
    <col min="18" max="18" width="17.140625" bestFit="1" customWidth="1"/>
    <col min="19" max="19" width="14.42578125" bestFit="1" customWidth="1"/>
    <col min="20" max="20" width="27.28515625" bestFit="1" customWidth="1"/>
    <col min="21" max="21" width="15.7109375" customWidth="1"/>
    <col min="22" max="22" width="15" bestFit="1" customWidth="1"/>
    <col min="23" max="23" width="24.7109375" bestFit="1" customWidth="1"/>
    <col min="24" max="24" width="29.42578125" bestFit="1" customWidth="1"/>
    <col min="25" max="25" width="17.140625" bestFit="1" customWidth="1"/>
    <col min="26" max="26" width="27.140625" bestFit="1" customWidth="1"/>
    <col min="27" max="27" width="16.28515625" bestFit="1" customWidth="1"/>
    <col min="28" max="28" width="15.85546875" bestFit="1" customWidth="1"/>
    <col min="29" max="29" width="18" bestFit="1" customWidth="1"/>
  </cols>
  <sheetData>
    <row r="1" spans="1:29">
      <c r="A1" s="32" t="s">
        <v>208</v>
      </c>
      <c r="B1" s="2" t="s">
        <v>209</v>
      </c>
      <c r="C1" s="2" t="s">
        <v>210</v>
      </c>
      <c r="D1" s="2" t="s">
        <v>3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19</v>
      </c>
      <c r="K1" s="2" t="s">
        <v>13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  <c r="Q1" s="2" t="s">
        <v>221</v>
      </c>
      <c r="R1" s="2" t="s">
        <v>222</v>
      </c>
      <c r="S1" s="2" t="s">
        <v>223</v>
      </c>
      <c r="T1" s="2" t="s">
        <v>224</v>
      </c>
      <c r="U1" s="2" t="s">
        <v>225</v>
      </c>
      <c r="V1" s="3" t="s">
        <v>226</v>
      </c>
      <c r="W1" t="s">
        <v>227</v>
      </c>
      <c r="X1" t="s">
        <v>228</v>
      </c>
      <c r="Y1" t="s">
        <v>229</v>
      </c>
      <c r="Z1" t="s">
        <v>230</v>
      </c>
      <c r="AA1" t="s">
        <v>231</v>
      </c>
      <c r="AB1" t="s">
        <v>232</v>
      </c>
      <c r="AC1" t="s">
        <v>233</v>
      </c>
    </row>
    <row r="2" spans="1:29">
      <c r="A2" s="33" t="s">
        <v>234</v>
      </c>
      <c r="B2" s="5" t="s">
        <v>235</v>
      </c>
      <c r="C2" s="5" t="s">
        <v>236</v>
      </c>
      <c r="D2" s="6">
        <v>45725</v>
      </c>
      <c r="E2" s="5" t="s">
        <v>237</v>
      </c>
      <c r="F2" s="5" t="s">
        <v>238</v>
      </c>
      <c r="G2" s="5" t="s">
        <v>239</v>
      </c>
      <c r="H2" s="5" t="s">
        <v>240</v>
      </c>
      <c r="I2" s="5" t="s">
        <v>241</v>
      </c>
      <c r="J2" s="5" t="s">
        <v>242</v>
      </c>
      <c r="K2" s="5" t="s">
        <v>243</v>
      </c>
      <c r="L2" s="5" t="s">
        <v>244</v>
      </c>
      <c r="M2" s="5">
        <v>5</v>
      </c>
      <c r="N2" s="5">
        <v>55000</v>
      </c>
      <c r="O2" s="5">
        <v>5</v>
      </c>
      <c r="P2" s="5">
        <v>261250</v>
      </c>
      <c r="Q2" s="5">
        <v>3</v>
      </c>
      <c r="R2" s="5" t="s">
        <v>245</v>
      </c>
      <c r="S2" s="5" t="s">
        <v>246</v>
      </c>
      <c r="T2" s="5" t="s">
        <v>247</v>
      </c>
      <c r="U2" s="5">
        <v>9380975626</v>
      </c>
      <c r="V2" s="8" t="s">
        <v>248</v>
      </c>
      <c r="W2" t="str">
        <f>IF(OR(Q2&lt;=2,V2="Cancelled"),"Blacklisted",IF(AND(P2&gt;100000,Q2&gt;=4,O2&lt;=10%,V2="Completed"),"Platinum",IF(AND(P2&gt;=50000,Q2&gt;=3,V2="Completed"),"Gold",IF(AND(P2&lt;50000,V2="Completed"),"Silver",""))))</f>
        <v/>
      </c>
      <c r="X2" t="str">
        <f>PROPER(TRIM(F2))</f>
        <v>Pooja Shah</v>
      </c>
      <c r="Y2" t="str">
        <f>LEFT(F2,3)&amp;MID(B2,2,3)&amp;LEFT(I2,2)</f>
        <v>poo010Be</v>
      </c>
      <c r="Z2" t="str">
        <f>IF(ISNUMBER(SEARCH("@",T2)),LOWER(TRIM(T2)),"invalid email")</f>
        <v>pooja.shah@company.com</v>
      </c>
      <c r="AA2" t="str">
        <f ca="1">IF(H4="","",IFERROR(DATEDIF(IF(ISNUMBER(H4),H4,DATE(VALUE(RIGHT(H4,4)),VALUE(MID(H4,3,2)),VALUE(LEFT(H4,2)))),TODAY(),"Y"),""))</f>
        <v/>
      </c>
      <c r="AB2" t="str">
        <f>IF(OR(D2="",E2=""),"",IFERROR(DATE(MID(E2,7,4),MID(E2,4,2),LEFT(E2,2))-DATE(MID(D2,7,4),MID(D2,4,2),LEFT(D2,2)),""))</f>
        <v/>
      </c>
      <c r="AC2" t="str">
        <f>IF(E2="","Pending",IF(AB2&lt;=5,"On time","Delayed"))</f>
        <v>Delayed</v>
      </c>
    </row>
    <row r="3" spans="1:29">
      <c r="A3" s="33" t="s">
        <v>234</v>
      </c>
      <c r="B3" s="5" t="s">
        <v>249</v>
      </c>
      <c r="C3" s="5" t="s">
        <v>250</v>
      </c>
      <c r="D3" s="5" t="s">
        <v>70</v>
      </c>
      <c r="E3" s="5" t="s">
        <v>115</v>
      </c>
      <c r="F3" s="5" t="s">
        <v>251</v>
      </c>
      <c r="G3" s="5" t="s">
        <v>239</v>
      </c>
      <c r="H3" s="6">
        <v>27767</v>
      </c>
      <c r="I3" s="5" t="s">
        <v>252</v>
      </c>
      <c r="J3" s="5" t="s">
        <v>242</v>
      </c>
      <c r="K3" s="5" t="s">
        <v>15</v>
      </c>
      <c r="L3" s="5" t="s">
        <v>253</v>
      </c>
      <c r="M3" s="5">
        <v>4</v>
      </c>
      <c r="N3" s="5">
        <v>2200</v>
      </c>
      <c r="O3" s="5">
        <v>10</v>
      </c>
      <c r="P3" s="5">
        <v>7920</v>
      </c>
      <c r="Q3" s="5">
        <v>4</v>
      </c>
      <c r="R3" s="5" t="s">
        <v>254</v>
      </c>
      <c r="S3" s="5" t="s">
        <v>255</v>
      </c>
      <c r="T3" s="7" t="s">
        <v>256</v>
      </c>
      <c r="U3" s="5">
        <v>9431429797</v>
      </c>
      <c r="V3" s="8" t="s">
        <v>257</v>
      </c>
      <c r="W3" t="str">
        <f>IF(OR(Q3&lt;=2,V3="Cancelled"),"Blacklisted",IF(AND(P3&gt;100000,Q3&gt;=4,O3&lt;=10%,V3="Completed"),"Platinum",IF(AND(P3&gt;=50000,Q3&gt;=3,V3="Completed"),"Gold",IF(AND(P3&lt;50000,V3="Completed"),"Silver",""))))</f>
        <v>Silver</v>
      </c>
      <c r="X3" t="str">
        <f>PROPER(TRIM(F3))</f>
        <v>Kavya Nair</v>
      </c>
      <c r="Y3" t="str">
        <f>LEFT(F3,3)&amp;MID(B3,2,3)&amp;LEFT(I3,2)</f>
        <v>Kav008Hy</v>
      </c>
      <c r="Z3" t="str">
        <f>IF(ISNUMBER(SEARCH("@",T3)),LOWER(TRIM(T3)),"invalid email")</f>
        <v>kavya.nair@company.com</v>
      </c>
      <c r="AA3">
        <f ca="1">DATEDIF(H3,TODAY(),"Y")</f>
        <v>50</v>
      </c>
      <c r="AB3">
        <f>IF(OR(D3="",E3=""),"",IFERROR(DATE(MID(E3,7,4),MID(E3,4,2),LEFT(E3,2))-DATE(MID(D3,7,4),MID(D3,4,2),LEFT(D3,2)),""))</f>
        <v>4</v>
      </c>
      <c r="AC3" t="str">
        <f>IF(E3="","Pending",IF(AB3&lt;=5,"On time","Delayed"))</f>
        <v>On time</v>
      </c>
    </row>
    <row r="4" spans="1:29">
      <c r="A4" s="33" t="s">
        <v>234</v>
      </c>
      <c r="B4" s="10" t="s">
        <v>249</v>
      </c>
      <c r="C4" s="10" t="s">
        <v>258</v>
      </c>
      <c r="D4" s="10" t="s">
        <v>165</v>
      </c>
      <c r="E4" s="11">
        <v>45752</v>
      </c>
      <c r="F4" s="10" t="s">
        <v>251</v>
      </c>
      <c r="G4" s="10" t="s">
        <v>239</v>
      </c>
      <c r="H4" s="10" t="s">
        <v>259</v>
      </c>
      <c r="I4" s="10" t="s">
        <v>260</v>
      </c>
      <c r="J4" s="10" t="s">
        <v>261</v>
      </c>
      <c r="K4" s="10" t="s">
        <v>243</v>
      </c>
      <c r="L4" s="10" t="s">
        <v>262</v>
      </c>
      <c r="M4" s="10">
        <v>17</v>
      </c>
      <c r="N4" s="10">
        <v>12000</v>
      </c>
      <c r="O4" s="10">
        <v>10</v>
      </c>
      <c r="P4" s="10">
        <v>183600</v>
      </c>
      <c r="Q4" s="10">
        <v>1</v>
      </c>
      <c r="R4" s="10" t="s">
        <v>245</v>
      </c>
      <c r="S4" s="10" t="s">
        <v>263</v>
      </c>
      <c r="T4" s="10" t="s">
        <v>264</v>
      </c>
      <c r="U4" s="10">
        <v>9129865339</v>
      </c>
      <c r="V4" s="12" t="s">
        <v>257</v>
      </c>
      <c r="W4" t="str">
        <f t="shared" ref="W4:W66" si="0">IF(OR(Q4&lt;=2,V4="Cancelled"),"Blacklisted",IF(AND(P4&gt;100000,Q4&gt;=4,O4&lt;=10%,V4="Completed"),"Platinum",IF(AND(P4&gt;=50000,Q4&gt;=3,V4="Completed"),"Gold",IF(AND(P4&lt;50000,V4="Completed"),"Silver",""))))</f>
        <v>Blacklisted</v>
      </c>
      <c r="X4" t="str">
        <f t="shared" ref="X4:X66" si="1">PROPER(TRIM(F4))</f>
        <v>Kavya Nair</v>
      </c>
      <c r="Y4" t="str">
        <f t="shared" ref="Y4:Y66" si="2">LEFT(F4,3)&amp;MID(B4,2,3)&amp;LEFT(I4,2)</f>
        <v>Kav008De</v>
      </c>
      <c r="Z4" t="str">
        <f>IF(ISNUMBER(SEARCH("@",T4)),LOWER(TRIM(T4)),"invalid email")</f>
        <v>kavya.nair@company.com</v>
      </c>
      <c r="AA4">
        <f ca="1">IF(H3="","",IFERROR(DATEDIF(IF(ISNUMBER(H3),H3,DATE(VALUE(RIGHT(H3,4)),VALUE(MID(H3,3,2)),VALUE(LEFT(H3,2)))),TODAY(),"Y"),""))</f>
        <v>50</v>
      </c>
      <c r="AB4" t="str">
        <f t="shared" ref="AB4:AB66" si="3">IF(OR(D4="",E4=""),"",IFERROR(DATE(MID(E4,7,4),MID(E4,4,2),LEFT(E4,2))-DATE(MID(D4,7,4),MID(D4,4,2),LEFT(D4,2)),""))</f>
        <v/>
      </c>
      <c r="AC4" t="str">
        <f t="shared" ref="AC4:AC66" si="4">IF(E4="","Pending",IF(AB4&lt;=5,"On time","Delayed"))</f>
        <v>Delayed</v>
      </c>
    </row>
    <row r="5" spans="1:29">
      <c r="A5" s="33" t="s">
        <v>234</v>
      </c>
      <c r="B5" s="10" t="s">
        <v>249</v>
      </c>
      <c r="C5" s="10" t="s">
        <v>250</v>
      </c>
      <c r="D5" s="10" t="s">
        <v>100</v>
      </c>
      <c r="E5" s="11">
        <v>46057</v>
      </c>
      <c r="F5" s="10" t="s">
        <v>251</v>
      </c>
      <c r="G5" s="10" t="s">
        <v>239</v>
      </c>
      <c r="H5" s="11">
        <v>38171</v>
      </c>
      <c r="I5" s="10" t="s">
        <v>241</v>
      </c>
      <c r="J5" s="10" t="s">
        <v>242</v>
      </c>
      <c r="K5" s="10" t="s">
        <v>15</v>
      </c>
      <c r="L5" s="10" t="s">
        <v>253</v>
      </c>
      <c r="M5" s="10">
        <v>5</v>
      </c>
      <c r="N5" s="10">
        <v>2200</v>
      </c>
      <c r="O5" s="10">
        <v>5</v>
      </c>
      <c r="P5" s="10">
        <v>10450</v>
      </c>
      <c r="Q5" s="10">
        <v>5</v>
      </c>
      <c r="R5" s="10" t="s">
        <v>245</v>
      </c>
      <c r="S5" s="10" t="s">
        <v>246</v>
      </c>
      <c r="T5" s="13" t="s">
        <v>264</v>
      </c>
      <c r="U5" s="10">
        <v>9600261125</v>
      </c>
      <c r="V5" s="12" t="s">
        <v>265</v>
      </c>
      <c r="W5" t="str">
        <f t="shared" si="0"/>
        <v>Blacklisted</v>
      </c>
      <c r="X5" t="str">
        <f t="shared" si="1"/>
        <v>Kavya Nair</v>
      </c>
      <c r="Y5" t="str">
        <f t="shared" si="2"/>
        <v>Kav008Be</v>
      </c>
      <c r="Z5" t="str">
        <f t="shared" ref="Z5:Z66" si="5">IF(ISNUMBER(SEARCH("@",T5)),LOWER(TRIM(T5)),"invalid email")</f>
        <v>kavya.nair@company.com</v>
      </c>
      <c r="AA5" t="str">
        <f ca="1">IF(H2="","",IFERROR(DATEDIF(IF(ISNUMBER(H2),H2,DATE(VALUE(RIGHT(H2,4)),VALUE(MID(H2,3,2)),VALUE(LEFT(H2,2)))),TODAY(),"Y"),""))</f>
        <v/>
      </c>
      <c r="AB5" t="str">
        <f t="shared" si="3"/>
        <v/>
      </c>
      <c r="AC5" t="str">
        <f t="shared" si="4"/>
        <v>Delayed</v>
      </c>
    </row>
    <row r="6" spans="1:29">
      <c r="A6" s="33" t="s">
        <v>234</v>
      </c>
      <c r="B6" s="5" t="s">
        <v>266</v>
      </c>
      <c r="C6" s="5" t="s">
        <v>267</v>
      </c>
      <c r="D6" s="5" t="s">
        <v>170</v>
      </c>
      <c r="E6" s="6">
        <v>45848</v>
      </c>
      <c r="F6" s="5" t="s">
        <v>268</v>
      </c>
      <c r="G6" s="5" t="s">
        <v>269</v>
      </c>
      <c r="H6" s="5" t="s">
        <v>270</v>
      </c>
      <c r="I6" s="5" t="s">
        <v>260</v>
      </c>
      <c r="J6" s="5" t="s">
        <v>261</v>
      </c>
      <c r="K6" s="5" t="s">
        <v>243</v>
      </c>
      <c r="L6" s="5" t="s">
        <v>271</v>
      </c>
      <c r="M6" s="5">
        <v>8</v>
      </c>
      <c r="N6" s="5">
        <v>1200</v>
      </c>
      <c r="O6" s="5">
        <v>5</v>
      </c>
      <c r="P6" s="5">
        <v>9120</v>
      </c>
      <c r="Q6" s="5">
        <v>2</v>
      </c>
      <c r="R6" s="5" t="s">
        <v>272</v>
      </c>
      <c r="S6" s="5" t="s">
        <v>246</v>
      </c>
      <c r="T6" s="5" t="s">
        <v>273</v>
      </c>
      <c r="U6" s="5">
        <v>9724635978</v>
      </c>
      <c r="V6" s="8" t="s">
        <v>248</v>
      </c>
      <c r="W6" t="str">
        <f t="shared" si="0"/>
        <v>Blacklisted</v>
      </c>
      <c r="X6" t="str">
        <f t="shared" si="1"/>
        <v>Mohit Verma</v>
      </c>
      <c r="Y6" t="str">
        <f t="shared" si="2"/>
        <v>Moh009De</v>
      </c>
      <c r="Z6" t="str">
        <f t="shared" si="5"/>
        <v>mohit.verma@company.com</v>
      </c>
      <c r="AA6">
        <f t="shared" ref="AA6:AA67" ca="1" si="6">IF(H5="","",IFERROR(DATEDIF(IF(ISNUMBER(H5),H5,DATE(VALUE(RIGHT(H5,4)),VALUE(MID(H5,3,2)),VALUE(LEFT(H5,2)))),TODAY(),"Y"),""))</f>
        <v>22</v>
      </c>
      <c r="AB6" t="str">
        <f t="shared" si="3"/>
        <v/>
      </c>
      <c r="AC6" t="str">
        <f t="shared" si="4"/>
        <v>Delayed</v>
      </c>
    </row>
    <row r="7" spans="1:29">
      <c r="A7" s="34" t="s">
        <v>274</v>
      </c>
      <c r="B7" s="10" t="s">
        <v>275</v>
      </c>
      <c r="C7" s="10" t="s">
        <v>250</v>
      </c>
      <c r="D7" s="11">
        <v>46113</v>
      </c>
      <c r="E7" s="11">
        <v>46357</v>
      </c>
      <c r="F7" s="10" t="s">
        <v>276</v>
      </c>
      <c r="G7" s="10" t="s">
        <v>269</v>
      </c>
      <c r="H7" s="11">
        <v>32326</v>
      </c>
      <c r="I7" s="10" t="s">
        <v>252</v>
      </c>
      <c r="J7" s="10" t="s">
        <v>242</v>
      </c>
      <c r="K7" s="10" t="s">
        <v>15</v>
      </c>
      <c r="L7" s="10" t="s">
        <v>253</v>
      </c>
      <c r="M7" s="10">
        <v>4</v>
      </c>
      <c r="N7" s="10">
        <v>2200</v>
      </c>
      <c r="O7" s="10">
        <v>0</v>
      </c>
      <c r="P7" s="10">
        <v>8800</v>
      </c>
      <c r="Q7" s="10">
        <v>1</v>
      </c>
      <c r="R7" s="10" t="s">
        <v>277</v>
      </c>
      <c r="S7" s="10" t="s">
        <v>255</v>
      </c>
      <c r="T7" s="10" t="s">
        <v>278</v>
      </c>
      <c r="U7" s="10">
        <v>9780584905</v>
      </c>
      <c r="V7" s="12" t="s">
        <v>257</v>
      </c>
      <c r="W7" t="str">
        <f t="shared" si="0"/>
        <v>Blacklisted</v>
      </c>
      <c r="X7" t="str">
        <f t="shared" si="1"/>
        <v>Arjun Rao</v>
      </c>
      <c r="Y7" t="str">
        <f t="shared" si="2"/>
        <v>arj007Hy</v>
      </c>
      <c r="Z7" t="str">
        <f t="shared" si="5"/>
        <v>arjun.rao@company.com</v>
      </c>
      <c r="AA7" t="str">
        <f t="shared" ca="1" si="6"/>
        <v/>
      </c>
      <c r="AB7" t="str">
        <f t="shared" si="3"/>
        <v/>
      </c>
      <c r="AC7" t="str">
        <f t="shared" si="4"/>
        <v>Delayed</v>
      </c>
    </row>
    <row r="8" spans="1:29">
      <c r="A8" s="33" t="s">
        <v>279</v>
      </c>
      <c r="B8" s="5" t="s">
        <v>249</v>
      </c>
      <c r="C8" s="5" t="s">
        <v>280</v>
      </c>
      <c r="D8" s="5" t="s">
        <v>203</v>
      </c>
      <c r="E8" s="5" t="s">
        <v>139</v>
      </c>
      <c r="F8" s="5" t="s">
        <v>251</v>
      </c>
      <c r="G8" s="5" t="s">
        <v>239</v>
      </c>
      <c r="H8" s="5" t="s">
        <v>281</v>
      </c>
      <c r="I8" s="5" t="s">
        <v>252</v>
      </c>
      <c r="J8" s="5" t="s">
        <v>242</v>
      </c>
      <c r="K8" s="5" t="s">
        <v>15</v>
      </c>
      <c r="L8" s="5" t="s">
        <v>282</v>
      </c>
      <c r="M8" s="5">
        <v>2</v>
      </c>
      <c r="N8" s="5">
        <v>3500</v>
      </c>
      <c r="O8" s="5">
        <v>5</v>
      </c>
      <c r="P8" s="5">
        <v>6650</v>
      </c>
      <c r="Q8" s="5">
        <v>1</v>
      </c>
      <c r="R8" s="5" t="s">
        <v>277</v>
      </c>
      <c r="S8" s="5" t="s">
        <v>255</v>
      </c>
      <c r="T8" s="5" t="s">
        <v>264</v>
      </c>
      <c r="U8" s="5">
        <v>9958252176</v>
      </c>
      <c r="V8" s="8" t="s">
        <v>257</v>
      </c>
      <c r="W8" t="str">
        <f t="shared" si="0"/>
        <v>Blacklisted</v>
      </c>
      <c r="X8" t="str">
        <f t="shared" si="1"/>
        <v>Kavya Nair</v>
      </c>
      <c r="Y8" t="str">
        <f t="shared" si="2"/>
        <v>Kav008Hy</v>
      </c>
      <c r="Z8" t="str">
        <f t="shared" si="5"/>
        <v>kavya.nair@company.com</v>
      </c>
      <c r="AA8">
        <f t="shared" ca="1" si="6"/>
        <v>38</v>
      </c>
      <c r="AB8">
        <f t="shared" si="3"/>
        <v>359</v>
      </c>
      <c r="AC8" t="str">
        <f t="shared" si="4"/>
        <v>Delayed</v>
      </c>
    </row>
    <row r="9" spans="1:29">
      <c r="A9" s="34" t="s">
        <v>283</v>
      </c>
      <c r="B9" s="10" t="s">
        <v>284</v>
      </c>
      <c r="C9" s="10" t="s">
        <v>258</v>
      </c>
      <c r="D9" s="10" t="s">
        <v>12</v>
      </c>
      <c r="E9" s="10" t="s">
        <v>77</v>
      </c>
      <c r="F9" s="10" t="s">
        <v>285</v>
      </c>
      <c r="G9" s="10" t="s">
        <v>239</v>
      </c>
      <c r="H9" s="11">
        <v>34883</v>
      </c>
      <c r="I9" s="10" t="s">
        <v>286</v>
      </c>
      <c r="J9" s="10" t="s">
        <v>287</v>
      </c>
      <c r="K9" s="5" t="s">
        <v>15</v>
      </c>
      <c r="L9" s="10" t="s">
        <v>262</v>
      </c>
      <c r="M9" s="10">
        <v>14</v>
      </c>
      <c r="N9" s="10">
        <v>12000</v>
      </c>
      <c r="O9" s="10">
        <v>15</v>
      </c>
      <c r="P9" s="10">
        <v>142800</v>
      </c>
      <c r="Q9" s="10">
        <v>4</v>
      </c>
      <c r="R9" s="10" t="s">
        <v>245</v>
      </c>
      <c r="S9" s="10" t="s">
        <v>255</v>
      </c>
      <c r="T9" s="13" t="s">
        <v>288</v>
      </c>
      <c r="U9" s="10">
        <v>9705521654</v>
      </c>
      <c r="V9" s="12" t="s">
        <v>257</v>
      </c>
      <c r="W9" t="str">
        <f t="shared" si="0"/>
        <v>Gold</v>
      </c>
      <c r="X9" t="str">
        <f t="shared" si="1"/>
        <v>Priya Patel</v>
      </c>
      <c r="Y9" t="str">
        <f t="shared" si="2"/>
        <v>Pri002Mu</v>
      </c>
      <c r="Z9" t="str">
        <f t="shared" si="5"/>
        <v>priya.patel@company.com</v>
      </c>
      <c r="AA9" t="str">
        <f t="shared" ca="1" si="6"/>
        <v/>
      </c>
      <c r="AB9">
        <f t="shared" si="3"/>
        <v>6</v>
      </c>
      <c r="AC9" t="str">
        <f t="shared" si="4"/>
        <v>Delayed</v>
      </c>
    </row>
    <row r="10" spans="1:29">
      <c r="A10" s="33" t="s">
        <v>289</v>
      </c>
      <c r="B10" s="5" t="s">
        <v>249</v>
      </c>
      <c r="C10" s="5" t="s">
        <v>258</v>
      </c>
      <c r="D10" s="5" t="s">
        <v>202</v>
      </c>
      <c r="E10" s="6">
        <v>46055</v>
      </c>
      <c r="F10" s="5" t="s">
        <v>290</v>
      </c>
      <c r="G10" s="5" t="s">
        <v>239</v>
      </c>
      <c r="H10" s="6">
        <v>35585</v>
      </c>
      <c r="I10" s="5" t="s">
        <v>291</v>
      </c>
      <c r="J10" s="5" t="s">
        <v>287</v>
      </c>
      <c r="K10" s="5" t="s">
        <v>15</v>
      </c>
      <c r="L10" s="5" t="s">
        <v>262</v>
      </c>
      <c r="M10" s="5">
        <v>4</v>
      </c>
      <c r="N10" s="5">
        <v>12000</v>
      </c>
      <c r="O10" s="5">
        <v>15</v>
      </c>
      <c r="P10" s="5">
        <v>40800</v>
      </c>
      <c r="Q10" s="5">
        <v>4</v>
      </c>
      <c r="R10" s="5" t="s">
        <v>277</v>
      </c>
      <c r="S10" s="5" t="s">
        <v>292</v>
      </c>
      <c r="T10" s="5" t="s">
        <v>264</v>
      </c>
      <c r="U10" s="5">
        <v>9588041011</v>
      </c>
      <c r="V10" s="8" t="s">
        <v>257</v>
      </c>
      <c r="W10" t="str">
        <f t="shared" si="0"/>
        <v>Silver</v>
      </c>
      <c r="X10" t="str">
        <f t="shared" si="1"/>
        <v>Kavya Nair</v>
      </c>
      <c r="Y10" t="str">
        <f t="shared" si="2"/>
        <v>kav008Pu</v>
      </c>
      <c r="Z10" t="str">
        <f t="shared" si="5"/>
        <v>kavya.nair@company.com</v>
      </c>
      <c r="AA10">
        <f t="shared" ca="1" si="6"/>
        <v>31</v>
      </c>
      <c r="AB10" t="str">
        <f t="shared" si="3"/>
        <v/>
      </c>
      <c r="AC10" t="str">
        <f t="shared" si="4"/>
        <v>Delayed</v>
      </c>
    </row>
    <row r="11" spans="1:29">
      <c r="A11" s="34" t="s">
        <v>293</v>
      </c>
      <c r="B11" s="10" t="s">
        <v>284</v>
      </c>
      <c r="C11" s="10" t="s">
        <v>294</v>
      </c>
      <c r="D11" s="10" t="s">
        <v>140</v>
      </c>
      <c r="E11" s="10" t="s">
        <v>163</v>
      </c>
      <c r="F11" s="10" t="s">
        <v>285</v>
      </c>
      <c r="G11" s="10" t="s">
        <v>239</v>
      </c>
      <c r="H11" s="11">
        <v>33055</v>
      </c>
      <c r="I11" s="10" t="s">
        <v>286</v>
      </c>
      <c r="J11" s="10" t="s">
        <v>287</v>
      </c>
      <c r="K11" s="10" t="s">
        <v>295</v>
      </c>
      <c r="L11" s="10" t="s">
        <v>296</v>
      </c>
      <c r="M11" s="10">
        <v>6</v>
      </c>
      <c r="N11" s="10">
        <v>60</v>
      </c>
      <c r="O11" s="10">
        <v>0</v>
      </c>
      <c r="P11" s="10">
        <v>360</v>
      </c>
      <c r="Q11" s="10">
        <v>4</v>
      </c>
      <c r="R11" s="10" t="s">
        <v>272</v>
      </c>
      <c r="S11" s="10" t="s">
        <v>292</v>
      </c>
      <c r="T11" s="13" t="s">
        <v>297</v>
      </c>
      <c r="U11" s="10">
        <v>9340540608</v>
      </c>
      <c r="V11" s="12" t="s">
        <v>257</v>
      </c>
      <c r="W11" t="str">
        <f t="shared" si="0"/>
        <v>Silver</v>
      </c>
      <c r="X11" t="str">
        <f t="shared" si="1"/>
        <v>Priya Patel</v>
      </c>
      <c r="Y11" t="str">
        <f t="shared" si="2"/>
        <v>Pri002Mu</v>
      </c>
      <c r="Z11" t="str">
        <f t="shared" si="5"/>
        <v>priya.patel@company.com</v>
      </c>
      <c r="AA11">
        <f t="shared" ca="1" si="6"/>
        <v>29</v>
      </c>
      <c r="AB11">
        <f t="shared" si="3"/>
        <v>2</v>
      </c>
      <c r="AC11" t="str">
        <f t="shared" si="4"/>
        <v>On time</v>
      </c>
    </row>
    <row r="12" spans="1:29">
      <c r="A12" s="33" t="s">
        <v>298</v>
      </c>
      <c r="B12" s="5" t="s">
        <v>299</v>
      </c>
      <c r="C12" s="5" t="s">
        <v>250</v>
      </c>
      <c r="D12" s="5" t="s">
        <v>83</v>
      </c>
      <c r="E12" s="5" t="s">
        <v>300</v>
      </c>
      <c r="F12" s="5" t="s">
        <v>301</v>
      </c>
      <c r="G12" s="5" t="s">
        <v>269</v>
      </c>
      <c r="H12" s="6">
        <v>30229</v>
      </c>
      <c r="I12" s="5" t="s">
        <v>260</v>
      </c>
      <c r="J12" s="5" t="s">
        <v>261</v>
      </c>
      <c r="K12" s="5" t="s">
        <v>15</v>
      </c>
      <c r="L12" s="5" t="s">
        <v>253</v>
      </c>
      <c r="M12" s="5">
        <v>-3</v>
      </c>
      <c r="N12" s="5">
        <v>2200</v>
      </c>
      <c r="O12" s="5">
        <v>0</v>
      </c>
      <c r="P12" s="5">
        <v>35200</v>
      </c>
      <c r="Q12" s="5">
        <v>2</v>
      </c>
      <c r="R12" s="5" t="s">
        <v>272</v>
      </c>
      <c r="S12" s="5" t="s">
        <v>263</v>
      </c>
      <c r="T12" s="5" t="s">
        <v>302</v>
      </c>
      <c r="U12" s="5">
        <v>9521710321</v>
      </c>
      <c r="V12" s="8" t="s">
        <v>248</v>
      </c>
      <c r="W12" t="str">
        <f t="shared" si="0"/>
        <v>Blacklisted</v>
      </c>
      <c r="X12" t="str">
        <f t="shared" si="1"/>
        <v>Rohit Singh</v>
      </c>
      <c r="Y12" t="str">
        <f t="shared" si="2"/>
        <v>Roh003De</v>
      </c>
      <c r="Z12" t="str">
        <f t="shared" si="5"/>
        <v>rohit.singh@company.com</v>
      </c>
      <c r="AA12">
        <f t="shared" ca="1" si="6"/>
        <v>36</v>
      </c>
      <c r="AB12">
        <f t="shared" si="3"/>
        <v>4</v>
      </c>
      <c r="AC12" t="str">
        <f t="shared" si="4"/>
        <v>On time</v>
      </c>
    </row>
    <row r="13" spans="1:29">
      <c r="A13" s="34" t="s">
        <v>303</v>
      </c>
      <c r="B13" s="10" t="s">
        <v>249</v>
      </c>
      <c r="C13" s="10" t="s">
        <v>280</v>
      </c>
      <c r="D13" s="11">
        <v>45872</v>
      </c>
      <c r="E13" s="10" t="s">
        <v>304</v>
      </c>
      <c r="F13" s="10" t="s">
        <v>251</v>
      </c>
      <c r="G13" s="10" t="s">
        <v>239</v>
      </c>
      <c r="H13" s="10" t="s">
        <v>305</v>
      </c>
      <c r="I13" s="10" t="s">
        <v>306</v>
      </c>
      <c r="J13" s="10" t="s">
        <v>287</v>
      </c>
      <c r="K13" s="10" t="s">
        <v>15</v>
      </c>
      <c r="L13" s="10" t="s">
        <v>282</v>
      </c>
      <c r="M13" s="10">
        <v>10</v>
      </c>
      <c r="N13" s="10">
        <v>3500</v>
      </c>
      <c r="O13" s="10">
        <v>5</v>
      </c>
      <c r="P13" s="10">
        <v>33250</v>
      </c>
      <c r="Q13" s="10">
        <v>5</v>
      </c>
      <c r="R13" s="10" t="s">
        <v>272</v>
      </c>
      <c r="S13" s="10" t="s">
        <v>246</v>
      </c>
      <c r="T13" s="10" t="s">
        <v>264</v>
      </c>
      <c r="U13" s="10">
        <v>9123535241</v>
      </c>
      <c r="V13" s="12" t="s">
        <v>265</v>
      </c>
      <c r="W13" t="str">
        <f t="shared" si="0"/>
        <v>Blacklisted</v>
      </c>
      <c r="X13" t="str">
        <f t="shared" si="1"/>
        <v>Kavya Nair</v>
      </c>
      <c r="Y13" t="str">
        <f t="shared" si="2"/>
        <v>Kav008Ah</v>
      </c>
      <c r="Z13" t="str">
        <f>IF(ISNUMBER(SEARCH("@",T13)),LOWER(TRIM(T13)),"invalid email")</f>
        <v>kavya.nair@company.com</v>
      </c>
      <c r="AA13">
        <f t="shared" ca="1" si="6"/>
        <v>44</v>
      </c>
      <c r="AB13" t="str">
        <f t="shared" si="3"/>
        <v/>
      </c>
      <c r="AC13" t="str">
        <f t="shared" si="4"/>
        <v>Delayed</v>
      </c>
    </row>
    <row r="14" spans="1:29">
      <c r="A14" s="33" t="s">
        <v>307</v>
      </c>
      <c r="B14" s="5" t="s">
        <v>284</v>
      </c>
      <c r="C14" s="5" t="s">
        <v>250</v>
      </c>
      <c r="D14" s="6">
        <v>45931</v>
      </c>
      <c r="E14" s="5" t="s">
        <v>31</v>
      </c>
      <c r="F14" s="5" t="s">
        <v>285</v>
      </c>
      <c r="G14" s="5" t="s">
        <v>239</v>
      </c>
      <c r="H14" s="6">
        <v>33762</v>
      </c>
      <c r="I14" s="5" t="s">
        <v>291</v>
      </c>
      <c r="J14" s="5" t="s">
        <v>287</v>
      </c>
      <c r="K14" s="5" t="s">
        <v>15</v>
      </c>
      <c r="L14" s="5" t="s">
        <v>253</v>
      </c>
      <c r="M14" s="5">
        <v>15</v>
      </c>
      <c r="N14" s="5">
        <v>2200</v>
      </c>
      <c r="O14" s="5">
        <v>10</v>
      </c>
      <c r="P14" s="5">
        <v>29700</v>
      </c>
      <c r="Q14" s="5">
        <v>1</v>
      </c>
      <c r="R14" s="5" t="s">
        <v>277</v>
      </c>
      <c r="S14" s="5" t="s">
        <v>292</v>
      </c>
      <c r="T14" s="5" t="s">
        <v>308</v>
      </c>
      <c r="U14" s="5">
        <v>9367316892</v>
      </c>
      <c r="V14" s="8" t="s">
        <v>248</v>
      </c>
      <c r="W14" t="str">
        <f t="shared" si="0"/>
        <v>Blacklisted</v>
      </c>
      <c r="X14" t="str">
        <f t="shared" si="1"/>
        <v>Priya Patel</v>
      </c>
      <c r="Y14" t="str">
        <f t="shared" si="2"/>
        <v>Pri002Pu</v>
      </c>
      <c r="Z14" t="str">
        <f t="shared" si="5"/>
        <v>priya.patel@company.com</v>
      </c>
      <c r="AA14" t="str">
        <f t="shared" ca="1" si="6"/>
        <v/>
      </c>
      <c r="AB14" t="str">
        <f t="shared" si="3"/>
        <v/>
      </c>
      <c r="AC14" t="str">
        <f t="shared" si="4"/>
        <v>Delayed</v>
      </c>
    </row>
    <row r="15" spans="1:29">
      <c r="A15" s="34" t="s">
        <v>309</v>
      </c>
      <c r="B15" s="10" t="s">
        <v>299</v>
      </c>
      <c r="C15" s="10" t="s">
        <v>250</v>
      </c>
      <c r="D15" s="11">
        <v>45903</v>
      </c>
      <c r="E15" s="10" t="s">
        <v>10</v>
      </c>
      <c r="F15" s="10" t="s">
        <v>310</v>
      </c>
      <c r="G15" s="10" t="s">
        <v>269</v>
      </c>
      <c r="H15" s="10" t="s">
        <v>311</v>
      </c>
      <c r="I15" s="10" t="s">
        <v>286</v>
      </c>
      <c r="J15" s="10" t="s">
        <v>287</v>
      </c>
      <c r="K15" s="10" t="s">
        <v>15</v>
      </c>
      <c r="L15" s="10" t="s">
        <v>253</v>
      </c>
      <c r="M15" s="10">
        <v>17</v>
      </c>
      <c r="N15" s="10">
        <v>2200</v>
      </c>
      <c r="O15" s="10">
        <v>5</v>
      </c>
      <c r="P15" s="10">
        <v>35530</v>
      </c>
      <c r="Q15" s="10">
        <v>1</v>
      </c>
      <c r="R15" s="10" t="s">
        <v>254</v>
      </c>
      <c r="S15" s="10" t="s">
        <v>312</v>
      </c>
      <c r="T15" s="13" t="s">
        <v>313</v>
      </c>
      <c r="U15" s="10">
        <v>9778489803</v>
      </c>
      <c r="V15" s="12" t="s">
        <v>257</v>
      </c>
      <c r="W15" t="str">
        <f t="shared" si="0"/>
        <v>Blacklisted</v>
      </c>
      <c r="X15" t="str">
        <f t="shared" si="1"/>
        <v>Rohit Singh</v>
      </c>
      <c r="Y15" t="str">
        <f t="shared" si="2"/>
        <v>roh003Mu</v>
      </c>
      <c r="Z15" t="str">
        <f t="shared" si="5"/>
        <v>rohit.singh@company.com</v>
      </c>
      <c r="AA15">
        <f t="shared" ca="1" si="6"/>
        <v>34</v>
      </c>
      <c r="AB15" t="str">
        <f t="shared" si="3"/>
        <v/>
      </c>
      <c r="AC15" t="str">
        <f t="shared" si="4"/>
        <v>Delayed</v>
      </c>
    </row>
    <row r="16" spans="1:29">
      <c r="A16" s="33" t="s">
        <v>314</v>
      </c>
      <c r="B16" s="5" t="s">
        <v>249</v>
      </c>
      <c r="C16" s="5" t="s">
        <v>280</v>
      </c>
      <c r="D16" s="5" t="s">
        <v>157</v>
      </c>
      <c r="E16" s="6">
        <v>45846</v>
      </c>
      <c r="F16" s="5" t="s">
        <v>315</v>
      </c>
      <c r="G16" s="5" t="s">
        <v>239</v>
      </c>
      <c r="H16" s="5" t="s">
        <v>316</v>
      </c>
      <c r="I16" s="5" t="s">
        <v>286</v>
      </c>
      <c r="J16" s="5" t="s">
        <v>287</v>
      </c>
      <c r="K16" s="5" t="s">
        <v>15</v>
      </c>
      <c r="L16" s="5" t="s">
        <v>282</v>
      </c>
      <c r="M16" s="5">
        <v>15</v>
      </c>
      <c r="N16" s="5">
        <v>3500</v>
      </c>
      <c r="O16" s="5">
        <v>15</v>
      </c>
      <c r="P16" s="5">
        <v>44625</v>
      </c>
      <c r="Q16" s="5">
        <v>2</v>
      </c>
      <c r="R16" s="5" t="s">
        <v>254</v>
      </c>
      <c r="S16" s="5" t="s">
        <v>292</v>
      </c>
      <c r="T16" s="7" t="s">
        <v>264</v>
      </c>
      <c r="U16" s="5">
        <v>9582960180</v>
      </c>
      <c r="V16" s="8" t="s">
        <v>265</v>
      </c>
      <c r="W16" t="str">
        <f t="shared" si="0"/>
        <v>Blacklisted</v>
      </c>
      <c r="X16" t="str">
        <f t="shared" si="1"/>
        <v>Kavya Nair</v>
      </c>
      <c r="Y16" t="str">
        <f t="shared" si="2"/>
        <v>Kav008Mu</v>
      </c>
      <c r="Z16" t="str">
        <f t="shared" si="5"/>
        <v>kavya.nair@company.com</v>
      </c>
      <c r="AA16" t="str">
        <f t="shared" ca="1" si="6"/>
        <v/>
      </c>
      <c r="AB16" t="str">
        <f t="shared" si="3"/>
        <v/>
      </c>
      <c r="AC16" t="str">
        <f t="shared" si="4"/>
        <v>Delayed</v>
      </c>
    </row>
    <row r="17" spans="1:29" ht="16.5" customHeight="1">
      <c r="A17" s="34" t="s">
        <v>317</v>
      </c>
      <c r="B17" s="10" t="s">
        <v>235</v>
      </c>
      <c r="C17" s="10" t="s">
        <v>267</v>
      </c>
      <c r="D17" s="11">
        <v>46238</v>
      </c>
      <c r="E17" s="11">
        <v>46330</v>
      </c>
      <c r="F17" s="10" t="s">
        <v>318</v>
      </c>
      <c r="G17" s="10" t="s">
        <v>239</v>
      </c>
      <c r="H17" s="11">
        <v>37564</v>
      </c>
      <c r="I17" s="10" t="s">
        <v>252</v>
      </c>
      <c r="J17" s="10" t="s">
        <v>242</v>
      </c>
      <c r="K17" s="10" t="s">
        <v>243</v>
      </c>
      <c r="L17" s="10" t="s">
        <v>271</v>
      </c>
      <c r="M17" s="10">
        <v>3</v>
      </c>
      <c r="N17" s="10">
        <v>1200</v>
      </c>
      <c r="O17" s="10">
        <v>5</v>
      </c>
      <c r="P17" s="10">
        <v>3420</v>
      </c>
      <c r="Q17" s="10">
        <v>5</v>
      </c>
      <c r="R17" s="10" t="s">
        <v>277</v>
      </c>
      <c r="S17" s="10" t="s">
        <v>255</v>
      </c>
      <c r="T17" s="10" t="s">
        <v>319</v>
      </c>
      <c r="U17" s="10">
        <v>9611394005</v>
      </c>
      <c r="V17" s="12" t="s">
        <v>257</v>
      </c>
      <c r="W17" t="str">
        <f t="shared" si="0"/>
        <v>Silver</v>
      </c>
      <c r="X17" t="str">
        <f t="shared" si="1"/>
        <v>Pooja Shah</v>
      </c>
      <c r="Y17" t="str">
        <f t="shared" si="2"/>
        <v>Poo010Hy</v>
      </c>
      <c r="Z17" t="str">
        <f t="shared" si="5"/>
        <v>invalid email</v>
      </c>
      <c r="AA17" t="str">
        <f t="shared" ca="1" si="6"/>
        <v/>
      </c>
      <c r="AB17" t="str">
        <f t="shared" si="3"/>
        <v/>
      </c>
      <c r="AC17" t="str">
        <f t="shared" si="4"/>
        <v>Delayed</v>
      </c>
    </row>
    <row r="18" spans="1:29" ht="17.25" customHeight="1">
      <c r="A18" s="33" t="s">
        <v>320</v>
      </c>
      <c r="B18" s="5" t="s">
        <v>321</v>
      </c>
      <c r="C18" s="5" t="s">
        <v>322</v>
      </c>
      <c r="D18" s="5" t="s">
        <v>108</v>
      </c>
      <c r="E18" s="6">
        <v>46084</v>
      </c>
      <c r="F18" s="5" t="s">
        <v>323</v>
      </c>
      <c r="G18" s="5" t="s">
        <v>239</v>
      </c>
      <c r="H18" s="5" t="s">
        <v>324</v>
      </c>
      <c r="I18" s="5" t="s">
        <v>291</v>
      </c>
      <c r="J18" s="5" t="s">
        <v>287</v>
      </c>
      <c r="K18" s="5" t="s">
        <v>15</v>
      </c>
      <c r="L18" s="5" t="s">
        <v>325</v>
      </c>
      <c r="M18" s="5">
        <v>13</v>
      </c>
      <c r="N18" s="5">
        <v>8500</v>
      </c>
      <c r="O18" s="5">
        <v>20</v>
      </c>
      <c r="P18" s="5">
        <v>88400</v>
      </c>
      <c r="Q18" s="5">
        <v>4</v>
      </c>
      <c r="R18" s="5" t="s">
        <v>272</v>
      </c>
      <c r="S18" s="5" t="s">
        <v>263</v>
      </c>
      <c r="T18" s="5" t="s">
        <v>326</v>
      </c>
      <c r="U18" s="5">
        <v>9692599404</v>
      </c>
      <c r="V18" s="8" t="s">
        <v>248</v>
      </c>
      <c r="W18" t="str">
        <f t="shared" si="0"/>
        <v/>
      </c>
      <c r="X18" t="str">
        <f t="shared" si="1"/>
        <v>Amit Sharma</v>
      </c>
      <c r="Y18" t="str">
        <f t="shared" si="2"/>
        <v>Ami004Pu</v>
      </c>
      <c r="Z18" t="str">
        <f t="shared" si="5"/>
        <v>anita.gupta@company.com</v>
      </c>
      <c r="AA18">
        <f t="shared" ca="1" si="6"/>
        <v>23</v>
      </c>
      <c r="AB18" t="str">
        <f t="shared" si="3"/>
        <v/>
      </c>
      <c r="AC18" t="str">
        <f t="shared" si="4"/>
        <v>Delayed</v>
      </c>
    </row>
    <row r="19" spans="1:29" ht="15" customHeight="1">
      <c r="A19" s="34" t="s">
        <v>327</v>
      </c>
      <c r="B19" s="10" t="s">
        <v>275</v>
      </c>
      <c r="C19" s="10" t="s">
        <v>322</v>
      </c>
      <c r="D19" s="10" t="s">
        <v>176</v>
      </c>
      <c r="E19" s="11">
        <v>46145</v>
      </c>
      <c r="F19" s="10" t="s">
        <v>328</v>
      </c>
      <c r="G19" s="10" t="s">
        <v>269</v>
      </c>
      <c r="H19" s="11">
        <v>32761</v>
      </c>
      <c r="I19" s="10" t="s">
        <v>306</v>
      </c>
      <c r="J19" s="10" t="s">
        <v>287</v>
      </c>
      <c r="K19" s="10" t="s">
        <v>15</v>
      </c>
      <c r="L19" s="10" t="s">
        <v>325</v>
      </c>
      <c r="M19" s="10">
        <v>4</v>
      </c>
      <c r="N19" s="10">
        <v>8500</v>
      </c>
      <c r="O19" s="10">
        <v>20</v>
      </c>
      <c r="P19" s="10">
        <v>27200</v>
      </c>
      <c r="Q19" s="10">
        <v>5</v>
      </c>
      <c r="R19" s="10" t="s">
        <v>272</v>
      </c>
      <c r="S19" s="10" t="s">
        <v>246</v>
      </c>
      <c r="T19" s="10" t="s">
        <v>278</v>
      </c>
      <c r="U19" s="10">
        <v>9426119622</v>
      </c>
      <c r="V19" s="12" t="s">
        <v>248</v>
      </c>
      <c r="W19" t="str">
        <f t="shared" si="0"/>
        <v/>
      </c>
      <c r="X19" t="str">
        <f t="shared" si="1"/>
        <v>Arjun Rao</v>
      </c>
      <c r="Y19" t="str">
        <f t="shared" si="2"/>
        <v>Arj007Ah</v>
      </c>
      <c r="Z19" t="str">
        <f t="shared" si="5"/>
        <v>arjun.rao@company.com</v>
      </c>
      <c r="AA19" t="str">
        <f t="shared" ca="1" si="6"/>
        <v/>
      </c>
      <c r="AB19" t="str">
        <f t="shared" si="3"/>
        <v/>
      </c>
      <c r="AC19" t="str">
        <f t="shared" si="4"/>
        <v>Delayed</v>
      </c>
    </row>
    <row r="20" spans="1:29" ht="16.5" customHeight="1">
      <c r="A20" s="33" t="s">
        <v>329</v>
      </c>
      <c r="B20" s="5" t="s">
        <v>275</v>
      </c>
      <c r="C20" s="5" t="s">
        <v>330</v>
      </c>
      <c r="D20" s="6">
        <v>45669</v>
      </c>
      <c r="E20" s="6">
        <v>45759</v>
      </c>
      <c r="F20" s="5" t="s">
        <v>331</v>
      </c>
      <c r="G20" s="5" t="s">
        <v>269</v>
      </c>
      <c r="H20" s="5" t="s">
        <v>332</v>
      </c>
      <c r="I20" s="5" t="s">
        <v>286</v>
      </c>
      <c r="J20" s="5" t="s">
        <v>287</v>
      </c>
      <c r="K20" s="5" t="s">
        <v>243</v>
      </c>
      <c r="L20" s="5" t="s">
        <v>333</v>
      </c>
      <c r="M20" s="5">
        <v>9</v>
      </c>
      <c r="N20" s="5">
        <v>700</v>
      </c>
      <c r="O20" s="5">
        <v>5</v>
      </c>
      <c r="P20" s="5">
        <v>5985</v>
      </c>
      <c r="Q20" s="5">
        <v>3</v>
      </c>
      <c r="R20" s="5" t="s">
        <v>277</v>
      </c>
      <c r="S20" s="5" t="s">
        <v>255</v>
      </c>
      <c r="T20" s="7" t="s">
        <v>334</v>
      </c>
      <c r="U20" s="5">
        <v>9184436009</v>
      </c>
      <c r="V20" s="8" t="s">
        <v>248</v>
      </c>
      <c r="W20" t="str">
        <f t="shared" si="0"/>
        <v/>
      </c>
      <c r="X20" t="str">
        <f t="shared" si="1"/>
        <v>Arjun Rao</v>
      </c>
      <c r="Y20" t="str">
        <f t="shared" si="2"/>
        <v>arj007Mu</v>
      </c>
      <c r="Z20" t="str">
        <f t="shared" si="5"/>
        <v>arjun.rao@company.com</v>
      </c>
      <c r="AA20">
        <f t="shared" ca="1" si="6"/>
        <v>37</v>
      </c>
      <c r="AB20" t="str">
        <f t="shared" si="3"/>
        <v/>
      </c>
      <c r="AC20" t="str">
        <f t="shared" si="4"/>
        <v>Delayed</v>
      </c>
    </row>
    <row r="21" spans="1:29">
      <c r="A21" s="34" t="s">
        <v>335</v>
      </c>
      <c r="B21" s="10" t="s">
        <v>249</v>
      </c>
      <c r="C21" s="10" t="s">
        <v>236</v>
      </c>
      <c r="D21" s="10" t="s">
        <v>144</v>
      </c>
      <c r="E21" s="11">
        <v>45723</v>
      </c>
      <c r="F21" s="10" t="s">
        <v>251</v>
      </c>
      <c r="G21" s="10" t="s">
        <v>239</v>
      </c>
      <c r="H21" s="11">
        <v>32876</v>
      </c>
      <c r="I21" s="10" t="s">
        <v>306</v>
      </c>
      <c r="J21" s="10" t="s">
        <v>287</v>
      </c>
      <c r="K21" s="10" t="s">
        <v>243</v>
      </c>
      <c r="L21" s="10" t="s">
        <v>244</v>
      </c>
      <c r="M21" s="10">
        <v>8</v>
      </c>
      <c r="N21" s="10">
        <v>55000</v>
      </c>
      <c r="O21" s="10">
        <v>20</v>
      </c>
      <c r="P21" s="10">
        <v>352000</v>
      </c>
      <c r="Q21" s="10">
        <v>1</v>
      </c>
      <c r="R21" s="10" t="s">
        <v>254</v>
      </c>
      <c r="S21" s="10" t="s">
        <v>312</v>
      </c>
      <c r="T21" s="10" t="s">
        <v>264</v>
      </c>
      <c r="U21" s="10">
        <v>9263774934</v>
      </c>
      <c r="V21" s="12" t="s">
        <v>257</v>
      </c>
      <c r="W21" t="str">
        <f t="shared" si="0"/>
        <v>Blacklisted</v>
      </c>
      <c r="X21" t="str">
        <f t="shared" si="1"/>
        <v>Kavya Nair</v>
      </c>
      <c r="Y21" t="str">
        <f t="shared" si="2"/>
        <v>Kav008Ah</v>
      </c>
      <c r="Z21" t="str">
        <f t="shared" si="5"/>
        <v>kavya.nair@company.com</v>
      </c>
      <c r="AA21" t="str">
        <f t="shared" ca="1" si="6"/>
        <v/>
      </c>
      <c r="AB21" t="str">
        <f t="shared" si="3"/>
        <v/>
      </c>
      <c r="AC21" t="str">
        <f t="shared" si="4"/>
        <v>Delayed</v>
      </c>
    </row>
    <row r="22" spans="1:29">
      <c r="A22" s="33" t="s">
        <v>336</v>
      </c>
      <c r="B22" s="5" t="s">
        <v>299</v>
      </c>
      <c r="C22" s="5" t="s">
        <v>330</v>
      </c>
      <c r="D22" s="5" t="s">
        <v>153</v>
      </c>
      <c r="E22" s="6">
        <v>45782</v>
      </c>
      <c r="F22" s="5" t="s">
        <v>301</v>
      </c>
      <c r="G22" s="5" t="s">
        <v>269</v>
      </c>
      <c r="H22" s="5" t="s">
        <v>337</v>
      </c>
      <c r="I22" s="5" t="s">
        <v>260</v>
      </c>
      <c r="J22" s="5" t="s">
        <v>261</v>
      </c>
      <c r="K22" s="5" t="s">
        <v>338</v>
      </c>
      <c r="L22" s="5" t="s">
        <v>333</v>
      </c>
      <c r="M22" s="5">
        <v>10</v>
      </c>
      <c r="N22" s="5">
        <v>700</v>
      </c>
      <c r="O22" s="5">
        <v>20</v>
      </c>
      <c r="P22" s="5">
        <v>5600</v>
      </c>
      <c r="Q22" s="5">
        <v>4</v>
      </c>
      <c r="R22" s="5" t="s">
        <v>272</v>
      </c>
      <c r="S22" s="5" t="s">
        <v>246</v>
      </c>
      <c r="T22" s="5" t="s">
        <v>302</v>
      </c>
      <c r="U22" s="5">
        <v>9473159572</v>
      </c>
      <c r="V22" s="8" t="s">
        <v>265</v>
      </c>
      <c r="W22" t="str">
        <f t="shared" si="0"/>
        <v>Blacklisted</v>
      </c>
      <c r="X22" t="str">
        <f t="shared" si="1"/>
        <v>Rohit Singh</v>
      </c>
      <c r="Y22" t="str">
        <f>LEFT(F22,3)&amp;MID(B22,2,3)&amp;LEFT(I22,2)</f>
        <v>Roh003De</v>
      </c>
      <c r="Z22" t="str">
        <f t="shared" si="5"/>
        <v>rohit.singh@company.com</v>
      </c>
      <c r="AA22">
        <f t="shared" ca="1" si="6"/>
        <v>36</v>
      </c>
      <c r="AB22" t="str">
        <f t="shared" si="3"/>
        <v/>
      </c>
      <c r="AC22" t="str">
        <f t="shared" si="4"/>
        <v>Delayed</v>
      </c>
    </row>
    <row r="23" spans="1:29">
      <c r="A23" s="34" t="s">
        <v>339</v>
      </c>
      <c r="B23" s="10" t="s">
        <v>249</v>
      </c>
      <c r="C23" s="10" t="s">
        <v>280</v>
      </c>
      <c r="D23" s="11">
        <v>45717</v>
      </c>
      <c r="E23" s="11">
        <v>45870</v>
      </c>
      <c r="F23" s="10" t="s">
        <v>290</v>
      </c>
      <c r="G23" s="10" t="s">
        <v>239</v>
      </c>
      <c r="H23" s="10" t="s">
        <v>340</v>
      </c>
      <c r="I23" s="10" t="s">
        <v>241</v>
      </c>
      <c r="J23" s="10" t="s">
        <v>242</v>
      </c>
      <c r="K23" s="10" t="s">
        <v>15</v>
      </c>
      <c r="L23" s="10" t="s">
        <v>282</v>
      </c>
      <c r="M23" s="10">
        <v>1</v>
      </c>
      <c r="N23" s="10">
        <v>3500</v>
      </c>
      <c r="O23" s="10">
        <v>5</v>
      </c>
      <c r="P23" s="10">
        <v>3325</v>
      </c>
      <c r="Q23" s="10">
        <v>3</v>
      </c>
      <c r="R23" s="10" t="s">
        <v>277</v>
      </c>
      <c r="S23" s="10" t="s">
        <v>292</v>
      </c>
      <c r="T23" s="10" t="s">
        <v>264</v>
      </c>
      <c r="U23" s="10">
        <v>9660493688</v>
      </c>
      <c r="V23" s="12" t="s">
        <v>265</v>
      </c>
      <c r="W23" t="str">
        <f t="shared" si="0"/>
        <v>Blacklisted</v>
      </c>
      <c r="X23" t="str">
        <f t="shared" si="1"/>
        <v>Kavya Nair</v>
      </c>
      <c r="Y23" t="str">
        <f t="shared" si="2"/>
        <v>kav008Be</v>
      </c>
      <c r="Z23" t="str">
        <f t="shared" si="5"/>
        <v>kavya.nair@company.com</v>
      </c>
      <c r="AA23" t="str">
        <f t="shared" ca="1" si="6"/>
        <v/>
      </c>
      <c r="AB23" t="str">
        <f t="shared" si="3"/>
        <v/>
      </c>
      <c r="AC23" t="str">
        <f t="shared" si="4"/>
        <v>Delayed</v>
      </c>
    </row>
    <row r="24" spans="1:29">
      <c r="A24" s="33" t="s">
        <v>341</v>
      </c>
      <c r="B24" s="5" t="s">
        <v>284</v>
      </c>
      <c r="C24" s="5" t="s">
        <v>330</v>
      </c>
      <c r="D24" s="5" t="s">
        <v>77</v>
      </c>
      <c r="E24" s="5" t="s">
        <v>196</v>
      </c>
      <c r="F24" s="5" t="s">
        <v>285</v>
      </c>
      <c r="G24" s="5" t="s">
        <v>239</v>
      </c>
      <c r="H24" s="6">
        <v>30779</v>
      </c>
      <c r="I24" s="5" t="s">
        <v>342</v>
      </c>
      <c r="J24" s="5" t="s">
        <v>261</v>
      </c>
      <c r="K24" s="5" t="s">
        <v>243</v>
      </c>
      <c r="L24" s="5" t="s">
        <v>333</v>
      </c>
      <c r="M24" s="5">
        <v>19</v>
      </c>
      <c r="N24" s="5">
        <v>700</v>
      </c>
      <c r="O24" s="5">
        <v>15</v>
      </c>
      <c r="P24" s="5">
        <v>11305</v>
      </c>
      <c r="Q24" s="5">
        <v>3</v>
      </c>
      <c r="R24" s="5" t="s">
        <v>245</v>
      </c>
      <c r="S24" s="5" t="s">
        <v>312</v>
      </c>
      <c r="T24" s="5" t="s">
        <v>308</v>
      </c>
      <c r="U24" s="5">
        <v>9513325819</v>
      </c>
      <c r="V24" s="8" t="s">
        <v>248</v>
      </c>
      <c r="W24" t="str">
        <f t="shared" si="0"/>
        <v/>
      </c>
      <c r="X24" t="str">
        <f t="shared" si="1"/>
        <v>Priya Patel</v>
      </c>
      <c r="Y24" t="str">
        <f t="shared" si="2"/>
        <v>Pri002Ja</v>
      </c>
      <c r="Z24" t="str">
        <f t="shared" si="5"/>
        <v>priya.patel@company.com</v>
      </c>
      <c r="AA24" t="str">
        <f t="shared" ca="1" si="6"/>
        <v/>
      </c>
      <c r="AB24">
        <f t="shared" si="3"/>
        <v>11</v>
      </c>
      <c r="AC24" t="str">
        <f t="shared" si="4"/>
        <v>Delayed</v>
      </c>
    </row>
    <row r="25" spans="1:29">
      <c r="A25" s="34" t="s">
        <v>343</v>
      </c>
      <c r="B25" s="10" t="s">
        <v>266</v>
      </c>
      <c r="C25" s="10" t="s">
        <v>236</v>
      </c>
      <c r="D25" s="10" t="s">
        <v>117</v>
      </c>
      <c r="E25" s="11">
        <v>46023</v>
      </c>
      <c r="F25" s="10" t="s">
        <v>268</v>
      </c>
      <c r="G25" s="10" t="s">
        <v>269</v>
      </c>
      <c r="H25" s="10" t="s">
        <v>344</v>
      </c>
      <c r="I25" s="10" t="s">
        <v>241</v>
      </c>
      <c r="J25" s="10" t="s">
        <v>242</v>
      </c>
      <c r="K25" s="10" t="s">
        <v>243</v>
      </c>
      <c r="L25" s="10" t="s">
        <v>244</v>
      </c>
      <c r="M25" s="10">
        <v>12</v>
      </c>
      <c r="N25" s="10">
        <v>55000</v>
      </c>
      <c r="O25" s="10">
        <v>0</v>
      </c>
      <c r="P25" s="10">
        <v>660000</v>
      </c>
      <c r="Q25" s="10">
        <v>1</v>
      </c>
      <c r="R25" s="10" t="s">
        <v>272</v>
      </c>
      <c r="S25" s="10" t="s">
        <v>263</v>
      </c>
      <c r="T25" s="10" t="s">
        <v>273</v>
      </c>
      <c r="U25" s="10">
        <v>9641063242</v>
      </c>
      <c r="V25" s="12" t="s">
        <v>248</v>
      </c>
      <c r="W25" t="str">
        <f t="shared" si="0"/>
        <v>Blacklisted</v>
      </c>
      <c r="X25" t="str">
        <f t="shared" si="1"/>
        <v>Mohit Verma</v>
      </c>
      <c r="Y25" t="str">
        <f t="shared" si="2"/>
        <v>Moh009Be</v>
      </c>
      <c r="Z25" t="str">
        <f t="shared" si="5"/>
        <v>mohit.verma@company.com</v>
      </c>
      <c r="AA25">
        <f t="shared" ca="1" si="6"/>
        <v>42</v>
      </c>
      <c r="AB25" t="str">
        <f t="shared" si="3"/>
        <v/>
      </c>
      <c r="AC25" t="str">
        <f t="shared" si="4"/>
        <v>Delayed</v>
      </c>
    </row>
    <row r="26" spans="1:29">
      <c r="A26" s="33" t="s">
        <v>345</v>
      </c>
      <c r="B26" s="5" t="s">
        <v>346</v>
      </c>
      <c r="C26" s="5" t="s">
        <v>347</v>
      </c>
      <c r="D26" s="6">
        <v>46269</v>
      </c>
      <c r="E26" s="5" t="s">
        <v>90</v>
      </c>
      <c r="F26" s="5" t="s">
        <v>348</v>
      </c>
      <c r="G26" s="5" t="s">
        <v>269</v>
      </c>
      <c r="H26" s="6">
        <v>33305</v>
      </c>
      <c r="I26" s="5" t="s">
        <v>286</v>
      </c>
      <c r="J26" s="5" t="s">
        <v>287</v>
      </c>
      <c r="K26" s="5" t="s">
        <v>295</v>
      </c>
      <c r="L26" s="5" t="s">
        <v>349</v>
      </c>
      <c r="M26" s="5">
        <v>1</v>
      </c>
      <c r="N26" s="5">
        <v>20</v>
      </c>
      <c r="O26" s="5">
        <v>5</v>
      </c>
      <c r="P26" s="5">
        <v>19</v>
      </c>
      <c r="Q26" s="5">
        <v>5</v>
      </c>
      <c r="R26" s="5" t="s">
        <v>272</v>
      </c>
      <c r="S26" s="5" t="s">
        <v>255</v>
      </c>
      <c r="T26" s="5" t="s">
        <v>350</v>
      </c>
      <c r="U26" s="5">
        <v>9277372518</v>
      </c>
      <c r="V26" s="8" t="s">
        <v>265</v>
      </c>
      <c r="W26" t="str">
        <f t="shared" si="0"/>
        <v>Blacklisted</v>
      </c>
      <c r="X26" t="str">
        <f t="shared" si="1"/>
        <v>Vikas Mehta</v>
      </c>
      <c r="Y26" t="str">
        <f t="shared" si="2"/>
        <v>Vik005Mu</v>
      </c>
      <c r="Z26" t="str">
        <f t="shared" si="5"/>
        <v>vikas.mehta@company.com</v>
      </c>
      <c r="AA26" t="str">
        <f t="shared" ca="1" si="6"/>
        <v/>
      </c>
      <c r="AB26" t="str">
        <f t="shared" si="3"/>
        <v/>
      </c>
      <c r="AC26" t="str">
        <f t="shared" si="4"/>
        <v>Delayed</v>
      </c>
    </row>
    <row r="27" spans="1:29">
      <c r="A27" s="34" t="s">
        <v>351</v>
      </c>
      <c r="B27" s="10" t="s">
        <v>275</v>
      </c>
      <c r="C27" s="10" t="s">
        <v>347</v>
      </c>
      <c r="D27" s="10" t="s">
        <v>134</v>
      </c>
      <c r="E27" s="11">
        <v>45695</v>
      </c>
      <c r="F27" s="10" t="s">
        <v>328</v>
      </c>
      <c r="G27" s="10" t="s">
        <v>269</v>
      </c>
      <c r="H27" s="11">
        <v>28441</v>
      </c>
      <c r="I27" s="10" t="s">
        <v>286</v>
      </c>
      <c r="J27" s="10" t="s">
        <v>287</v>
      </c>
      <c r="K27" s="10" t="s">
        <v>295</v>
      </c>
      <c r="L27" s="10" t="s">
        <v>349</v>
      </c>
      <c r="M27" s="10">
        <v>2</v>
      </c>
      <c r="N27" s="10">
        <v>20</v>
      </c>
      <c r="O27" s="10">
        <v>15</v>
      </c>
      <c r="P27" s="10">
        <v>34</v>
      </c>
      <c r="Q27" s="10">
        <v>1</v>
      </c>
      <c r="R27" s="10" t="s">
        <v>277</v>
      </c>
      <c r="S27" s="10" t="s">
        <v>255</v>
      </c>
      <c r="T27" s="10" t="s">
        <v>278</v>
      </c>
      <c r="U27" s="10">
        <v>9193154372</v>
      </c>
      <c r="V27" s="12" t="s">
        <v>248</v>
      </c>
      <c r="W27" t="str">
        <f t="shared" si="0"/>
        <v>Blacklisted</v>
      </c>
      <c r="X27" t="str">
        <f t="shared" si="1"/>
        <v>Arjun Rao</v>
      </c>
      <c r="Y27" t="str">
        <f t="shared" si="2"/>
        <v>Arj007Mu</v>
      </c>
      <c r="Z27" t="str">
        <f t="shared" si="5"/>
        <v>arjun.rao@company.com</v>
      </c>
      <c r="AA27">
        <f t="shared" ca="1" si="6"/>
        <v>35</v>
      </c>
      <c r="AB27" t="str">
        <f t="shared" si="3"/>
        <v/>
      </c>
      <c r="AC27" t="str">
        <f t="shared" si="4"/>
        <v>Delayed</v>
      </c>
    </row>
    <row r="28" spans="1:29">
      <c r="A28" s="33" t="s">
        <v>352</v>
      </c>
      <c r="B28" s="5" t="s">
        <v>266</v>
      </c>
      <c r="C28" s="5" t="s">
        <v>280</v>
      </c>
      <c r="D28" s="5" t="s">
        <v>112</v>
      </c>
      <c r="E28" s="5" t="s">
        <v>143</v>
      </c>
      <c r="F28" s="5" t="s">
        <v>268</v>
      </c>
      <c r="G28" s="5" t="s">
        <v>269</v>
      </c>
      <c r="H28" s="6">
        <v>33818</v>
      </c>
      <c r="I28" s="5" t="s">
        <v>306</v>
      </c>
      <c r="J28" s="5" t="s">
        <v>287</v>
      </c>
      <c r="K28" s="5" t="s">
        <v>15</v>
      </c>
      <c r="L28" s="5" t="s">
        <v>282</v>
      </c>
      <c r="M28" s="5">
        <v>12</v>
      </c>
      <c r="N28" s="5">
        <v>3500</v>
      </c>
      <c r="O28" s="5">
        <v>15</v>
      </c>
      <c r="P28" s="5">
        <v>35700</v>
      </c>
      <c r="Q28" s="5">
        <v>4</v>
      </c>
      <c r="R28" s="5" t="s">
        <v>254</v>
      </c>
      <c r="S28" s="5" t="s">
        <v>263</v>
      </c>
      <c r="T28" s="5" t="s">
        <v>273</v>
      </c>
      <c r="U28" s="5">
        <v>9400073244</v>
      </c>
      <c r="V28" s="8" t="s">
        <v>265</v>
      </c>
      <c r="W28" t="str">
        <f t="shared" si="0"/>
        <v>Blacklisted</v>
      </c>
      <c r="X28" t="str">
        <f t="shared" si="1"/>
        <v>Mohit Verma</v>
      </c>
      <c r="Y28" t="str">
        <f t="shared" si="2"/>
        <v>Moh009Ah</v>
      </c>
      <c r="Z28" t="str">
        <f t="shared" si="5"/>
        <v>mohit.verma@company.com</v>
      </c>
      <c r="AA28">
        <f t="shared" ca="1" si="6"/>
        <v>48</v>
      </c>
      <c r="AB28">
        <f t="shared" si="3"/>
        <v>3</v>
      </c>
      <c r="AC28" t="str">
        <f t="shared" si="4"/>
        <v>On time</v>
      </c>
    </row>
    <row r="29" spans="1:29">
      <c r="A29" s="34" t="s">
        <v>353</v>
      </c>
      <c r="B29" s="10" t="s">
        <v>249</v>
      </c>
      <c r="C29" s="10" t="s">
        <v>267</v>
      </c>
      <c r="D29" s="10" t="s">
        <v>11</v>
      </c>
      <c r="E29" s="10" t="s">
        <v>354</v>
      </c>
      <c r="F29" s="10" t="s">
        <v>251</v>
      </c>
      <c r="G29" s="10" t="s">
        <v>239</v>
      </c>
      <c r="H29" s="11">
        <v>38113</v>
      </c>
      <c r="I29" s="10" t="s">
        <v>306</v>
      </c>
      <c r="J29" s="10" t="s">
        <v>287</v>
      </c>
      <c r="K29" s="10" t="s">
        <v>243</v>
      </c>
      <c r="L29" s="10" t="s">
        <v>271</v>
      </c>
      <c r="M29" s="10">
        <v>11</v>
      </c>
      <c r="N29" s="10">
        <v>1200</v>
      </c>
      <c r="O29" s="10">
        <v>0</v>
      </c>
      <c r="P29" s="10">
        <v>13200</v>
      </c>
      <c r="Q29" s="10">
        <v>2</v>
      </c>
      <c r="R29" s="10" t="s">
        <v>277</v>
      </c>
      <c r="S29" s="10" t="s">
        <v>312</v>
      </c>
      <c r="T29" s="10" t="s">
        <v>264</v>
      </c>
      <c r="U29" s="10">
        <v>9771556720</v>
      </c>
      <c r="V29" s="12" t="s">
        <v>257</v>
      </c>
      <c r="W29" t="str">
        <f t="shared" si="0"/>
        <v>Blacklisted</v>
      </c>
      <c r="X29" t="str">
        <f t="shared" si="1"/>
        <v>Kavya Nair</v>
      </c>
      <c r="Y29" t="str">
        <f t="shared" si="2"/>
        <v>Kav008Ah</v>
      </c>
      <c r="Z29" t="str">
        <f t="shared" si="5"/>
        <v>kavya.nair@company.com</v>
      </c>
      <c r="AA29">
        <f t="shared" ca="1" si="6"/>
        <v>34</v>
      </c>
      <c r="AB29">
        <f t="shared" si="3"/>
        <v>7</v>
      </c>
      <c r="AC29" t="str">
        <f t="shared" si="4"/>
        <v>Delayed</v>
      </c>
    </row>
    <row r="30" spans="1:29">
      <c r="A30" s="33" t="s">
        <v>355</v>
      </c>
      <c r="B30" s="5" t="s">
        <v>299</v>
      </c>
      <c r="C30" s="5" t="s">
        <v>322</v>
      </c>
      <c r="D30" s="6">
        <v>45878</v>
      </c>
      <c r="E30" s="5" t="s">
        <v>356</v>
      </c>
      <c r="F30" s="5" t="s">
        <v>301</v>
      </c>
      <c r="G30" s="5" t="s">
        <v>269</v>
      </c>
      <c r="H30" s="6">
        <v>37203</v>
      </c>
      <c r="I30" s="5" t="s">
        <v>291</v>
      </c>
      <c r="J30" s="5" t="s">
        <v>287</v>
      </c>
      <c r="K30" s="5" t="s">
        <v>15</v>
      </c>
      <c r="L30" s="5" t="s">
        <v>325</v>
      </c>
      <c r="M30" s="5">
        <v>6</v>
      </c>
      <c r="N30" s="5">
        <v>8500</v>
      </c>
      <c r="O30" s="5">
        <v>65</v>
      </c>
      <c r="P30" s="5">
        <v>51000</v>
      </c>
      <c r="Q30" s="5">
        <v>1</v>
      </c>
      <c r="R30" s="5" t="s">
        <v>272</v>
      </c>
      <c r="S30" s="5" t="s">
        <v>246</v>
      </c>
      <c r="T30" s="5" t="s">
        <v>302</v>
      </c>
      <c r="U30" s="5">
        <v>9127480734</v>
      </c>
      <c r="V30" s="8" t="s">
        <v>257</v>
      </c>
      <c r="W30" t="str">
        <f t="shared" si="0"/>
        <v>Blacklisted</v>
      </c>
      <c r="X30" t="str">
        <f t="shared" si="1"/>
        <v>Rohit Singh</v>
      </c>
      <c r="Y30" t="str">
        <f t="shared" si="2"/>
        <v>Roh003Pu</v>
      </c>
      <c r="Z30" t="str">
        <f t="shared" si="5"/>
        <v>rohit.singh@company.com</v>
      </c>
      <c r="AA30">
        <f t="shared" ca="1" si="6"/>
        <v>22</v>
      </c>
      <c r="AB30" t="str">
        <f t="shared" si="3"/>
        <v/>
      </c>
      <c r="AC30" t="str">
        <f t="shared" si="4"/>
        <v>Delayed</v>
      </c>
    </row>
    <row r="31" spans="1:29">
      <c r="A31" s="34" t="s">
        <v>357</v>
      </c>
      <c r="B31" s="10" t="s">
        <v>358</v>
      </c>
      <c r="C31" s="10" t="s">
        <v>294</v>
      </c>
      <c r="D31" s="11">
        <v>46327</v>
      </c>
      <c r="E31" s="10" t="s">
        <v>41</v>
      </c>
      <c r="F31" s="10" t="s">
        <v>359</v>
      </c>
      <c r="G31" s="10" t="s">
        <v>239</v>
      </c>
      <c r="H31" s="11">
        <v>29680</v>
      </c>
      <c r="I31" s="10" t="s">
        <v>291</v>
      </c>
      <c r="J31" s="10" t="s">
        <v>287</v>
      </c>
      <c r="K31" s="10" t="s">
        <v>295</v>
      </c>
      <c r="L31" s="10" t="s">
        <v>296</v>
      </c>
      <c r="M31" s="10">
        <v>2</v>
      </c>
      <c r="N31" s="10">
        <v>60</v>
      </c>
      <c r="O31" s="10">
        <v>5</v>
      </c>
      <c r="P31" s="10">
        <v>114</v>
      </c>
      <c r="Q31" s="10">
        <v>3</v>
      </c>
      <c r="R31" s="10" t="s">
        <v>254</v>
      </c>
      <c r="S31" s="10" t="s">
        <v>312</v>
      </c>
      <c r="T31" s="10" t="s">
        <v>360</v>
      </c>
      <c r="U31" s="10">
        <v>9512997042</v>
      </c>
      <c r="V31" s="12" t="s">
        <v>265</v>
      </c>
      <c r="W31" t="str">
        <f t="shared" si="0"/>
        <v>Blacklisted</v>
      </c>
      <c r="X31" t="str">
        <f t="shared" si="1"/>
        <v>Sneha Joshi</v>
      </c>
      <c r="Y31" t="str">
        <f t="shared" si="2"/>
        <v>Sne006Pu</v>
      </c>
      <c r="Z31" t="str">
        <f t="shared" si="5"/>
        <v>sneha.joshi@company.com</v>
      </c>
      <c r="AA31">
        <f t="shared" ca="1" si="6"/>
        <v>24</v>
      </c>
      <c r="AB31" t="str">
        <f t="shared" si="3"/>
        <v/>
      </c>
      <c r="AC31" t="str">
        <f t="shared" si="4"/>
        <v>Delayed</v>
      </c>
    </row>
    <row r="32" spans="1:29">
      <c r="A32" s="33" t="s">
        <v>361</v>
      </c>
      <c r="B32" s="5" t="s">
        <v>249</v>
      </c>
      <c r="C32" s="5" t="s">
        <v>362</v>
      </c>
      <c r="D32" s="5" t="s">
        <v>48</v>
      </c>
      <c r="E32" s="5" t="s">
        <v>156</v>
      </c>
      <c r="F32" s="5" t="s">
        <v>251</v>
      </c>
      <c r="G32" s="5" t="s">
        <v>239</v>
      </c>
      <c r="H32" s="6">
        <v>35102</v>
      </c>
      <c r="I32" s="5" t="s">
        <v>241</v>
      </c>
      <c r="J32" s="5" t="s">
        <v>242</v>
      </c>
      <c r="K32" s="5" t="s">
        <v>295</v>
      </c>
      <c r="L32" s="5" t="s">
        <v>363</v>
      </c>
      <c r="M32" s="5">
        <v>19</v>
      </c>
      <c r="N32" s="5">
        <v>45</v>
      </c>
      <c r="O32" s="5">
        <v>20</v>
      </c>
      <c r="P32" s="5">
        <v>684</v>
      </c>
      <c r="Q32" s="5">
        <v>4</v>
      </c>
      <c r="R32" s="5" t="s">
        <v>245</v>
      </c>
      <c r="S32" s="5" t="s">
        <v>246</v>
      </c>
      <c r="T32" s="5" t="s">
        <v>264</v>
      </c>
      <c r="U32" s="5">
        <v>9372748661</v>
      </c>
      <c r="V32" s="8" t="s">
        <v>265</v>
      </c>
      <c r="W32" t="str">
        <f t="shared" si="0"/>
        <v>Blacklisted</v>
      </c>
      <c r="X32" t="str">
        <f t="shared" si="1"/>
        <v>Kavya Nair</v>
      </c>
      <c r="Y32" t="str">
        <f t="shared" si="2"/>
        <v>Kav008Be</v>
      </c>
      <c r="Z32" t="str">
        <f t="shared" si="5"/>
        <v>kavya.nair@company.com</v>
      </c>
      <c r="AA32">
        <f t="shared" ca="1" si="6"/>
        <v>45</v>
      </c>
      <c r="AB32">
        <f t="shared" si="3"/>
        <v>10</v>
      </c>
      <c r="AC32" t="str">
        <f t="shared" si="4"/>
        <v>Delayed</v>
      </c>
    </row>
    <row r="33" spans="1:29">
      <c r="A33" s="34" t="s">
        <v>364</v>
      </c>
      <c r="B33" s="10" t="s">
        <v>284</v>
      </c>
      <c r="C33" s="10" t="s">
        <v>258</v>
      </c>
      <c r="D33" s="11">
        <v>45664</v>
      </c>
      <c r="E33" s="10" t="s">
        <v>365</v>
      </c>
      <c r="F33" s="10" t="s">
        <v>285</v>
      </c>
      <c r="G33" s="10" t="s">
        <v>239</v>
      </c>
      <c r="H33" s="10" t="s">
        <v>366</v>
      </c>
      <c r="I33" s="10" t="s">
        <v>306</v>
      </c>
      <c r="J33" s="10" t="s">
        <v>287</v>
      </c>
      <c r="K33" s="10" t="s">
        <v>243</v>
      </c>
      <c r="L33" s="10" t="s">
        <v>262</v>
      </c>
      <c r="M33" s="10">
        <v>11</v>
      </c>
      <c r="N33" s="10">
        <v>12000</v>
      </c>
      <c r="O33" s="10">
        <v>0</v>
      </c>
      <c r="P33" s="10">
        <v>132000</v>
      </c>
      <c r="Q33" s="10">
        <v>3</v>
      </c>
      <c r="R33" s="10" t="s">
        <v>277</v>
      </c>
      <c r="S33" s="10" t="s">
        <v>255</v>
      </c>
      <c r="T33" s="10" t="s">
        <v>308</v>
      </c>
      <c r="U33" s="10">
        <v>9570437805</v>
      </c>
      <c r="V33" s="12" t="s">
        <v>248</v>
      </c>
      <c r="W33" t="str">
        <f t="shared" si="0"/>
        <v/>
      </c>
      <c r="X33" t="str">
        <f t="shared" si="1"/>
        <v>Priya Patel</v>
      </c>
      <c r="Y33" t="str">
        <f t="shared" si="2"/>
        <v>Pri002Ah</v>
      </c>
      <c r="Z33" t="str">
        <f t="shared" si="5"/>
        <v>priya.patel@company.com</v>
      </c>
      <c r="AA33">
        <f t="shared" ca="1" si="6"/>
        <v>30</v>
      </c>
      <c r="AB33" t="str">
        <f t="shared" si="3"/>
        <v/>
      </c>
      <c r="AC33" t="str">
        <f t="shared" si="4"/>
        <v>Delayed</v>
      </c>
    </row>
    <row r="34" spans="1:29">
      <c r="A34" s="33" t="s">
        <v>367</v>
      </c>
      <c r="B34" s="5" t="s">
        <v>358</v>
      </c>
      <c r="C34" s="5" t="s">
        <v>250</v>
      </c>
      <c r="D34" s="6">
        <v>45841</v>
      </c>
      <c r="E34" s="5" t="s">
        <v>304</v>
      </c>
      <c r="F34" s="5" t="s">
        <v>359</v>
      </c>
      <c r="G34" s="5" t="s">
        <v>239</v>
      </c>
      <c r="H34" s="5" t="s">
        <v>368</v>
      </c>
      <c r="I34" s="5" t="s">
        <v>241</v>
      </c>
      <c r="J34" s="5" t="s">
        <v>242</v>
      </c>
      <c r="K34" s="5" t="s">
        <v>15</v>
      </c>
      <c r="L34" s="5" t="s">
        <v>253</v>
      </c>
      <c r="M34" s="5">
        <v>20</v>
      </c>
      <c r="N34" s="5">
        <v>2200</v>
      </c>
      <c r="O34" s="5">
        <v>5</v>
      </c>
      <c r="P34" s="5">
        <v>41800</v>
      </c>
      <c r="Q34" s="5">
        <v>1</v>
      </c>
      <c r="R34" s="5" t="s">
        <v>254</v>
      </c>
      <c r="S34" s="5" t="s">
        <v>263</v>
      </c>
      <c r="T34" s="5" t="s">
        <v>360</v>
      </c>
      <c r="U34" s="5">
        <v>9310669113</v>
      </c>
      <c r="V34" s="8" t="s">
        <v>248</v>
      </c>
      <c r="W34" t="str">
        <f t="shared" si="0"/>
        <v>Blacklisted</v>
      </c>
      <c r="X34" t="str">
        <f t="shared" si="1"/>
        <v>Sneha Joshi</v>
      </c>
      <c r="Y34" t="str">
        <f t="shared" si="2"/>
        <v>Sne006Be</v>
      </c>
      <c r="Z34" t="str">
        <f t="shared" si="5"/>
        <v>sneha.joshi@company.com</v>
      </c>
      <c r="AA34" t="str">
        <f t="shared" ca="1" si="6"/>
        <v/>
      </c>
      <c r="AB34" t="str">
        <f t="shared" si="3"/>
        <v/>
      </c>
      <c r="AC34" t="str">
        <f t="shared" si="4"/>
        <v>Delayed</v>
      </c>
    </row>
    <row r="35" spans="1:29">
      <c r="A35" s="34" t="s">
        <v>369</v>
      </c>
      <c r="B35" s="10" t="s">
        <v>275</v>
      </c>
      <c r="C35" s="10" t="s">
        <v>347</v>
      </c>
      <c r="D35" s="10" t="s">
        <v>134</v>
      </c>
      <c r="E35" s="11">
        <v>45754</v>
      </c>
      <c r="F35" s="10" t="s">
        <v>328</v>
      </c>
      <c r="G35" s="10" t="s">
        <v>269</v>
      </c>
      <c r="H35" s="10" t="s">
        <v>370</v>
      </c>
      <c r="I35" s="10" t="s">
        <v>306</v>
      </c>
      <c r="J35" s="10" t="s">
        <v>287</v>
      </c>
      <c r="K35" s="10" t="s">
        <v>295</v>
      </c>
      <c r="L35" s="10" t="s">
        <v>349</v>
      </c>
      <c r="M35" s="10">
        <v>3</v>
      </c>
      <c r="N35" s="10">
        <v>20</v>
      </c>
      <c r="O35" s="10">
        <v>0</v>
      </c>
      <c r="P35" s="10">
        <v>60</v>
      </c>
      <c r="Q35" s="10">
        <v>2</v>
      </c>
      <c r="R35" s="10" t="s">
        <v>272</v>
      </c>
      <c r="S35" s="10" t="s">
        <v>255</v>
      </c>
      <c r="T35" s="10" t="s">
        <v>371</v>
      </c>
      <c r="U35" s="10">
        <v>9437132894</v>
      </c>
      <c r="V35" s="12" t="s">
        <v>265</v>
      </c>
      <c r="W35" t="str">
        <f t="shared" si="0"/>
        <v>Blacklisted</v>
      </c>
      <c r="X35" t="str">
        <f t="shared" si="1"/>
        <v>Arjun Rao</v>
      </c>
      <c r="Y35" t="str">
        <f t="shared" si="2"/>
        <v>Arj007Ah</v>
      </c>
      <c r="Z35" t="str">
        <f t="shared" si="5"/>
        <v>invalid email</v>
      </c>
      <c r="AA35" t="str">
        <f t="shared" ca="1" si="6"/>
        <v/>
      </c>
      <c r="AB35" t="str">
        <f t="shared" si="3"/>
        <v/>
      </c>
      <c r="AC35" t="str">
        <f t="shared" si="4"/>
        <v>Delayed</v>
      </c>
    </row>
    <row r="36" spans="1:29">
      <c r="A36" s="33" t="s">
        <v>372</v>
      </c>
      <c r="B36" s="5" t="s">
        <v>299</v>
      </c>
      <c r="C36" s="5" t="s">
        <v>362</v>
      </c>
      <c r="D36" s="6">
        <v>45910</v>
      </c>
      <c r="E36" s="5" t="s">
        <v>84</v>
      </c>
      <c r="F36" s="5" t="s">
        <v>301</v>
      </c>
      <c r="G36" s="5" t="s">
        <v>269</v>
      </c>
      <c r="H36" s="5" t="s">
        <v>373</v>
      </c>
      <c r="I36" s="5" t="s">
        <v>291</v>
      </c>
      <c r="J36" s="5" t="s">
        <v>287</v>
      </c>
      <c r="K36" s="5" t="s">
        <v>295</v>
      </c>
      <c r="L36" s="5" t="s">
        <v>363</v>
      </c>
      <c r="M36" s="5">
        <v>18</v>
      </c>
      <c r="N36" s="5">
        <v>45</v>
      </c>
      <c r="O36" s="5">
        <v>20</v>
      </c>
      <c r="P36" s="5">
        <v>648</v>
      </c>
      <c r="Q36" s="5">
        <v>4</v>
      </c>
      <c r="R36" s="5" t="s">
        <v>245</v>
      </c>
      <c r="S36" s="5" t="s">
        <v>255</v>
      </c>
      <c r="T36" s="5" t="s">
        <v>302</v>
      </c>
      <c r="U36" s="5">
        <v>9762437243</v>
      </c>
      <c r="V36" s="8" t="s">
        <v>265</v>
      </c>
      <c r="W36" t="str">
        <f t="shared" si="0"/>
        <v>Blacklisted</v>
      </c>
      <c r="X36" t="str">
        <f t="shared" si="1"/>
        <v>Rohit Singh</v>
      </c>
      <c r="Y36" t="str">
        <f t="shared" si="2"/>
        <v>Roh003Pu</v>
      </c>
      <c r="Z36" t="str">
        <f t="shared" si="5"/>
        <v>rohit.singh@company.com</v>
      </c>
      <c r="AA36" t="str">
        <f t="shared" ca="1" si="6"/>
        <v/>
      </c>
      <c r="AB36" t="str">
        <f t="shared" si="3"/>
        <v/>
      </c>
      <c r="AC36" t="str">
        <f t="shared" si="4"/>
        <v>Delayed</v>
      </c>
    </row>
    <row r="37" spans="1:29">
      <c r="A37" s="34" t="s">
        <v>374</v>
      </c>
      <c r="B37" s="10" t="s">
        <v>299</v>
      </c>
      <c r="C37" s="10" t="s">
        <v>267</v>
      </c>
      <c r="D37" s="10" t="s">
        <v>85</v>
      </c>
      <c r="E37" s="10" t="s">
        <v>375</v>
      </c>
      <c r="F37" s="10" t="s">
        <v>301</v>
      </c>
      <c r="G37" s="10" t="s">
        <v>269</v>
      </c>
      <c r="H37" s="11">
        <v>29043</v>
      </c>
      <c r="I37" s="10" t="s">
        <v>241</v>
      </c>
      <c r="J37" s="10" t="s">
        <v>242</v>
      </c>
      <c r="K37" s="10" t="s">
        <v>243</v>
      </c>
      <c r="L37" s="10" t="s">
        <v>271</v>
      </c>
      <c r="M37" s="10">
        <v>4</v>
      </c>
      <c r="N37" s="10">
        <v>1200</v>
      </c>
      <c r="O37" s="10">
        <v>20</v>
      </c>
      <c r="P37" s="10">
        <v>3840</v>
      </c>
      <c r="Q37" s="10">
        <v>3</v>
      </c>
      <c r="R37" s="10" t="s">
        <v>245</v>
      </c>
      <c r="S37" s="10" t="s">
        <v>246</v>
      </c>
      <c r="T37" s="10" t="s">
        <v>302</v>
      </c>
      <c r="U37" s="10">
        <v>9149046970</v>
      </c>
      <c r="V37" s="12" t="s">
        <v>257</v>
      </c>
      <c r="W37" t="str">
        <f t="shared" si="0"/>
        <v>Silver</v>
      </c>
      <c r="X37" t="str">
        <f t="shared" si="1"/>
        <v>Rohit Singh</v>
      </c>
      <c r="Y37" t="str">
        <f>LEFT(F37,3)&amp;MID(B37,2,3)&amp;LEFT(I37,2)</f>
        <v>Roh003Be</v>
      </c>
      <c r="Z37" t="str">
        <f t="shared" si="5"/>
        <v>rohit.singh@company.com</v>
      </c>
      <c r="AA37" t="str">
        <f t="shared" ca="1" si="6"/>
        <v/>
      </c>
      <c r="AB37">
        <f t="shared" si="3"/>
        <v>7</v>
      </c>
      <c r="AC37" t="str">
        <f t="shared" si="4"/>
        <v>Delayed</v>
      </c>
    </row>
    <row r="38" spans="1:29">
      <c r="A38" s="33" t="s">
        <v>376</v>
      </c>
      <c r="B38" s="5" t="s">
        <v>266</v>
      </c>
      <c r="C38" s="5" t="s">
        <v>236</v>
      </c>
      <c r="D38" s="6">
        <v>45788</v>
      </c>
      <c r="E38" s="5" t="s">
        <v>377</v>
      </c>
      <c r="F38" s="5" t="s">
        <v>268</v>
      </c>
      <c r="G38" s="5" t="s">
        <v>269</v>
      </c>
      <c r="H38" s="5" t="s">
        <v>378</v>
      </c>
      <c r="I38" s="5" t="s">
        <v>379</v>
      </c>
      <c r="J38" s="5" t="s">
        <v>21</v>
      </c>
      <c r="K38" s="5" t="s">
        <v>243</v>
      </c>
      <c r="L38" s="5" t="s">
        <v>244</v>
      </c>
      <c r="M38" s="5">
        <v>10</v>
      </c>
      <c r="N38" s="5">
        <v>55000</v>
      </c>
      <c r="O38" s="5">
        <v>0</v>
      </c>
      <c r="P38" s="5">
        <v>550000</v>
      </c>
      <c r="Q38" s="5">
        <v>1</v>
      </c>
      <c r="R38" s="5" t="s">
        <v>277</v>
      </c>
      <c r="S38" s="5" t="s">
        <v>263</v>
      </c>
      <c r="T38" s="5" t="s">
        <v>273</v>
      </c>
      <c r="U38" s="5">
        <v>9869182901</v>
      </c>
      <c r="V38" s="8" t="s">
        <v>265</v>
      </c>
      <c r="W38" t="str">
        <f t="shared" si="0"/>
        <v>Blacklisted</v>
      </c>
      <c r="X38" t="str">
        <f t="shared" si="1"/>
        <v>Mohit Verma</v>
      </c>
      <c r="Y38" t="str">
        <f t="shared" si="2"/>
        <v>Moh009Ko</v>
      </c>
      <c r="Z38" t="str">
        <f t="shared" si="5"/>
        <v>mohit.verma@company.com</v>
      </c>
      <c r="AA38">
        <f t="shared" ca="1" si="6"/>
        <v>47</v>
      </c>
      <c r="AB38" t="str">
        <f t="shared" si="3"/>
        <v/>
      </c>
      <c r="AC38" t="str">
        <f t="shared" si="4"/>
        <v>Delayed</v>
      </c>
    </row>
    <row r="39" spans="1:29">
      <c r="A39" s="34" t="s">
        <v>380</v>
      </c>
      <c r="B39" s="10" t="s">
        <v>358</v>
      </c>
      <c r="C39" s="10" t="s">
        <v>280</v>
      </c>
      <c r="D39" s="11">
        <v>46237</v>
      </c>
      <c r="E39" s="10" t="s">
        <v>354</v>
      </c>
      <c r="F39" s="10" t="s">
        <v>359</v>
      </c>
      <c r="G39" s="10" t="s">
        <v>239</v>
      </c>
      <c r="H39" s="10" t="s">
        <v>381</v>
      </c>
      <c r="I39" s="10" t="s">
        <v>260</v>
      </c>
      <c r="J39" s="10" t="s">
        <v>261</v>
      </c>
      <c r="K39" s="10" t="s">
        <v>15</v>
      </c>
      <c r="L39" s="10" t="s">
        <v>282</v>
      </c>
      <c r="M39" s="10">
        <v>20</v>
      </c>
      <c r="N39" s="10">
        <v>3500</v>
      </c>
      <c r="O39" s="10">
        <v>10</v>
      </c>
      <c r="P39" s="10">
        <v>63000</v>
      </c>
      <c r="Q39" s="10">
        <v>3</v>
      </c>
      <c r="R39" s="10" t="s">
        <v>272</v>
      </c>
      <c r="S39" s="10" t="s">
        <v>263</v>
      </c>
      <c r="T39" s="10" t="s">
        <v>360</v>
      </c>
      <c r="U39" s="10">
        <v>9283578533</v>
      </c>
      <c r="V39" s="12" t="s">
        <v>265</v>
      </c>
      <c r="W39" t="str">
        <f t="shared" si="0"/>
        <v>Blacklisted</v>
      </c>
      <c r="X39" t="str">
        <f t="shared" si="1"/>
        <v>Sneha Joshi</v>
      </c>
      <c r="Y39" t="str">
        <f t="shared" si="2"/>
        <v>Sne006De</v>
      </c>
      <c r="Z39" t="str">
        <f t="shared" si="5"/>
        <v>sneha.joshi@company.com</v>
      </c>
      <c r="AA39" t="str">
        <f t="shared" ca="1" si="6"/>
        <v/>
      </c>
      <c r="AB39" t="str">
        <f t="shared" si="3"/>
        <v/>
      </c>
      <c r="AC39" t="str">
        <f t="shared" si="4"/>
        <v>Delayed</v>
      </c>
    </row>
    <row r="40" spans="1:29">
      <c r="A40" s="33" t="s">
        <v>382</v>
      </c>
      <c r="B40" s="5" t="s">
        <v>249</v>
      </c>
      <c r="C40" s="5" t="s">
        <v>347</v>
      </c>
      <c r="D40" s="5" t="s">
        <v>7</v>
      </c>
      <c r="E40" s="5" t="s">
        <v>75</v>
      </c>
      <c r="F40" s="5" t="s">
        <v>251</v>
      </c>
      <c r="G40" s="5" t="s">
        <v>239</v>
      </c>
      <c r="H40" s="5" t="s">
        <v>383</v>
      </c>
      <c r="I40" s="5" t="s">
        <v>291</v>
      </c>
      <c r="J40" s="5" t="s">
        <v>287</v>
      </c>
      <c r="K40" s="5" t="s">
        <v>295</v>
      </c>
      <c r="L40" s="5" t="s">
        <v>349</v>
      </c>
      <c r="M40" s="5">
        <v>5</v>
      </c>
      <c r="N40" s="5">
        <v>1200</v>
      </c>
      <c r="O40" s="5">
        <v>0</v>
      </c>
      <c r="P40" s="5">
        <v>100</v>
      </c>
      <c r="Q40" s="5">
        <v>1</v>
      </c>
      <c r="R40" s="5" t="s">
        <v>254</v>
      </c>
      <c r="S40" s="5" t="s">
        <v>263</v>
      </c>
      <c r="T40" s="5" t="s">
        <v>264</v>
      </c>
      <c r="U40" s="5">
        <v>9963005771</v>
      </c>
      <c r="V40" s="8" t="s">
        <v>265</v>
      </c>
      <c r="W40" t="str">
        <f t="shared" si="0"/>
        <v>Blacklisted</v>
      </c>
      <c r="X40" t="str">
        <f t="shared" si="1"/>
        <v>Kavya Nair</v>
      </c>
      <c r="Y40" t="str">
        <f t="shared" si="2"/>
        <v>Kav008Pu</v>
      </c>
      <c r="Z40" t="str">
        <f t="shared" si="5"/>
        <v>kavya.nair@company.com</v>
      </c>
      <c r="AA40" t="str">
        <f t="shared" ca="1" si="6"/>
        <v/>
      </c>
      <c r="AB40">
        <f t="shared" si="3"/>
        <v>6</v>
      </c>
      <c r="AC40" t="str">
        <f t="shared" si="4"/>
        <v>Delayed</v>
      </c>
    </row>
    <row r="41" spans="1:29">
      <c r="A41" s="34" t="s">
        <v>384</v>
      </c>
      <c r="B41" s="10" t="s">
        <v>235</v>
      </c>
      <c r="C41" s="10" t="s">
        <v>322</v>
      </c>
      <c r="D41" s="11">
        <v>45787</v>
      </c>
      <c r="E41" s="10" t="s">
        <v>37</v>
      </c>
      <c r="F41" s="10" t="s">
        <v>318</v>
      </c>
      <c r="G41" s="10" t="s">
        <v>239</v>
      </c>
      <c r="H41" s="10" t="s">
        <v>385</v>
      </c>
      <c r="I41" s="10" t="s">
        <v>286</v>
      </c>
      <c r="J41" s="10" t="s">
        <v>287</v>
      </c>
      <c r="K41" s="10" t="s">
        <v>15</v>
      </c>
      <c r="L41" s="10" t="s">
        <v>325</v>
      </c>
      <c r="M41" s="10">
        <v>20</v>
      </c>
      <c r="N41" s="10">
        <v>8500</v>
      </c>
      <c r="O41" s="10">
        <v>0</v>
      </c>
      <c r="P41" s="10">
        <v>170000</v>
      </c>
      <c r="Q41" s="10">
        <v>1</v>
      </c>
      <c r="R41" s="10" t="s">
        <v>277</v>
      </c>
      <c r="S41" s="10" t="s">
        <v>292</v>
      </c>
      <c r="T41" s="10" t="s">
        <v>247</v>
      </c>
      <c r="U41" s="10">
        <v>9484632635</v>
      </c>
      <c r="V41" s="12" t="s">
        <v>265</v>
      </c>
      <c r="W41" t="str">
        <f t="shared" si="0"/>
        <v>Blacklisted</v>
      </c>
      <c r="X41" t="str">
        <f t="shared" si="1"/>
        <v>Pooja Shah</v>
      </c>
      <c r="Y41" t="str">
        <f t="shared" si="2"/>
        <v>Poo010Mu</v>
      </c>
      <c r="Z41" t="str">
        <f t="shared" si="5"/>
        <v>pooja.shah@company.com</v>
      </c>
      <c r="AA41" t="str">
        <f t="shared" ca="1" si="6"/>
        <v/>
      </c>
      <c r="AB41" t="str">
        <f t="shared" si="3"/>
        <v/>
      </c>
      <c r="AC41" t="str">
        <f t="shared" si="4"/>
        <v>Delayed</v>
      </c>
    </row>
    <row r="42" spans="1:29">
      <c r="A42" s="33" t="s">
        <v>386</v>
      </c>
      <c r="B42" s="5" t="s">
        <v>275</v>
      </c>
      <c r="C42" s="5" t="s">
        <v>294</v>
      </c>
      <c r="D42" s="6">
        <v>46297</v>
      </c>
      <c r="E42" s="6">
        <v>46358</v>
      </c>
      <c r="F42" s="5" t="s">
        <v>328</v>
      </c>
      <c r="G42" s="5" t="s">
        <v>269</v>
      </c>
      <c r="H42" s="6">
        <v>34491</v>
      </c>
      <c r="I42" s="5" t="s">
        <v>241</v>
      </c>
      <c r="J42" s="5" t="s">
        <v>242</v>
      </c>
      <c r="K42" s="5" t="s">
        <v>295</v>
      </c>
      <c r="L42" s="5" t="s">
        <v>296</v>
      </c>
      <c r="M42" s="5">
        <v>8</v>
      </c>
      <c r="N42" s="5">
        <v>60</v>
      </c>
      <c r="O42" s="5">
        <v>15</v>
      </c>
      <c r="P42" s="5">
        <v>408</v>
      </c>
      <c r="Q42" s="5">
        <v>5</v>
      </c>
      <c r="R42" s="5" t="s">
        <v>277</v>
      </c>
      <c r="S42" s="5" t="s">
        <v>263</v>
      </c>
      <c r="T42" s="5" t="s">
        <v>278</v>
      </c>
      <c r="U42" s="5">
        <v>9276319484</v>
      </c>
      <c r="V42" s="8" t="s">
        <v>248</v>
      </c>
      <c r="W42" t="str">
        <f t="shared" si="0"/>
        <v/>
      </c>
      <c r="X42" t="str">
        <f t="shared" si="1"/>
        <v>Arjun Rao</v>
      </c>
      <c r="Y42" t="str">
        <f t="shared" si="2"/>
        <v>Arj007Be</v>
      </c>
      <c r="Z42" t="str">
        <f t="shared" si="5"/>
        <v>arjun.rao@company.com</v>
      </c>
      <c r="AA42" t="str">
        <f t="shared" ca="1" si="6"/>
        <v/>
      </c>
      <c r="AB42" t="str">
        <f t="shared" si="3"/>
        <v/>
      </c>
      <c r="AC42" t="str">
        <f t="shared" si="4"/>
        <v>Delayed</v>
      </c>
    </row>
    <row r="43" spans="1:29">
      <c r="A43" s="34" t="s">
        <v>387</v>
      </c>
      <c r="B43" s="10" t="s">
        <v>235</v>
      </c>
      <c r="C43" s="10" t="s">
        <v>280</v>
      </c>
      <c r="D43" s="11">
        <v>45753</v>
      </c>
      <c r="E43" s="10" t="s">
        <v>48</v>
      </c>
      <c r="F43" s="10" t="s">
        <v>318</v>
      </c>
      <c r="G43" s="10" t="s">
        <v>239</v>
      </c>
      <c r="H43" s="10" t="s">
        <v>388</v>
      </c>
      <c r="I43" s="10" t="s">
        <v>291</v>
      </c>
      <c r="J43" s="10" t="s">
        <v>287</v>
      </c>
      <c r="K43" s="10" t="s">
        <v>15</v>
      </c>
      <c r="L43" s="10" t="s">
        <v>282</v>
      </c>
      <c r="M43" s="10">
        <v>8</v>
      </c>
      <c r="N43" s="10">
        <v>3500</v>
      </c>
      <c r="O43" s="10">
        <v>5</v>
      </c>
      <c r="P43" s="10">
        <v>26600</v>
      </c>
      <c r="Q43" s="10">
        <v>1</v>
      </c>
      <c r="R43" s="10" t="s">
        <v>272</v>
      </c>
      <c r="S43" s="10" t="s">
        <v>292</v>
      </c>
      <c r="T43" s="10" t="s">
        <v>247</v>
      </c>
      <c r="U43" s="10">
        <v>9619034852</v>
      </c>
      <c r="V43" s="12" t="s">
        <v>248</v>
      </c>
      <c r="W43" t="str">
        <f t="shared" si="0"/>
        <v>Blacklisted</v>
      </c>
      <c r="X43" t="str">
        <f t="shared" si="1"/>
        <v>Pooja Shah</v>
      </c>
      <c r="Y43" t="str">
        <f t="shared" si="2"/>
        <v>Poo010Pu</v>
      </c>
      <c r="Z43" t="str">
        <f t="shared" si="5"/>
        <v>pooja.shah@company.com</v>
      </c>
      <c r="AA43">
        <f t="shared" ca="1" si="6"/>
        <v>32</v>
      </c>
      <c r="AB43" t="str">
        <f t="shared" si="3"/>
        <v/>
      </c>
      <c r="AC43" t="str">
        <f t="shared" si="4"/>
        <v>Delayed</v>
      </c>
    </row>
    <row r="44" spans="1:29">
      <c r="A44" s="33" t="s">
        <v>389</v>
      </c>
      <c r="B44" s="5" t="s">
        <v>266</v>
      </c>
      <c r="C44" s="5" t="s">
        <v>322</v>
      </c>
      <c r="D44" s="6">
        <v>46236</v>
      </c>
      <c r="E44" s="5" t="s">
        <v>24</v>
      </c>
      <c r="F44" s="5" t="s">
        <v>268</v>
      </c>
      <c r="G44" s="5" t="s">
        <v>269</v>
      </c>
      <c r="H44" s="5" t="s">
        <v>390</v>
      </c>
      <c r="I44" s="5" t="s">
        <v>342</v>
      </c>
      <c r="J44" s="5" t="s">
        <v>261</v>
      </c>
      <c r="K44" s="5" t="s">
        <v>15</v>
      </c>
      <c r="L44" s="5" t="s">
        <v>325</v>
      </c>
      <c r="M44" s="5">
        <v>1</v>
      </c>
      <c r="N44" s="5">
        <v>8500</v>
      </c>
      <c r="O44" s="5">
        <v>0</v>
      </c>
      <c r="P44" s="5">
        <v>8500</v>
      </c>
      <c r="Q44" s="5">
        <v>2</v>
      </c>
      <c r="R44" s="5" t="s">
        <v>272</v>
      </c>
      <c r="S44" s="5" t="s">
        <v>292</v>
      </c>
      <c r="T44" s="5" t="s">
        <v>273</v>
      </c>
      <c r="U44" s="5">
        <v>9636416962</v>
      </c>
      <c r="V44" s="8" t="s">
        <v>248</v>
      </c>
      <c r="W44" t="str">
        <f t="shared" si="0"/>
        <v>Blacklisted</v>
      </c>
      <c r="X44" t="str">
        <f t="shared" si="1"/>
        <v>Mohit Verma</v>
      </c>
      <c r="Y44" t="str">
        <f t="shared" si="2"/>
        <v>Moh009Ja</v>
      </c>
      <c r="Z44" t="str">
        <f t="shared" si="5"/>
        <v>mohit.verma@company.com</v>
      </c>
      <c r="AA44" t="str">
        <f t="shared" ca="1" si="6"/>
        <v/>
      </c>
      <c r="AB44" t="str">
        <f t="shared" si="3"/>
        <v/>
      </c>
      <c r="AC44" t="str">
        <f t="shared" si="4"/>
        <v>Delayed</v>
      </c>
    </row>
    <row r="45" spans="1:29">
      <c r="A45" s="34" t="s">
        <v>391</v>
      </c>
      <c r="B45" s="10" t="s">
        <v>392</v>
      </c>
      <c r="C45" s="10" t="s">
        <v>362</v>
      </c>
      <c r="D45" s="10" t="s">
        <v>195</v>
      </c>
      <c r="E45" s="10" t="s">
        <v>393</v>
      </c>
      <c r="F45" s="10" t="s">
        <v>394</v>
      </c>
      <c r="G45" s="10" t="s">
        <v>269</v>
      </c>
      <c r="H45" s="11">
        <v>33489</v>
      </c>
      <c r="I45" s="10" t="s">
        <v>291</v>
      </c>
      <c r="J45" s="10" t="s">
        <v>287</v>
      </c>
      <c r="K45" s="10" t="s">
        <v>295</v>
      </c>
      <c r="L45" s="10" t="s">
        <v>363</v>
      </c>
      <c r="M45" s="10">
        <v>8</v>
      </c>
      <c r="N45" s="10">
        <v>45</v>
      </c>
      <c r="O45" s="10">
        <v>15</v>
      </c>
      <c r="P45" s="10">
        <v>306</v>
      </c>
      <c r="Q45" s="10">
        <v>2</v>
      </c>
      <c r="R45" s="10" t="s">
        <v>272</v>
      </c>
      <c r="S45" s="10" t="s">
        <v>246</v>
      </c>
      <c r="T45" s="10" t="s">
        <v>395</v>
      </c>
      <c r="U45" s="10">
        <v>9357133880</v>
      </c>
      <c r="V45" s="12" t="s">
        <v>257</v>
      </c>
      <c r="W45" t="str">
        <f t="shared" si="0"/>
        <v>Blacklisted</v>
      </c>
      <c r="X45" t="str">
        <f t="shared" si="1"/>
        <v>Amit Sharma</v>
      </c>
      <c r="Y45" t="str">
        <f t="shared" si="2"/>
        <v>ami001Pu</v>
      </c>
      <c r="Z45" t="str">
        <f t="shared" si="5"/>
        <v>amit.sharma@company.com</v>
      </c>
      <c r="AA45" t="str">
        <f t="shared" ca="1" si="6"/>
        <v/>
      </c>
      <c r="AB45">
        <f t="shared" si="3"/>
        <v>1</v>
      </c>
      <c r="AC45" t="str">
        <f t="shared" si="4"/>
        <v>On time</v>
      </c>
    </row>
    <row r="46" spans="1:29">
      <c r="A46" s="33" t="s">
        <v>396</v>
      </c>
      <c r="B46" s="5" t="s">
        <v>358</v>
      </c>
      <c r="C46" s="5" t="s">
        <v>250</v>
      </c>
      <c r="D46" s="5" t="s">
        <v>141</v>
      </c>
      <c r="E46" s="5" t="s">
        <v>178</v>
      </c>
      <c r="F46" s="5" t="s">
        <v>359</v>
      </c>
      <c r="G46" s="5" t="s">
        <v>239</v>
      </c>
      <c r="H46" s="5" t="s">
        <v>397</v>
      </c>
      <c r="I46" s="5" t="s">
        <v>291</v>
      </c>
      <c r="J46" s="5" t="s">
        <v>287</v>
      </c>
      <c r="K46" s="5" t="s">
        <v>15</v>
      </c>
      <c r="L46" s="5" t="s">
        <v>253</v>
      </c>
      <c r="M46" s="5">
        <v>16</v>
      </c>
      <c r="N46" s="5">
        <v>2200</v>
      </c>
      <c r="O46" s="5">
        <v>5</v>
      </c>
      <c r="P46" s="5">
        <v>33440</v>
      </c>
      <c r="Q46" s="5">
        <v>5</v>
      </c>
      <c r="R46" s="5" t="s">
        <v>272</v>
      </c>
      <c r="S46" s="5" t="s">
        <v>246</v>
      </c>
      <c r="T46" s="5" t="s">
        <v>360</v>
      </c>
      <c r="U46" s="5">
        <v>9575210324</v>
      </c>
      <c r="V46" s="8" t="s">
        <v>265</v>
      </c>
      <c r="W46" t="str">
        <f t="shared" si="0"/>
        <v>Blacklisted</v>
      </c>
      <c r="X46" t="str">
        <f t="shared" si="1"/>
        <v>Sneha Joshi</v>
      </c>
      <c r="Y46" t="str">
        <f t="shared" si="2"/>
        <v>Sne006Pu</v>
      </c>
      <c r="Z46" t="str">
        <f t="shared" si="5"/>
        <v>sneha.joshi@company.com</v>
      </c>
      <c r="AA46">
        <f t="shared" ca="1" si="6"/>
        <v>35</v>
      </c>
      <c r="AB46">
        <f t="shared" si="3"/>
        <v>3</v>
      </c>
      <c r="AC46" t="str">
        <f t="shared" si="4"/>
        <v>On time</v>
      </c>
    </row>
    <row r="47" spans="1:29">
      <c r="A47" s="34" t="s">
        <v>398</v>
      </c>
      <c r="B47" s="10" t="s">
        <v>266</v>
      </c>
      <c r="C47" s="10" t="s">
        <v>280</v>
      </c>
      <c r="D47" s="10" t="s">
        <v>20</v>
      </c>
      <c r="E47" s="10" t="s">
        <v>126</v>
      </c>
      <c r="F47" s="10" t="s">
        <v>268</v>
      </c>
      <c r="G47" s="10" t="s">
        <v>269</v>
      </c>
      <c r="H47" s="10" t="s">
        <v>399</v>
      </c>
      <c r="I47" s="10" t="s">
        <v>241</v>
      </c>
      <c r="J47" s="10" t="s">
        <v>242</v>
      </c>
      <c r="K47" s="10" t="s">
        <v>15</v>
      </c>
      <c r="L47" s="10" t="s">
        <v>282</v>
      </c>
      <c r="M47" s="10">
        <v>19</v>
      </c>
      <c r="N47" s="10">
        <v>3500</v>
      </c>
      <c r="O47" s="10">
        <v>20</v>
      </c>
      <c r="P47" s="10">
        <v>53200</v>
      </c>
      <c r="Q47" s="10">
        <v>3</v>
      </c>
      <c r="R47" s="10" t="s">
        <v>254</v>
      </c>
      <c r="S47" s="10" t="s">
        <v>312</v>
      </c>
      <c r="T47" s="10" t="s">
        <v>273</v>
      </c>
      <c r="U47" s="10">
        <v>9276080204</v>
      </c>
      <c r="V47" s="12" t="s">
        <v>265</v>
      </c>
      <c r="W47" t="str">
        <f t="shared" si="0"/>
        <v>Blacklisted</v>
      </c>
      <c r="X47" t="str">
        <f t="shared" si="1"/>
        <v>Mohit Verma</v>
      </c>
      <c r="Y47" t="str">
        <f t="shared" si="2"/>
        <v>Moh009Be</v>
      </c>
      <c r="Z47" t="str">
        <f t="shared" si="5"/>
        <v>mohit.verma@company.com</v>
      </c>
      <c r="AA47" t="str">
        <f t="shared" ca="1" si="6"/>
        <v/>
      </c>
      <c r="AB47">
        <f t="shared" si="3"/>
        <v>10</v>
      </c>
      <c r="AC47" t="str">
        <f t="shared" si="4"/>
        <v>Delayed</v>
      </c>
    </row>
    <row r="48" spans="1:29">
      <c r="A48" s="33" t="s">
        <v>400</v>
      </c>
      <c r="B48" s="5" t="s">
        <v>358</v>
      </c>
      <c r="C48" s="5" t="s">
        <v>330</v>
      </c>
      <c r="D48" s="6">
        <v>45971</v>
      </c>
      <c r="E48" s="5" t="s">
        <v>401</v>
      </c>
      <c r="F48" s="5" t="s">
        <v>359</v>
      </c>
      <c r="G48" s="5" t="s">
        <v>239</v>
      </c>
      <c r="H48" s="6">
        <v>36684</v>
      </c>
      <c r="I48" s="5" t="s">
        <v>291</v>
      </c>
      <c r="J48" s="5" t="s">
        <v>287</v>
      </c>
      <c r="K48" s="5" t="s">
        <v>243</v>
      </c>
      <c r="L48" s="5" t="s">
        <v>333</v>
      </c>
      <c r="M48" s="5">
        <v>15</v>
      </c>
      <c r="N48" s="5">
        <v>700</v>
      </c>
      <c r="O48" s="5">
        <v>15</v>
      </c>
      <c r="P48" s="5">
        <v>8925</v>
      </c>
      <c r="Q48" s="5">
        <v>4</v>
      </c>
      <c r="R48" s="5" t="s">
        <v>277</v>
      </c>
      <c r="S48" s="5" t="s">
        <v>292</v>
      </c>
      <c r="T48" s="5" t="s">
        <v>402</v>
      </c>
      <c r="U48" s="5">
        <v>9856624471</v>
      </c>
      <c r="V48" s="8" t="s">
        <v>257</v>
      </c>
      <c r="W48" t="str">
        <f t="shared" si="0"/>
        <v>Silver</v>
      </c>
      <c r="X48" t="str">
        <f t="shared" si="1"/>
        <v>Sneha Joshi</v>
      </c>
      <c r="Y48" t="str">
        <f t="shared" si="2"/>
        <v>Sne006Pu</v>
      </c>
      <c r="Z48" t="str">
        <f t="shared" si="5"/>
        <v>invalid email</v>
      </c>
      <c r="AA48" t="str">
        <f t="shared" ca="1" si="6"/>
        <v/>
      </c>
      <c r="AB48" t="str">
        <f t="shared" si="3"/>
        <v/>
      </c>
      <c r="AC48" t="str">
        <f t="shared" si="4"/>
        <v>Delayed</v>
      </c>
    </row>
    <row r="49" spans="1:29">
      <c r="A49" s="34" t="s">
        <v>403</v>
      </c>
      <c r="B49" s="10" t="s">
        <v>358</v>
      </c>
      <c r="C49" s="10" t="s">
        <v>330</v>
      </c>
      <c r="D49" s="10" t="s">
        <v>171</v>
      </c>
      <c r="E49" s="11">
        <v>45728</v>
      </c>
      <c r="F49" s="10" t="s">
        <v>359</v>
      </c>
      <c r="G49" s="10" t="s">
        <v>239</v>
      </c>
      <c r="H49" s="10" t="s">
        <v>404</v>
      </c>
      <c r="I49" s="10" t="s">
        <v>342</v>
      </c>
      <c r="J49" s="10" t="s">
        <v>261</v>
      </c>
      <c r="K49" s="10" t="s">
        <v>243</v>
      </c>
      <c r="L49" s="10" t="s">
        <v>333</v>
      </c>
      <c r="M49" s="10">
        <v>19</v>
      </c>
      <c r="N49" s="10">
        <v>700</v>
      </c>
      <c r="O49" s="10">
        <v>20</v>
      </c>
      <c r="P49" s="10">
        <v>10640</v>
      </c>
      <c r="Q49" s="10">
        <v>1</v>
      </c>
      <c r="R49" s="10" t="s">
        <v>254</v>
      </c>
      <c r="S49" s="10" t="s">
        <v>292</v>
      </c>
      <c r="T49" s="10" t="s">
        <v>360</v>
      </c>
      <c r="U49" s="10">
        <v>9238141322</v>
      </c>
      <c r="V49" s="12" t="s">
        <v>257</v>
      </c>
      <c r="W49" t="str">
        <f t="shared" si="0"/>
        <v>Blacklisted</v>
      </c>
      <c r="X49" t="str">
        <f t="shared" si="1"/>
        <v>Sneha Joshi</v>
      </c>
      <c r="Y49" t="str">
        <f t="shared" si="2"/>
        <v>Sne006Ja</v>
      </c>
      <c r="Z49" t="str">
        <f t="shared" si="5"/>
        <v>sneha.joshi@company.com</v>
      </c>
      <c r="AA49">
        <f t="shared" ca="1" si="6"/>
        <v>26</v>
      </c>
      <c r="AB49" t="str">
        <f t="shared" si="3"/>
        <v/>
      </c>
      <c r="AC49" t="str">
        <f t="shared" si="4"/>
        <v>Delayed</v>
      </c>
    </row>
    <row r="50" spans="1:29">
      <c r="A50" s="33" t="s">
        <v>405</v>
      </c>
      <c r="B50" s="5" t="s">
        <v>266</v>
      </c>
      <c r="C50" s="5" t="s">
        <v>258</v>
      </c>
      <c r="D50" s="14" t="s">
        <v>78</v>
      </c>
      <c r="E50" s="5"/>
      <c r="F50" s="5" t="s">
        <v>268</v>
      </c>
      <c r="G50" s="5" t="s">
        <v>269</v>
      </c>
      <c r="H50" s="6">
        <v>35130</v>
      </c>
      <c r="I50" s="5" t="s">
        <v>260</v>
      </c>
      <c r="J50" s="5" t="s">
        <v>261</v>
      </c>
      <c r="K50" s="5" t="s">
        <v>243</v>
      </c>
      <c r="L50" s="5" t="s">
        <v>262</v>
      </c>
      <c r="M50" s="5">
        <v>19</v>
      </c>
      <c r="N50" s="5">
        <v>12000</v>
      </c>
      <c r="O50" s="5">
        <v>0</v>
      </c>
      <c r="P50" s="5">
        <v>228000</v>
      </c>
      <c r="Q50" s="5">
        <v>1</v>
      </c>
      <c r="R50" s="5" t="s">
        <v>245</v>
      </c>
      <c r="S50" s="5" t="s">
        <v>246</v>
      </c>
      <c r="T50" s="5" t="s">
        <v>273</v>
      </c>
      <c r="U50" s="5">
        <v>9890380030</v>
      </c>
      <c r="V50" s="8" t="s">
        <v>257</v>
      </c>
      <c r="W50" t="str">
        <f t="shared" si="0"/>
        <v>Blacklisted</v>
      </c>
      <c r="X50" t="str">
        <f t="shared" si="1"/>
        <v>Mohit Verma</v>
      </c>
      <c r="Y50" t="str">
        <f t="shared" si="2"/>
        <v>Moh009De</v>
      </c>
      <c r="Z50" t="str">
        <f t="shared" si="5"/>
        <v>mohit.verma@company.com</v>
      </c>
      <c r="AA50" t="str">
        <f t="shared" ca="1" si="6"/>
        <v/>
      </c>
      <c r="AB50" t="str">
        <f t="shared" si="3"/>
        <v/>
      </c>
      <c r="AC50" t="str">
        <f t="shared" si="4"/>
        <v>Pending</v>
      </c>
    </row>
    <row r="51" spans="1:29">
      <c r="A51" s="34" t="s">
        <v>406</v>
      </c>
      <c r="B51" s="10" t="s">
        <v>321</v>
      </c>
      <c r="C51" s="10" t="s">
        <v>267</v>
      </c>
      <c r="D51" s="10" t="s">
        <v>78</v>
      </c>
      <c r="E51" s="10" t="s">
        <v>407</v>
      </c>
      <c r="F51" s="10" t="s">
        <v>408</v>
      </c>
      <c r="G51" s="10" t="s">
        <v>239</v>
      </c>
      <c r="H51" s="10" t="s">
        <v>409</v>
      </c>
      <c r="I51" s="10" t="s">
        <v>291</v>
      </c>
      <c r="J51" s="10" t="s">
        <v>287</v>
      </c>
      <c r="K51" s="10" t="s">
        <v>243</v>
      </c>
      <c r="L51" s="10" t="s">
        <v>271</v>
      </c>
      <c r="M51" s="10">
        <v>6</v>
      </c>
      <c r="N51" s="10">
        <v>1200</v>
      </c>
      <c r="O51" s="10">
        <v>5</v>
      </c>
      <c r="P51" s="10">
        <v>6840</v>
      </c>
      <c r="Q51" s="10">
        <v>2</v>
      </c>
      <c r="R51" s="10" t="s">
        <v>254</v>
      </c>
      <c r="S51" s="10" t="s">
        <v>255</v>
      </c>
      <c r="T51" s="10" t="s">
        <v>326</v>
      </c>
      <c r="U51" s="10">
        <v>9495893170</v>
      </c>
      <c r="V51" s="12" t="s">
        <v>248</v>
      </c>
      <c r="W51" t="str">
        <f t="shared" si="0"/>
        <v>Blacklisted</v>
      </c>
      <c r="X51" t="str">
        <f t="shared" si="1"/>
        <v>Anita Gupta</v>
      </c>
      <c r="Y51" t="str">
        <f t="shared" si="2"/>
        <v>Ani004Pu</v>
      </c>
      <c r="Z51" t="str">
        <f t="shared" si="5"/>
        <v>anita.gupta@company.com</v>
      </c>
      <c r="AA51">
        <f t="shared" ca="1" si="6"/>
        <v>30</v>
      </c>
      <c r="AB51">
        <f t="shared" si="3"/>
        <v>2</v>
      </c>
      <c r="AC51" t="str">
        <f t="shared" si="4"/>
        <v>On time</v>
      </c>
    </row>
    <row r="52" spans="1:29">
      <c r="A52" s="33" t="s">
        <v>410</v>
      </c>
      <c r="B52" s="5" t="s">
        <v>235</v>
      </c>
      <c r="C52" s="5" t="s">
        <v>250</v>
      </c>
      <c r="D52" s="5" t="s">
        <v>177</v>
      </c>
      <c r="E52" s="6">
        <v>45842</v>
      </c>
      <c r="F52" s="5" t="s">
        <v>411</v>
      </c>
      <c r="G52" s="5" t="s">
        <v>239</v>
      </c>
      <c r="H52" s="5" t="s">
        <v>412</v>
      </c>
      <c r="I52" s="5" t="s">
        <v>241</v>
      </c>
      <c r="J52" s="5" t="s">
        <v>242</v>
      </c>
      <c r="K52" s="5" t="s">
        <v>15</v>
      </c>
      <c r="L52" s="5" t="s">
        <v>253</v>
      </c>
      <c r="M52" s="5">
        <v>7</v>
      </c>
      <c r="N52" s="5">
        <v>2200</v>
      </c>
      <c r="O52" s="5">
        <v>15</v>
      </c>
      <c r="P52" s="5">
        <v>13090</v>
      </c>
      <c r="Q52" s="5">
        <v>1</v>
      </c>
      <c r="R52" s="5" t="s">
        <v>277</v>
      </c>
      <c r="S52" s="5" t="s">
        <v>246</v>
      </c>
      <c r="T52" s="5" t="s">
        <v>247</v>
      </c>
      <c r="U52" s="5">
        <v>9485166307</v>
      </c>
      <c r="V52" s="8" t="s">
        <v>257</v>
      </c>
      <c r="W52" t="str">
        <f t="shared" si="0"/>
        <v>Blacklisted</v>
      </c>
      <c r="X52" t="str">
        <f t="shared" si="1"/>
        <v>Pooja Shah</v>
      </c>
      <c r="Y52" t="str">
        <f t="shared" si="2"/>
        <v>POo010Be</v>
      </c>
      <c r="Z52" t="str">
        <f t="shared" si="5"/>
        <v>pooja.shah@company.com</v>
      </c>
      <c r="AA52" t="str">
        <f t="shared" ca="1" si="6"/>
        <v/>
      </c>
      <c r="AB52" t="str">
        <f t="shared" si="3"/>
        <v/>
      </c>
      <c r="AC52" t="str">
        <f t="shared" si="4"/>
        <v>Delayed</v>
      </c>
    </row>
    <row r="53" spans="1:29">
      <c r="A53" s="34" t="s">
        <v>413</v>
      </c>
      <c r="B53" s="10" t="s">
        <v>284</v>
      </c>
      <c r="C53" s="10" t="s">
        <v>294</v>
      </c>
      <c r="D53" s="10" t="s">
        <v>146</v>
      </c>
      <c r="E53" s="10" t="s">
        <v>181</v>
      </c>
      <c r="F53" s="10" t="s">
        <v>285</v>
      </c>
      <c r="G53" s="10" t="s">
        <v>239</v>
      </c>
      <c r="H53" s="11">
        <v>36777</v>
      </c>
      <c r="I53" s="10" t="s">
        <v>342</v>
      </c>
      <c r="J53" s="10" t="s">
        <v>261</v>
      </c>
      <c r="K53" s="10" t="s">
        <v>295</v>
      </c>
      <c r="L53" s="10" t="s">
        <v>296</v>
      </c>
      <c r="M53" s="10">
        <v>8</v>
      </c>
      <c r="N53" s="10">
        <v>60</v>
      </c>
      <c r="O53" s="10">
        <v>10</v>
      </c>
      <c r="P53" s="10">
        <v>432</v>
      </c>
      <c r="Q53" s="10">
        <v>5</v>
      </c>
      <c r="R53" s="10" t="s">
        <v>272</v>
      </c>
      <c r="S53" s="10" t="s">
        <v>246</v>
      </c>
      <c r="T53" s="10" t="s">
        <v>308</v>
      </c>
      <c r="U53" s="10">
        <v>9924709648</v>
      </c>
      <c r="V53" s="12" t="s">
        <v>265</v>
      </c>
      <c r="W53" t="str">
        <f t="shared" si="0"/>
        <v>Blacklisted</v>
      </c>
      <c r="X53" t="str">
        <f t="shared" si="1"/>
        <v>Priya Patel</v>
      </c>
      <c r="Y53" t="str">
        <f t="shared" si="2"/>
        <v>Pri002Ja</v>
      </c>
      <c r="Z53" t="str">
        <f t="shared" si="5"/>
        <v>priya.patel@company.com</v>
      </c>
      <c r="AA53" t="str">
        <f t="shared" ca="1" si="6"/>
        <v/>
      </c>
      <c r="AB53">
        <f t="shared" si="3"/>
        <v>3</v>
      </c>
      <c r="AC53" t="str">
        <f t="shared" si="4"/>
        <v>On time</v>
      </c>
    </row>
    <row r="54" spans="1:29">
      <c r="A54" s="33" t="s">
        <v>414</v>
      </c>
      <c r="B54" s="5" t="s">
        <v>346</v>
      </c>
      <c r="C54" s="5" t="s">
        <v>236</v>
      </c>
      <c r="D54" s="5" t="s">
        <v>82</v>
      </c>
      <c r="E54" s="5" t="s">
        <v>125</v>
      </c>
      <c r="F54" s="5" t="s">
        <v>348</v>
      </c>
      <c r="G54" s="5" t="s">
        <v>269</v>
      </c>
      <c r="H54" s="5" t="s">
        <v>415</v>
      </c>
      <c r="I54" s="5" t="s">
        <v>379</v>
      </c>
      <c r="J54" s="5" t="s">
        <v>21</v>
      </c>
      <c r="K54" s="5" t="s">
        <v>243</v>
      </c>
      <c r="L54" s="5" t="s">
        <v>244</v>
      </c>
      <c r="M54" s="5">
        <v>12</v>
      </c>
      <c r="N54" s="5">
        <v>55000</v>
      </c>
      <c r="O54" s="5">
        <v>5</v>
      </c>
      <c r="P54" s="5">
        <v>627000</v>
      </c>
      <c r="Q54" s="5">
        <v>2</v>
      </c>
      <c r="R54" s="5" t="s">
        <v>277</v>
      </c>
      <c r="S54" s="5" t="s">
        <v>263</v>
      </c>
      <c r="T54" s="5" t="s">
        <v>350</v>
      </c>
      <c r="U54" s="5">
        <v>9350554626</v>
      </c>
      <c r="V54" s="8" t="s">
        <v>248</v>
      </c>
      <c r="W54" t="str">
        <f t="shared" si="0"/>
        <v>Blacklisted</v>
      </c>
      <c r="X54" t="str">
        <f t="shared" si="1"/>
        <v>Vikas Mehta</v>
      </c>
      <c r="Y54" t="str">
        <f t="shared" si="2"/>
        <v>Vik005Ko</v>
      </c>
      <c r="Z54" t="str">
        <f t="shared" si="5"/>
        <v>vikas.mehta@company.com</v>
      </c>
      <c r="AA54">
        <f t="shared" ca="1" si="6"/>
        <v>26</v>
      </c>
      <c r="AB54">
        <f t="shared" si="3"/>
        <v>4</v>
      </c>
      <c r="AC54" t="str">
        <f t="shared" si="4"/>
        <v>On time</v>
      </c>
    </row>
    <row r="55" spans="1:29">
      <c r="A55" s="34" t="s">
        <v>416</v>
      </c>
      <c r="B55" s="10" t="s">
        <v>249</v>
      </c>
      <c r="C55" s="10" t="s">
        <v>330</v>
      </c>
      <c r="D55" s="10" t="s">
        <v>168</v>
      </c>
      <c r="E55" s="11">
        <v>45785</v>
      </c>
      <c r="F55" s="10" t="s">
        <v>251</v>
      </c>
      <c r="G55" s="10" t="s">
        <v>239</v>
      </c>
      <c r="H55" s="11">
        <v>27488</v>
      </c>
      <c r="I55" s="10" t="s">
        <v>342</v>
      </c>
      <c r="J55" s="10" t="s">
        <v>261</v>
      </c>
      <c r="K55" s="10" t="s">
        <v>243</v>
      </c>
      <c r="L55" s="10" t="s">
        <v>333</v>
      </c>
      <c r="M55" s="10">
        <v>3</v>
      </c>
      <c r="N55" s="10">
        <v>700</v>
      </c>
      <c r="O55" s="10">
        <v>0</v>
      </c>
      <c r="P55" s="10">
        <v>2100</v>
      </c>
      <c r="Q55" s="10">
        <v>3</v>
      </c>
      <c r="R55" s="10" t="s">
        <v>272</v>
      </c>
      <c r="S55" s="10" t="s">
        <v>312</v>
      </c>
      <c r="T55" s="10" t="s">
        <v>264</v>
      </c>
      <c r="U55" s="10">
        <v>9743295580</v>
      </c>
      <c r="V55" s="12" t="s">
        <v>265</v>
      </c>
      <c r="W55" t="str">
        <f t="shared" si="0"/>
        <v>Blacklisted</v>
      </c>
      <c r="X55" t="str">
        <f t="shared" si="1"/>
        <v>Kavya Nair</v>
      </c>
      <c r="Y55" t="str">
        <f t="shared" si="2"/>
        <v>Kav008Ja</v>
      </c>
      <c r="Z55" t="str">
        <f t="shared" si="5"/>
        <v>kavya.nair@company.com</v>
      </c>
      <c r="AA55" t="str">
        <f t="shared" ca="1" si="6"/>
        <v/>
      </c>
      <c r="AB55" t="str">
        <f t="shared" si="3"/>
        <v/>
      </c>
      <c r="AC55" t="str">
        <f t="shared" si="4"/>
        <v>Delayed</v>
      </c>
    </row>
    <row r="56" spans="1:29">
      <c r="A56" s="33" t="s">
        <v>417</v>
      </c>
      <c r="B56" s="5" t="s">
        <v>299</v>
      </c>
      <c r="C56" s="5" t="s">
        <v>294</v>
      </c>
      <c r="D56" s="5" t="s">
        <v>98</v>
      </c>
      <c r="E56" s="5" t="s">
        <v>150</v>
      </c>
      <c r="F56" s="5" t="s">
        <v>418</v>
      </c>
      <c r="G56" s="5" t="s">
        <v>269</v>
      </c>
      <c r="H56" s="6">
        <v>28076</v>
      </c>
      <c r="I56" s="5" t="s">
        <v>306</v>
      </c>
      <c r="J56" s="5" t="s">
        <v>287</v>
      </c>
      <c r="K56" s="5" t="s">
        <v>295</v>
      </c>
      <c r="L56" s="5" t="s">
        <v>296</v>
      </c>
      <c r="M56" s="5">
        <v>19</v>
      </c>
      <c r="N56" s="5">
        <v>60</v>
      </c>
      <c r="O56" s="5">
        <v>15</v>
      </c>
      <c r="P56" s="5">
        <v>969</v>
      </c>
      <c r="Q56" s="5">
        <v>4</v>
      </c>
      <c r="R56" s="5" t="s">
        <v>272</v>
      </c>
      <c r="S56" s="5" t="s">
        <v>263</v>
      </c>
      <c r="T56" s="5" t="s">
        <v>302</v>
      </c>
      <c r="U56" s="5">
        <v>9822926495</v>
      </c>
      <c r="V56" s="8" t="s">
        <v>265</v>
      </c>
      <c r="W56" t="str">
        <f t="shared" si="0"/>
        <v>Blacklisted</v>
      </c>
      <c r="X56" t="str">
        <f t="shared" si="1"/>
        <v>Rohit Singh</v>
      </c>
      <c r="Y56" t="str">
        <f t="shared" si="2"/>
        <v>RoH003Ah</v>
      </c>
      <c r="Z56" t="str">
        <f t="shared" si="5"/>
        <v>rohit.singh@company.com</v>
      </c>
      <c r="AA56">
        <f t="shared" ca="1" si="6"/>
        <v>51</v>
      </c>
      <c r="AB56">
        <f t="shared" si="3"/>
        <v>5</v>
      </c>
      <c r="AC56" t="str">
        <f t="shared" si="4"/>
        <v>On time</v>
      </c>
    </row>
    <row r="57" spans="1:29">
      <c r="A57" s="34" t="s">
        <v>419</v>
      </c>
      <c r="B57" s="10" t="s">
        <v>392</v>
      </c>
      <c r="C57" s="10" t="s">
        <v>294</v>
      </c>
      <c r="D57" s="11">
        <v>45938</v>
      </c>
      <c r="E57" s="11">
        <v>45969</v>
      </c>
      <c r="F57" s="10" t="s">
        <v>323</v>
      </c>
      <c r="G57" s="10" t="s">
        <v>269</v>
      </c>
      <c r="H57" s="11">
        <v>28926</v>
      </c>
      <c r="I57" s="10" t="s">
        <v>342</v>
      </c>
      <c r="J57" s="10" t="s">
        <v>261</v>
      </c>
      <c r="K57" s="10" t="s">
        <v>295</v>
      </c>
      <c r="L57" s="10" t="s">
        <v>296</v>
      </c>
      <c r="M57" s="10">
        <v>9</v>
      </c>
      <c r="N57" s="10">
        <v>60</v>
      </c>
      <c r="O57" s="10">
        <v>20</v>
      </c>
      <c r="P57" s="10">
        <v>432</v>
      </c>
      <c r="Q57" s="10">
        <v>1</v>
      </c>
      <c r="R57" s="10" t="s">
        <v>245</v>
      </c>
      <c r="S57" s="10" t="s">
        <v>292</v>
      </c>
      <c r="T57" s="10" t="s">
        <v>395</v>
      </c>
      <c r="U57" s="10">
        <v>9518298190</v>
      </c>
      <c r="V57" s="12" t="s">
        <v>248</v>
      </c>
      <c r="W57" t="str">
        <f t="shared" si="0"/>
        <v>Blacklisted</v>
      </c>
      <c r="X57" t="str">
        <f t="shared" si="1"/>
        <v>Amit Sharma</v>
      </c>
      <c r="Y57" t="str">
        <f t="shared" si="2"/>
        <v>Ami001Ja</v>
      </c>
      <c r="Z57" t="str">
        <f t="shared" si="5"/>
        <v>amit.sharma@company.com</v>
      </c>
      <c r="AA57">
        <f t="shared" ca="1" si="6"/>
        <v>49</v>
      </c>
      <c r="AB57" t="str">
        <f t="shared" si="3"/>
        <v/>
      </c>
      <c r="AC57" t="str">
        <f t="shared" si="4"/>
        <v>Delayed</v>
      </c>
    </row>
    <row r="58" spans="1:29">
      <c r="A58" s="33" t="s">
        <v>420</v>
      </c>
      <c r="B58" s="5" t="s">
        <v>392</v>
      </c>
      <c r="C58" s="5" t="s">
        <v>330</v>
      </c>
      <c r="D58" s="5" t="s">
        <v>131</v>
      </c>
      <c r="E58" s="5" t="s">
        <v>421</v>
      </c>
      <c r="F58" s="5" t="s">
        <v>323</v>
      </c>
      <c r="G58" s="5" t="s">
        <v>269</v>
      </c>
      <c r="H58" s="5" t="s">
        <v>422</v>
      </c>
      <c r="I58" s="5" t="s">
        <v>241</v>
      </c>
      <c r="J58" s="5" t="s">
        <v>242</v>
      </c>
      <c r="K58" s="5" t="s">
        <v>243</v>
      </c>
      <c r="L58" s="5" t="s">
        <v>333</v>
      </c>
      <c r="M58" s="5">
        <v>6</v>
      </c>
      <c r="N58" s="5">
        <v>700</v>
      </c>
      <c r="O58" s="5">
        <v>0</v>
      </c>
      <c r="P58" s="5">
        <v>4200</v>
      </c>
      <c r="Q58" s="5">
        <v>4</v>
      </c>
      <c r="R58" s="5" t="s">
        <v>277</v>
      </c>
      <c r="S58" s="5" t="s">
        <v>263</v>
      </c>
      <c r="T58" s="5" t="s">
        <v>423</v>
      </c>
      <c r="U58" s="5">
        <v>9366223547</v>
      </c>
      <c r="V58" s="8" t="s">
        <v>265</v>
      </c>
      <c r="W58" t="str">
        <f t="shared" si="0"/>
        <v>Blacklisted</v>
      </c>
      <c r="X58" t="str">
        <f t="shared" si="1"/>
        <v>Amit Sharma</v>
      </c>
      <c r="Y58" t="str">
        <f t="shared" si="2"/>
        <v>Ami001Be</v>
      </c>
      <c r="Z58" t="str">
        <f t="shared" si="5"/>
        <v>invalid email</v>
      </c>
      <c r="AA58">
        <f t="shared" ca="1" si="6"/>
        <v>47</v>
      </c>
      <c r="AB58">
        <f t="shared" si="3"/>
        <v>6</v>
      </c>
      <c r="AC58" t="str">
        <f t="shared" si="4"/>
        <v>Delayed</v>
      </c>
    </row>
    <row r="59" spans="1:29">
      <c r="A59" s="34" t="s">
        <v>424</v>
      </c>
      <c r="B59" s="10" t="s">
        <v>299</v>
      </c>
      <c r="C59" s="10" t="s">
        <v>362</v>
      </c>
      <c r="D59" s="10" t="s">
        <v>11</v>
      </c>
      <c r="E59" s="10" t="s">
        <v>425</v>
      </c>
      <c r="F59" s="10" t="s">
        <v>301</v>
      </c>
      <c r="G59" s="10" t="s">
        <v>269</v>
      </c>
      <c r="H59" s="10" t="s">
        <v>426</v>
      </c>
      <c r="I59" s="10" t="s">
        <v>260</v>
      </c>
      <c r="J59" s="10" t="s">
        <v>261</v>
      </c>
      <c r="K59" s="10" t="s">
        <v>295</v>
      </c>
      <c r="L59" s="10" t="s">
        <v>363</v>
      </c>
      <c r="M59" s="10">
        <v>18</v>
      </c>
      <c r="N59" s="10">
        <v>45</v>
      </c>
      <c r="O59" s="10">
        <v>5</v>
      </c>
      <c r="P59" s="10">
        <v>769.5</v>
      </c>
      <c r="Q59" s="10">
        <v>1</v>
      </c>
      <c r="R59" s="10" t="s">
        <v>272</v>
      </c>
      <c r="S59" s="10" t="s">
        <v>246</v>
      </c>
      <c r="T59" s="10" t="s">
        <v>302</v>
      </c>
      <c r="U59" s="10">
        <v>9701988524</v>
      </c>
      <c r="V59" s="12" t="s">
        <v>248</v>
      </c>
      <c r="W59" t="str">
        <f t="shared" si="0"/>
        <v>Blacklisted</v>
      </c>
      <c r="X59" t="str">
        <f t="shared" si="1"/>
        <v>Rohit Singh</v>
      </c>
      <c r="Y59" t="str">
        <f t="shared" si="2"/>
        <v>Roh003De</v>
      </c>
      <c r="Z59" t="str">
        <f t="shared" si="5"/>
        <v>rohit.singh@company.com</v>
      </c>
      <c r="AA59" t="str">
        <f t="shared" ca="1" si="6"/>
        <v/>
      </c>
      <c r="AB59">
        <f t="shared" si="3"/>
        <v>6</v>
      </c>
      <c r="AC59" t="str">
        <f t="shared" si="4"/>
        <v>Delayed</v>
      </c>
    </row>
    <row r="60" spans="1:29">
      <c r="A60" s="33" t="s">
        <v>427</v>
      </c>
      <c r="B60" s="5" t="s">
        <v>275</v>
      </c>
      <c r="C60" s="5" t="s">
        <v>347</v>
      </c>
      <c r="D60" s="5" t="s">
        <v>35</v>
      </c>
      <c r="E60" s="5" t="s">
        <v>156</v>
      </c>
      <c r="F60" s="5" t="s">
        <v>328</v>
      </c>
      <c r="G60" s="5" t="s">
        <v>269</v>
      </c>
      <c r="H60" s="5" t="s">
        <v>428</v>
      </c>
      <c r="I60" s="5" t="s">
        <v>342</v>
      </c>
      <c r="J60" s="5" t="s">
        <v>261</v>
      </c>
      <c r="K60" s="5" t="s">
        <v>295</v>
      </c>
      <c r="L60" s="5" t="s">
        <v>349</v>
      </c>
      <c r="M60" s="5">
        <v>8</v>
      </c>
      <c r="N60" s="5">
        <v>20</v>
      </c>
      <c r="O60" s="5">
        <v>5</v>
      </c>
      <c r="P60" s="5">
        <v>152</v>
      </c>
      <c r="Q60" s="5">
        <v>1</v>
      </c>
      <c r="R60" s="5" t="s">
        <v>272</v>
      </c>
      <c r="S60" s="5" t="s">
        <v>255</v>
      </c>
      <c r="T60" s="5" t="s">
        <v>278</v>
      </c>
      <c r="U60" s="5">
        <v>9836327649</v>
      </c>
      <c r="V60" s="8" t="s">
        <v>429</v>
      </c>
      <c r="W60" t="str">
        <f t="shared" si="0"/>
        <v>Blacklisted</v>
      </c>
      <c r="X60" t="str">
        <f t="shared" si="1"/>
        <v>Arjun Rao</v>
      </c>
      <c r="Y60" t="str">
        <f t="shared" si="2"/>
        <v>Arj007Ja</v>
      </c>
      <c r="Z60" t="str">
        <f t="shared" si="5"/>
        <v>arjun.rao@company.com</v>
      </c>
      <c r="AA60" t="str">
        <f t="shared" ca="1" si="6"/>
        <v/>
      </c>
      <c r="AB60">
        <f t="shared" si="3"/>
        <v>11</v>
      </c>
      <c r="AC60" t="str">
        <f t="shared" si="4"/>
        <v>Delayed</v>
      </c>
    </row>
    <row r="61" spans="1:29">
      <c r="A61" s="34" t="s">
        <v>430</v>
      </c>
      <c r="B61" s="10" t="s">
        <v>346</v>
      </c>
      <c r="C61" s="10" t="s">
        <v>330</v>
      </c>
      <c r="D61" s="11">
        <v>45780</v>
      </c>
      <c r="E61" s="11">
        <v>45811</v>
      </c>
      <c r="F61" s="10" t="s">
        <v>348</v>
      </c>
      <c r="G61" s="10" t="s">
        <v>269</v>
      </c>
      <c r="H61" s="11">
        <v>29039</v>
      </c>
      <c r="I61" s="10" t="s">
        <v>342</v>
      </c>
      <c r="J61" s="10" t="s">
        <v>261</v>
      </c>
      <c r="K61" s="10" t="s">
        <v>243</v>
      </c>
      <c r="L61" s="10" t="s">
        <v>333</v>
      </c>
      <c r="M61" s="10">
        <v>8</v>
      </c>
      <c r="N61" s="10">
        <v>700</v>
      </c>
      <c r="O61" s="10">
        <v>10</v>
      </c>
      <c r="P61" s="10">
        <v>5040</v>
      </c>
      <c r="Q61" s="10">
        <v>1</v>
      </c>
      <c r="R61" s="10" t="s">
        <v>245</v>
      </c>
      <c r="S61" s="10" t="s">
        <v>246</v>
      </c>
      <c r="T61" s="13" t="s">
        <v>431</v>
      </c>
      <c r="U61" s="10">
        <v>9261800516</v>
      </c>
      <c r="V61" s="12" t="s">
        <v>265</v>
      </c>
      <c r="W61" t="str">
        <f t="shared" si="0"/>
        <v>Blacklisted</v>
      </c>
      <c r="X61" t="str">
        <f t="shared" si="1"/>
        <v>Vikas Mehta</v>
      </c>
      <c r="Y61" t="str">
        <f t="shared" si="2"/>
        <v>Vik005Ja</v>
      </c>
      <c r="Z61" t="str">
        <f t="shared" si="5"/>
        <v>vikas.mehta@company.com</v>
      </c>
      <c r="AA61" t="str">
        <f t="shared" ca="1" si="6"/>
        <v/>
      </c>
      <c r="AB61" t="str">
        <f t="shared" si="3"/>
        <v/>
      </c>
      <c r="AC61" t="str">
        <f t="shared" si="4"/>
        <v>Delayed</v>
      </c>
    </row>
    <row r="62" spans="1:29">
      <c r="A62" s="33" t="s">
        <v>432</v>
      </c>
      <c r="B62" s="5" t="s">
        <v>249</v>
      </c>
      <c r="C62" s="5" t="s">
        <v>347</v>
      </c>
      <c r="D62" s="6">
        <v>46269</v>
      </c>
      <c r="E62" s="5" t="s">
        <v>78</v>
      </c>
      <c r="F62" s="5" t="s">
        <v>251</v>
      </c>
      <c r="G62" s="5" t="s">
        <v>239</v>
      </c>
      <c r="H62" s="5" t="s">
        <v>433</v>
      </c>
      <c r="I62" s="5" t="s">
        <v>260</v>
      </c>
      <c r="J62" s="5" t="s">
        <v>261</v>
      </c>
      <c r="K62" s="5" t="s">
        <v>295</v>
      </c>
      <c r="L62" s="5" t="s">
        <v>349</v>
      </c>
      <c r="M62" s="5">
        <v>7</v>
      </c>
      <c r="N62" s="5">
        <v>20</v>
      </c>
      <c r="O62" s="5">
        <v>15</v>
      </c>
      <c r="P62" s="5">
        <v>119</v>
      </c>
      <c r="Q62" s="5">
        <v>5</v>
      </c>
      <c r="R62" s="5" t="s">
        <v>272</v>
      </c>
      <c r="S62" s="5" t="s">
        <v>263</v>
      </c>
      <c r="T62" s="5" t="s">
        <v>264</v>
      </c>
      <c r="U62" s="5">
        <v>9950802015</v>
      </c>
      <c r="V62" s="8" t="s">
        <v>257</v>
      </c>
      <c r="W62" t="str">
        <f t="shared" si="0"/>
        <v>Silver</v>
      </c>
      <c r="X62" t="str">
        <f t="shared" si="1"/>
        <v>Kavya Nair</v>
      </c>
      <c r="Y62" t="str">
        <f t="shared" si="2"/>
        <v>Kav008De</v>
      </c>
      <c r="Z62" t="str">
        <f t="shared" si="5"/>
        <v>kavya.nair@company.com</v>
      </c>
      <c r="AA62">
        <f t="shared" ca="1" si="6"/>
        <v>47</v>
      </c>
      <c r="AB62" t="str">
        <f t="shared" si="3"/>
        <v/>
      </c>
      <c r="AC62" t="str">
        <f t="shared" si="4"/>
        <v>Delayed</v>
      </c>
    </row>
    <row r="63" spans="1:29">
      <c r="A63" s="34" t="s">
        <v>434</v>
      </c>
      <c r="B63" s="10" t="s">
        <v>284</v>
      </c>
      <c r="C63" s="10" t="s">
        <v>347</v>
      </c>
      <c r="D63" s="10" t="s">
        <v>49</v>
      </c>
      <c r="E63" s="10" t="s">
        <v>146</v>
      </c>
      <c r="F63" s="10" t="s">
        <v>285</v>
      </c>
      <c r="G63" s="10" t="s">
        <v>239</v>
      </c>
      <c r="H63" s="11">
        <v>30806</v>
      </c>
      <c r="I63" s="10" t="s">
        <v>291</v>
      </c>
      <c r="J63" s="10" t="s">
        <v>287</v>
      </c>
      <c r="K63" s="10" t="s">
        <v>295</v>
      </c>
      <c r="L63" s="10" t="s">
        <v>349</v>
      </c>
      <c r="M63" s="10">
        <v>16</v>
      </c>
      <c r="N63" s="10">
        <v>20</v>
      </c>
      <c r="O63" s="10">
        <v>0</v>
      </c>
      <c r="P63" s="10">
        <v>320</v>
      </c>
      <c r="Q63" s="10">
        <v>5</v>
      </c>
      <c r="R63" s="10" t="s">
        <v>245</v>
      </c>
      <c r="S63" s="10" t="s">
        <v>246</v>
      </c>
      <c r="T63" s="10" t="s">
        <v>308</v>
      </c>
      <c r="U63" s="10">
        <v>9595183767</v>
      </c>
      <c r="V63" s="12" t="s">
        <v>248</v>
      </c>
      <c r="W63" t="str">
        <f t="shared" si="0"/>
        <v/>
      </c>
      <c r="X63" t="str">
        <f t="shared" si="1"/>
        <v>Priya Patel</v>
      </c>
      <c r="Y63" t="str">
        <f t="shared" si="2"/>
        <v>Pri002Pu</v>
      </c>
      <c r="Z63" t="str">
        <f t="shared" si="5"/>
        <v>priya.patel@company.com</v>
      </c>
      <c r="AA63" t="str">
        <f t="shared" ca="1" si="6"/>
        <v/>
      </c>
      <c r="AB63">
        <f t="shared" si="3"/>
        <v>9</v>
      </c>
      <c r="AC63" t="str">
        <f t="shared" si="4"/>
        <v>Delayed</v>
      </c>
    </row>
    <row r="64" spans="1:29">
      <c r="A64" s="33" t="s">
        <v>435</v>
      </c>
      <c r="B64" s="5" t="s">
        <v>235</v>
      </c>
      <c r="C64" s="5" t="s">
        <v>362</v>
      </c>
      <c r="D64" s="5" t="s">
        <v>16</v>
      </c>
      <c r="E64" s="5" t="s">
        <v>436</v>
      </c>
      <c r="F64" s="5" t="s">
        <v>318</v>
      </c>
      <c r="G64" s="5" t="s">
        <v>239</v>
      </c>
      <c r="H64" s="5" t="s">
        <v>437</v>
      </c>
      <c r="I64" s="5" t="s">
        <v>286</v>
      </c>
      <c r="J64" s="5" t="s">
        <v>287</v>
      </c>
      <c r="K64" s="5" t="s">
        <v>295</v>
      </c>
      <c r="L64" s="5" t="s">
        <v>363</v>
      </c>
      <c r="M64" s="5">
        <v>15</v>
      </c>
      <c r="N64" s="5">
        <v>45</v>
      </c>
      <c r="O64" s="5">
        <v>0</v>
      </c>
      <c r="P64" s="5">
        <v>675</v>
      </c>
      <c r="Q64" s="5">
        <v>4</v>
      </c>
      <c r="R64" s="5" t="s">
        <v>254</v>
      </c>
      <c r="S64" s="5" t="s">
        <v>246</v>
      </c>
      <c r="T64" s="5" t="s">
        <v>247</v>
      </c>
      <c r="U64" s="5">
        <v>9560201307</v>
      </c>
      <c r="V64" s="8" t="s">
        <v>265</v>
      </c>
      <c r="W64" t="str">
        <f t="shared" si="0"/>
        <v>Blacklisted</v>
      </c>
      <c r="X64" t="str">
        <f t="shared" si="1"/>
        <v>Pooja Shah</v>
      </c>
      <c r="Y64" t="str">
        <f t="shared" si="2"/>
        <v>Poo010Mu</v>
      </c>
      <c r="Z64" t="str">
        <f t="shared" si="5"/>
        <v>pooja.shah@company.com</v>
      </c>
      <c r="AA64">
        <f t="shared" ca="1" si="6"/>
        <v>42</v>
      </c>
      <c r="AB64">
        <f t="shared" si="3"/>
        <v>7</v>
      </c>
      <c r="AC64" t="str">
        <f t="shared" si="4"/>
        <v>Delayed</v>
      </c>
    </row>
    <row r="65" spans="1:29">
      <c r="A65" s="34" t="s">
        <v>438</v>
      </c>
      <c r="B65" s="10" t="s">
        <v>358</v>
      </c>
      <c r="C65" s="10" t="s">
        <v>330</v>
      </c>
      <c r="D65" s="11">
        <v>45660</v>
      </c>
      <c r="E65" s="11">
        <v>45780</v>
      </c>
      <c r="F65" s="10" t="s">
        <v>359</v>
      </c>
      <c r="G65" s="10" t="s">
        <v>239</v>
      </c>
      <c r="H65" s="11">
        <v>37842</v>
      </c>
      <c r="I65" s="10" t="s">
        <v>306</v>
      </c>
      <c r="J65" s="10" t="s">
        <v>287</v>
      </c>
      <c r="K65" s="10" t="s">
        <v>243</v>
      </c>
      <c r="L65" s="10" t="s">
        <v>333</v>
      </c>
      <c r="M65" s="10">
        <v>15</v>
      </c>
      <c r="N65" s="10">
        <v>700</v>
      </c>
      <c r="O65" s="10">
        <v>10</v>
      </c>
      <c r="P65" s="10">
        <v>9450</v>
      </c>
      <c r="Q65" s="10">
        <v>3</v>
      </c>
      <c r="R65" s="10" t="s">
        <v>245</v>
      </c>
      <c r="S65" s="10" t="s">
        <v>312</v>
      </c>
      <c r="T65" s="10" t="s">
        <v>360</v>
      </c>
      <c r="U65" s="10">
        <v>9826484650</v>
      </c>
      <c r="V65" s="12" t="s">
        <v>257</v>
      </c>
      <c r="W65" t="str">
        <f t="shared" si="0"/>
        <v>Silver</v>
      </c>
      <c r="X65" t="str">
        <f t="shared" si="1"/>
        <v>Sneha Joshi</v>
      </c>
      <c r="Y65" t="str">
        <f t="shared" si="2"/>
        <v>Sne006Ah</v>
      </c>
      <c r="Z65" t="str">
        <f t="shared" si="5"/>
        <v>sneha.joshi@company.com</v>
      </c>
      <c r="AA65" t="str">
        <f t="shared" ca="1" si="6"/>
        <v/>
      </c>
      <c r="AB65" t="str">
        <f t="shared" si="3"/>
        <v/>
      </c>
      <c r="AC65" t="str">
        <f t="shared" si="4"/>
        <v>Delayed</v>
      </c>
    </row>
    <row r="66" spans="1:29">
      <c r="A66" s="33" t="s">
        <v>439</v>
      </c>
      <c r="B66" s="5" t="s">
        <v>235</v>
      </c>
      <c r="C66" s="5" t="s">
        <v>362</v>
      </c>
      <c r="D66" s="6">
        <v>45902</v>
      </c>
      <c r="E66" s="6">
        <v>45993</v>
      </c>
      <c r="F66" s="5" t="s">
        <v>318</v>
      </c>
      <c r="G66" s="5" t="s">
        <v>239</v>
      </c>
      <c r="H66" s="5" t="s">
        <v>440</v>
      </c>
      <c r="I66" s="5" t="s">
        <v>379</v>
      </c>
      <c r="J66" s="5" t="s">
        <v>21</v>
      </c>
      <c r="K66" s="5" t="s">
        <v>295</v>
      </c>
      <c r="L66" s="5" t="s">
        <v>363</v>
      </c>
      <c r="M66" s="5">
        <v>3</v>
      </c>
      <c r="N66" s="5">
        <v>45</v>
      </c>
      <c r="O66" s="5">
        <v>15</v>
      </c>
      <c r="P66" s="5">
        <v>114.75</v>
      </c>
      <c r="Q66" s="5">
        <v>2</v>
      </c>
      <c r="R66" s="5" t="s">
        <v>277</v>
      </c>
      <c r="S66" s="5" t="s">
        <v>292</v>
      </c>
      <c r="T66" s="5" t="s">
        <v>247</v>
      </c>
      <c r="U66" s="5">
        <v>9219978007</v>
      </c>
      <c r="V66" s="8" t="s">
        <v>248</v>
      </c>
      <c r="W66" t="str">
        <f t="shared" si="0"/>
        <v>Blacklisted</v>
      </c>
      <c r="X66" t="str">
        <f t="shared" si="1"/>
        <v>Pooja Shah</v>
      </c>
      <c r="Y66" t="str">
        <f t="shared" si="2"/>
        <v>Poo010Ko</v>
      </c>
      <c r="Z66" t="str">
        <f t="shared" si="5"/>
        <v>pooja.shah@company.com</v>
      </c>
      <c r="AA66">
        <f t="shared" ca="1" si="6"/>
        <v>23</v>
      </c>
      <c r="AB66" t="str">
        <f t="shared" si="3"/>
        <v/>
      </c>
      <c r="AC66" t="str">
        <f t="shared" si="4"/>
        <v>Delayed</v>
      </c>
    </row>
    <row r="67" spans="1:29">
      <c r="A67" s="34" t="s">
        <v>441</v>
      </c>
      <c r="B67" s="10" t="s">
        <v>284</v>
      </c>
      <c r="C67" s="10" t="s">
        <v>250</v>
      </c>
      <c r="D67" s="11">
        <v>46266</v>
      </c>
      <c r="E67" s="11">
        <v>46296</v>
      </c>
      <c r="F67" s="10" t="s">
        <v>285</v>
      </c>
      <c r="G67" s="10" t="s">
        <v>239</v>
      </c>
      <c r="H67" s="10" t="s">
        <v>442</v>
      </c>
      <c r="I67" s="10" t="s">
        <v>379</v>
      </c>
      <c r="J67" s="10" t="s">
        <v>21</v>
      </c>
      <c r="K67" s="10" t="s">
        <v>15</v>
      </c>
      <c r="L67" s="10" t="s">
        <v>253</v>
      </c>
      <c r="M67" s="10">
        <v>7</v>
      </c>
      <c r="N67" s="10">
        <v>2200</v>
      </c>
      <c r="O67" s="10">
        <v>15</v>
      </c>
      <c r="P67" s="10">
        <v>13090</v>
      </c>
      <c r="Q67" s="10">
        <v>5</v>
      </c>
      <c r="R67" s="10" t="s">
        <v>277</v>
      </c>
      <c r="S67" s="10" t="s">
        <v>292</v>
      </c>
      <c r="T67" s="10" t="s">
        <v>308</v>
      </c>
      <c r="U67" s="10">
        <v>9662063276</v>
      </c>
      <c r="V67" s="12" t="s">
        <v>257</v>
      </c>
      <c r="W67" t="str">
        <f t="shared" ref="W67:W130" si="7">IF(OR(Q67&lt;=2,V67="Cancelled"),"Blacklisted",IF(AND(P67&gt;100000,Q67&gt;=4,O67&lt;=10%,V67="Completed"),"Platinum",IF(AND(P67&gt;=50000,Q67&gt;=3,V67="Completed"),"Gold",IF(AND(P67&lt;50000,V67="Completed"),"Silver",""))))</f>
        <v>Silver</v>
      </c>
      <c r="X67" t="str">
        <f t="shared" ref="X67:X130" si="8">PROPER(TRIM(F67))</f>
        <v>Priya Patel</v>
      </c>
      <c r="Y67" t="str">
        <f t="shared" ref="Y67:Z115" si="9">LEFT(F67,3)&amp;MID(B67,2,3)&amp;LEFT(I67,2)</f>
        <v>Pri002Ko</v>
      </c>
      <c r="Z67" t="str">
        <f t="shared" ref="Z67:Z130" si="10">IF(ISNUMBER(SEARCH("@",T67)),LOWER(TRIM(T67)),"invalid email")</f>
        <v>priya.patel@company.com</v>
      </c>
      <c r="AA67" t="str">
        <f t="shared" ca="1" si="6"/>
        <v/>
      </c>
      <c r="AB67" t="str">
        <f t="shared" ref="AB67:AB130" si="11">IF(OR(D67="",E67=""),"",IFERROR(DATE(MID(E67,7,4),MID(E67,4,2),LEFT(E67,2))-DATE(MID(D67,7,4),MID(D67,4,2),LEFT(D67,2)),""))</f>
        <v/>
      </c>
      <c r="AC67" t="str">
        <f t="shared" ref="AC67:AC130" si="12">IF(E67="","Pending",IF(AB67&lt;=5,"On time","Delayed"))</f>
        <v>Delayed</v>
      </c>
    </row>
    <row r="68" spans="1:29">
      <c r="A68" s="33" t="s">
        <v>443</v>
      </c>
      <c r="B68" s="5" t="s">
        <v>249</v>
      </c>
      <c r="C68" s="5" t="s">
        <v>362</v>
      </c>
      <c r="D68" s="6">
        <v>45666</v>
      </c>
      <c r="E68" s="6">
        <v>45786</v>
      </c>
      <c r="F68" s="5" t="s">
        <v>251</v>
      </c>
      <c r="G68" s="5" t="s">
        <v>239</v>
      </c>
      <c r="H68" s="5" t="s">
        <v>444</v>
      </c>
      <c r="I68" s="5" t="s">
        <v>260</v>
      </c>
      <c r="J68" s="5" t="s">
        <v>261</v>
      </c>
      <c r="K68" s="5" t="s">
        <v>295</v>
      </c>
      <c r="L68" s="5" t="s">
        <v>363</v>
      </c>
      <c r="M68" s="5">
        <v>19</v>
      </c>
      <c r="N68" s="5">
        <v>45</v>
      </c>
      <c r="O68" s="5">
        <v>10</v>
      </c>
      <c r="P68" s="5">
        <v>769.5</v>
      </c>
      <c r="Q68" s="5">
        <v>5</v>
      </c>
      <c r="R68" s="5" t="s">
        <v>272</v>
      </c>
      <c r="S68" s="5" t="s">
        <v>292</v>
      </c>
      <c r="T68" s="5" t="s">
        <v>264</v>
      </c>
      <c r="U68" s="5">
        <v>9190393639</v>
      </c>
      <c r="V68" s="8" t="s">
        <v>265</v>
      </c>
      <c r="W68" t="str">
        <f t="shared" si="7"/>
        <v>Blacklisted</v>
      </c>
      <c r="X68" t="str">
        <f t="shared" si="8"/>
        <v>Kavya Nair</v>
      </c>
      <c r="Y68" t="str">
        <f t="shared" si="9"/>
        <v>Kav008De</v>
      </c>
      <c r="Z68" t="str">
        <f t="shared" si="10"/>
        <v>kavya.nair@company.com</v>
      </c>
      <c r="AA68" t="str">
        <f t="shared" ref="AA68:AA131" ca="1" si="13">IF(H67="","",IFERROR(DATEDIF(IF(ISNUMBER(H67),H67,DATE(VALUE(RIGHT(H67,4)),VALUE(MID(H67,3,2)),VALUE(LEFT(H67,2)))),TODAY(),"Y"),""))</f>
        <v/>
      </c>
      <c r="AB68" t="str">
        <f t="shared" si="11"/>
        <v/>
      </c>
      <c r="AC68" t="str">
        <f t="shared" si="12"/>
        <v>Delayed</v>
      </c>
    </row>
    <row r="69" spans="1:29">
      <c r="A69" s="34" t="s">
        <v>445</v>
      </c>
      <c r="B69" s="10" t="s">
        <v>358</v>
      </c>
      <c r="C69" s="10" t="s">
        <v>280</v>
      </c>
      <c r="D69" s="11">
        <v>46267</v>
      </c>
      <c r="E69" s="10" t="s">
        <v>24</v>
      </c>
      <c r="F69" s="10" t="s">
        <v>359</v>
      </c>
      <c r="G69" s="10" t="s">
        <v>239</v>
      </c>
      <c r="H69" s="10" t="s">
        <v>446</v>
      </c>
      <c r="I69" s="10" t="s">
        <v>252</v>
      </c>
      <c r="J69" s="10" t="s">
        <v>242</v>
      </c>
      <c r="K69" s="10" t="s">
        <v>15</v>
      </c>
      <c r="L69" s="10" t="s">
        <v>282</v>
      </c>
      <c r="M69" s="10">
        <v>7</v>
      </c>
      <c r="N69" s="10">
        <v>3500</v>
      </c>
      <c r="O69" s="10">
        <v>15</v>
      </c>
      <c r="P69" s="10">
        <v>20825</v>
      </c>
      <c r="Q69" s="10">
        <v>1</v>
      </c>
      <c r="R69" s="10" t="s">
        <v>254</v>
      </c>
      <c r="S69" s="10" t="s">
        <v>312</v>
      </c>
      <c r="T69" s="10" t="s">
        <v>360</v>
      </c>
      <c r="U69" s="10">
        <v>9106328582</v>
      </c>
      <c r="V69" s="12" t="s">
        <v>248</v>
      </c>
      <c r="W69" t="str">
        <f t="shared" si="7"/>
        <v>Blacklisted</v>
      </c>
      <c r="X69" t="str">
        <f t="shared" si="8"/>
        <v>Sneha Joshi</v>
      </c>
      <c r="Y69" t="str">
        <f t="shared" si="9"/>
        <v>Sne006Hy</v>
      </c>
      <c r="Z69" t="str">
        <f t="shared" si="10"/>
        <v>sneha.joshi@company.com</v>
      </c>
      <c r="AA69" t="str">
        <f t="shared" ca="1" si="13"/>
        <v/>
      </c>
      <c r="AB69" t="str">
        <f t="shared" si="11"/>
        <v/>
      </c>
      <c r="AC69" t="str">
        <f t="shared" si="12"/>
        <v>Delayed</v>
      </c>
    </row>
    <row r="70" spans="1:29">
      <c r="A70" s="33" t="s">
        <v>447</v>
      </c>
      <c r="B70" s="5" t="s">
        <v>235</v>
      </c>
      <c r="C70" s="5" t="s">
        <v>322</v>
      </c>
      <c r="D70" s="5" t="s">
        <v>30</v>
      </c>
      <c r="E70" s="5" t="s">
        <v>448</v>
      </c>
      <c r="F70" s="5" t="s">
        <v>318</v>
      </c>
      <c r="G70" s="5" t="s">
        <v>239</v>
      </c>
      <c r="H70" s="5" t="s">
        <v>449</v>
      </c>
      <c r="I70" s="5" t="s">
        <v>342</v>
      </c>
      <c r="J70" s="5" t="s">
        <v>261</v>
      </c>
      <c r="K70" s="5" t="s">
        <v>15</v>
      </c>
      <c r="L70" s="5" t="s">
        <v>325</v>
      </c>
      <c r="M70" s="5">
        <v>7</v>
      </c>
      <c r="N70" s="5">
        <v>8500</v>
      </c>
      <c r="O70" s="5">
        <v>20</v>
      </c>
      <c r="P70" s="5">
        <v>47600</v>
      </c>
      <c r="Q70" s="5">
        <v>4</v>
      </c>
      <c r="R70" s="5" t="s">
        <v>245</v>
      </c>
      <c r="S70" s="5" t="s">
        <v>292</v>
      </c>
      <c r="T70" s="5" t="s">
        <v>247</v>
      </c>
      <c r="U70" s="5">
        <v>9264401015</v>
      </c>
      <c r="V70" s="8" t="s">
        <v>257</v>
      </c>
      <c r="W70" t="str">
        <f t="shared" si="7"/>
        <v>Silver</v>
      </c>
      <c r="X70" t="str">
        <f t="shared" si="8"/>
        <v>Pooja Shah</v>
      </c>
      <c r="Y70" t="str">
        <f t="shared" si="9"/>
        <v>Poo010Ja</v>
      </c>
      <c r="Z70" t="str">
        <f t="shared" si="10"/>
        <v>pooja.shah@company.com</v>
      </c>
      <c r="AA70" t="str">
        <f t="shared" ca="1" si="13"/>
        <v/>
      </c>
      <c r="AB70">
        <f t="shared" si="11"/>
        <v>5</v>
      </c>
      <c r="AC70" t="str">
        <f t="shared" si="12"/>
        <v>On time</v>
      </c>
    </row>
    <row r="71" spans="1:29">
      <c r="A71" s="34" t="s">
        <v>450</v>
      </c>
      <c r="B71" s="10" t="s">
        <v>249</v>
      </c>
      <c r="C71" s="10" t="s">
        <v>236</v>
      </c>
      <c r="D71" s="11">
        <v>45842</v>
      </c>
      <c r="E71" s="11">
        <v>45934</v>
      </c>
      <c r="F71" s="10" t="s">
        <v>251</v>
      </c>
      <c r="G71" s="10" t="s">
        <v>239</v>
      </c>
      <c r="H71" s="11">
        <v>36648</v>
      </c>
      <c r="I71" s="10" t="s">
        <v>241</v>
      </c>
      <c r="J71" s="10" t="s">
        <v>242</v>
      </c>
      <c r="K71" s="10" t="s">
        <v>243</v>
      </c>
      <c r="L71" s="10" t="s">
        <v>244</v>
      </c>
      <c r="M71" s="10">
        <v>16</v>
      </c>
      <c r="N71" s="10">
        <v>55000</v>
      </c>
      <c r="O71" s="10">
        <v>10</v>
      </c>
      <c r="P71" s="10">
        <v>792000</v>
      </c>
      <c r="Q71" s="10">
        <v>1</v>
      </c>
      <c r="R71" s="10" t="s">
        <v>272</v>
      </c>
      <c r="S71" s="10" t="s">
        <v>246</v>
      </c>
      <c r="T71" s="10" t="s">
        <v>264</v>
      </c>
      <c r="U71" s="10">
        <v>9959237375</v>
      </c>
      <c r="V71" s="12" t="s">
        <v>257</v>
      </c>
      <c r="W71" t="str">
        <f t="shared" si="7"/>
        <v>Blacklisted</v>
      </c>
      <c r="X71" t="str">
        <f t="shared" si="8"/>
        <v>Kavya Nair</v>
      </c>
      <c r="Y71" t="str">
        <f t="shared" si="9"/>
        <v>Kav008Be</v>
      </c>
      <c r="Z71" t="str">
        <f t="shared" si="10"/>
        <v>kavya.nair@company.com</v>
      </c>
      <c r="AA71" t="str">
        <f t="shared" ca="1" si="13"/>
        <v/>
      </c>
      <c r="AB71" t="str">
        <f t="shared" si="11"/>
        <v/>
      </c>
      <c r="AC71" t="str">
        <f t="shared" si="12"/>
        <v>Delayed</v>
      </c>
    </row>
    <row r="72" spans="1:29">
      <c r="A72" s="33" t="s">
        <v>451</v>
      </c>
      <c r="B72" s="5" t="s">
        <v>321</v>
      </c>
      <c r="C72" s="5" t="s">
        <v>258</v>
      </c>
      <c r="D72" s="5" t="s">
        <v>136</v>
      </c>
      <c r="E72" s="6">
        <v>46082</v>
      </c>
      <c r="F72" s="5" t="s">
        <v>408</v>
      </c>
      <c r="G72" s="5" t="s">
        <v>239</v>
      </c>
      <c r="H72" s="5" t="s">
        <v>452</v>
      </c>
      <c r="I72" s="5" t="s">
        <v>286</v>
      </c>
      <c r="J72" s="5" t="s">
        <v>287</v>
      </c>
      <c r="K72" s="5" t="s">
        <v>243</v>
      </c>
      <c r="L72" s="5" t="s">
        <v>262</v>
      </c>
      <c r="M72" s="5">
        <v>2</v>
      </c>
      <c r="N72" s="5">
        <v>12000</v>
      </c>
      <c r="O72" s="5">
        <v>20</v>
      </c>
      <c r="P72" s="5">
        <v>19200</v>
      </c>
      <c r="Q72" s="5">
        <v>1</v>
      </c>
      <c r="R72" s="5" t="s">
        <v>254</v>
      </c>
      <c r="S72" s="5" t="s">
        <v>312</v>
      </c>
      <c r="T72" s="7" t="s">
        <v>453</v>
      </c>
      <c r="U72" s="5">
        <v>9561836580</v>
      </c>
      <c r="V72" s="8" t="s">
        <v>248</v>
      </c>
      <c r="W72" t="str">
        <f t="shared" si="7"/>
        <v>Blacklisted</v>
      </c>
      <c r="X72" t="str">
        <f t="shared" si="8"/>
        <v>Anita Gupta</v>
      </c>
      <c r="Y72" t="str">
        <f t="shared" si="9"/>
        <v>Ani004Mu</v>
      </c>
      <c r="Z72" t="str">
        <f t="shared" si="10"/>
        <v>anita.gupta@company.com</v>
      </c>
      <c r="AA72">
        <f t="shared" ca="1" si="13"/>
        <v>26</v>
      </c>
      <c r="AB72" t="str">
        <f t="shared" si="11"/>
        <v/>
      </c>
      <c r="AC72" t="str">
        <f t="shared" si="12"/>
        <v>Delayed</v>
      </c>
    </row>
    <row r="73" spans="1:29">
      <c r="A73" s="34" t="s">
        <v>454</v>
      </c>
      <c r="B73" s="10" t="s">
        <v>299</v>
      </c>
      <c r="C73" s="10" t="s">
        <v>362</v>
      </c>
      <c r="D73" s="10" t="s">
        <v>199</v>
      </c>
      <c r="E73" s="11">
        <v>45786</v>
      </c>
      <c r="F73" s="10" t="s">
        <v>301</v>
      </c>
      <c r="G73" s="10" t="s">
        <v>269</v>
      </c>
      <c r="H73" s="10" t="s">
        <v>455</v>
      </c>
      <c r="I73" s="10" t="s">
        <v>241</v>
      </c>
      <c r="J73" s="10" t="s">
        <v>242</v>
      </c>
      <c r="K73" s="10" t="s">
        <v>295</v>
      </c>
      <c r="L73" s="10" t="s">
        <v>363</v>
      </c>
      <c r="M73" s="10">
        <v>4</v>
      </c>
      <c r="N73" s="10">
        <v>45</v>
      </c>
      <c r="O73" s="10">
        <v>5</v>
      </c>
      <c r="P73" s="10">
        <v>171</v>
      </c>
      <c r="Q73" s="10">
        <v>1</v>
      </c>
      <c r="R73" s="10" t="s">
        <v>272</v>
      </c>
      <c r="S73" s="10" t="s">
        <v>263</v>
      </c>
      <c r="T73" s="10" t="s">
        <v>302</v>
      </c>
      <c r="U73" s="10">
        <v>9512666401</v>
      </c>
      <c r="V73" s="12" t="s">
        <v>248</v>
      </c>
      <c r="W73" t="str">
        <f t="shared" si="7"/>
        <v>Blacklisted</v>
      </c>
      <c r="X73" t="str">
        <f t="shared" si="8"/>
        <v>Rohit Singh</v>
      </c>
      <c r="Y73" t="str">
        <f t="shared" si="9"/>
        <v>Roh003Be</v>
      </c>
      <c r="Z73" t="str">
        <f t="shared" si="10"/>
        <v>rohit.singh@company.com</v>
      </c>
      <c r="AA73" t="str">
        <f t="shared" ca="1" si="13"/>
        <v/>
      </c>
      <c r="AB73" t="str">
        <f t="shared" si="11"/>
        <v/>
      </c>
      <c r="AC73" t="str">
        <f t="shared" si="12"/>
        <v>Delayed</v>
      </c>
    </row>
    <row r="74" spans="1:29">
      <c r="A74" s="33" t="s">
        <v>456</v>
      </c>
      <c r="B74" s="5" t="s">
        <v>249</v>
      </c>
      <c r="C74" s="5" t="s">
        <v>267</v>
      </c>
      <c r="D74" s="5" t="s">
        <v>22</v>
      </c>
      <c r="E74" s="5" t="s">
        <v>127</v>
      </c>
      <c r="F74" s="5" t="s">
        <v>251</v>
      </c>
      <c r="G74" s="5" t="s">
        <v>239</v>
      </c>
      <c r="H74" s="5" t="s">
        <v>457</v>
      </c>
      <c r="I74" s="5" t="s">
        <v>342</v>
      </c>
      <c r="J74" s="5" t="s">
        <v>261</v>
      </c>
      <c r="K74" s="5" t="s">
        <v>243</v>
      </c>
      <c r="L74" s="5" t="s">
        <v>271</v>
      </c>
      <c r="M74" s="5">
        <v>1</v>
      </c>
      <c r="N74" s="5">
        <v>1200</v>
      </c>
      <c r="O74" s="5">
        <v>5</v>
      </c>
      <c r="P74" s="5">
        <v>1140</v>
      </c>
      <c r="Q74" s="5">
        <v>3</v>
      </c>
      <c r="R74" s="5" t="s">
        <v>277</v>
      </c>
      <c r="S74" s="5" t="s">
        <v>246</v>
      </c>
      <c r="T74" s="5" t="s">
        <v>264</v>
      </c>
      <c r="U74" s="5">
        <v>9808988530</v>
      </c>
      <c r="V74" s="8" t="s">
        <v>265</v>
      </c>
      <c r="W74" t="str">
        <f t="shared" si="7"/>
        <v>Blacklisted</v>
      </c>
      <c r="X74" t="str">
        <f t="shared" si="8"/>
        <v>Kavya Nair</v>
      </c>
      <c r="Y74" t="str">
        <f t="shared" si="9"/>
        <v>Kav008Ja</v>
      </c>
      <c r="Z74" t="str">
        <f t="shared" si="10"/>
        <v>kavya.nair@company.com</v>
      </c>
      <c r="AA74" t="str">
        <f t="shared" ca="1" si="13"/>
        <v/>
      </c>
      <c r="AB74">
        <f t="shared" si="11"/>
        <v>10</v>
      </c>
      <c r="AC74" t="str">
        <f t="shared" si="12"/>
        <v>Delayed</v>
      </c>
    </row>
    <row r="75" spans="1:29">
      <c r="A75" s="34" t="s">
        <v>458</v>
      </c>
      <c r="B75" s="10" t="s">
        <v>235</v>
      </c>
      <c r="C75" s="10" t="s">
        <v>250</v>
      </c>
      <c r="D75" s="11">
        <v>46114</v>
      </c>
      <c r="E75" s="10" t="s">
        <v>459</v>
      </c>
      <c r="F75" s="10" t="s">
        <v>318</v>
      </c>
      <c r="G75" s="10" t="s">
        <v>239</v>
      </c>
      <c r="H75" s="15" t="s">
        <v>460</v>
      </c>
      <c r="I75" s="10"/>
      <c r="J75" s="10" t="s">
        <v>242</v>
      </c>
      <c r="K75" s="10" t="s">
        <v>15</v>
      </c>
      <c r="L75" s="10" t="s">
        <v>253</v>
      </c>
      <c r="M75" s="10">
        <v>1</v>
      </c>
      <c r="N75" s="10">
        <v>2200</v>
      </c>
      <c r="O75" s="10">
        <v>15</v>
      </c>
      <c r="P75" s="10">
        <v>1870</v>
      </c>
      <c r="Q75" s="10">
        <v>4</v>
      </c>
      <c r="R75" s="10" t="s">
        <v>272</v>
      </c>
      <c r="S75" s="10" t="s">
        <v>246</v>
      </c>
      <c r="T75" s="10" t="s">
        <v>247</v>
      </c>
      <c r="U75" s="10">
        <v>9286410494</v>
      </c>
      <c r="V75" s="12" t="s">
        <v>257</v>
      </c>
      <c r="W75" t="str">
        <f t="shared" si="7"/>
        <v>Silver</v>
      </c>
      <c r="X75" t="str">
        <f t="shared" si="8"/>
        <v>Pooja Shah</v>
      </c>
      <c r="Y75" t="str">
        <f t="shared" si="9"/>
        <v>Poo010</v>
      </c>
      <c r="Z75" t="str">
        <f t="shared" si="10"/>
        <v>pooja.shah@company.com</v>
      </c>
      <c r="AA75" t="str">
        <f t="shared" ca="1" si="13"/>
        <v/>
      </c>
      <c r="AB75" t="str">
        <f t="shared" si="11"/>
        <v/>
      </c>
      <c r="AC75" t="str">
        <f t="shared" si="12"/>
        <v>Delayed</v>
      </c>
    </row>
    <row r="76" spans="1:29">
      <c r="A76" s="33" t="s">
        <v>461</v>
      </c>
      <c r="B76" s="5" t="s">
        <v>299</v>
      </c>
      <c r="C76" s="5" t="s">
        <v>267</v>
      </c>
      <c r="D76" s="5" t="s">
        <v>149</v>
      </c>
      <c r="E76" s="5" t="s">
        <v>174</v>
      </c>
      <c r="F76" s="5" t="s">
        <v>301</v>
      </c>
      <c r="G76" s="5" t="s">
        <v>269</v>
      </c>
      <c r="H76" s="6">
        <v>29993</v>
      </c>
      <c r="I76" s="5" t="s">
        <v>291</v>
      </c>
      <c r="J76" s="5" t="s">
        <v>287</v>
      </c>
      <c r="K76" s="5" t="s">
        <v>243</v>
      </c>
      <c r="L76" s="5" t="s">
        <v>271</v>
      </c>
      <c r="M76" s="5">
        <v>3</v>
      </c>
      <c r="N76" s="5">
        <v>1200</v>
      </c>
      <c r="O76" s="5">
        <v>10</v>
      </c>
      <c r="P76" s="5">
        <v>3240</v>
      </c>
      <c r="Q76" s="5">
        <v>5</v>
      </c>
      <c r="R76" s="5" t="s">
        <v>254</v>
      </c>
      <c r="S76" s="5" t="s">
        <v>263</v>
      </c>
      <c r="T76" s="5" t="s">
        <v>302</v>
      </c>
      <c r="U76" s="5">
        <v>9311555196</v>
      </c>
      <c r="V76" s="8" t="s">
        <v>257</v>
      </c>
      <c r="W76" t="str">
        <f t="shared" si="7"/>
        <v>Silver</v>
      </c>
      <c r="X76" t="str">
        <f t="shared" si="8"/>
        <v>Rohit Singh</v>
      </c>
      <c r="Y76" t="str">
        <f t="shared" si="9"/>
        <v>Roh003Pu</v>
      </c>
      <c r="Z76" t="str">
        <f t="shared" si="10"/>
        <v>rohit.singh@company.com</v>
      </c>
      <c r="AA76" t="str">
        <f t="shared" ca="1" si="13"/>
        <v/>
      </c>
      <c r="AB76">
        <f t="shared" si="11"/>
        <v>2</v>
      </c>
      <c r="AC76" t="str">
        <f t="shared" si="12"/>
        <v>On time</v>
      </c>
    </row>
    <row r="77" spans="1:29">
      <c r="A77" s="34" t="s">
        <v>462</v>
      </c>
      <c r="B77" s="10" t="s">
        <v>249</v>
      </c>
      <c r="C77" s="10" t="s">
        <v>280</v>
      </c>
      <c r="D77" s="10" t="s">
        <v>167</v>
      </c>
      <c r="E77" s="11">
        <v>45845</v>
      </c>
      <c r="F77" s="10" t="s">
        <v>251</v>
      </c>
      <c r="G77" s="10" t="s">
        <v>239</v>
      </c>
      <c r="H77" s="11">
        <v>29495</v>
      </c>
      <c r="I77" s="10" t="s">
        <v>241</v>
      </c>
      <c r="J77" s="10" t="s">
        <v>242</v>
      </c>
      <c r="K77" s="10" t="s">
        <v>15</v>
      </c>
      <c r="L77" s="10" t="s">
        <v>282</v>
      </c>
      <c r="M77" s="10">
        <v>10</v>
      </c>
      <c r="N77" s="10">
        <v>3500</v>
      </c>
      <c r="O77" s="10">
        <v>20</v>
      </c>
      <c r="P77" s="10">
        <v>28000</v>
      </c>
      <c r="Q77" s="10">
        <v>5</v>
      </c>
      <c r="R77" s="10" t="s">
        <v>272</v>
      </c>
      <c r="S77" s="10" t="s">
        <v>255</v>
      </c>
      <c r="T77" s="10" t="s">
        <v>264</v>
      </c>
      <c r="U77" s="10">
        <v>9101810266</v>
      </c>
      <c r="V77" s="12" t="s">
        <v>257</v>
      </c>
      <c r="W77" t="str">
        <f t="shared" si="7"/>
        <v>Silver</v>
      </c>
      <c r="X77" t="str">
        <f t="shared" si="8"/>
        <v>Kavya Nair</v>
      </c>
      <c r="Y77" t="str">
        <f t="shared" si="9"/>
        <v>Kav008Be</v>
      </c>
      <c r="Z77" t="str">
        <f t="shared" si="10"/>
        <v>kavya.nair@company.com</v>
      </c>
      <c r="AA77">
        <f t="shared" ca="1" si="13"/>
        <v>44</v>
      </c>
      <c r="AB77" t="str">
        <f t="shared" si="11"/>
        <v/>
      </c>
      <c r="AC77" t="str">
        <f t="shared" si="12"/>
        <v>Delayed</v>
      </c>
    </row>
    <row r="78" spans="1:29">
      <c r="A78" s="33" t="s">
        <v>463</v>
      </c>
      <c r="B78" s="5" t="s">
        <v>275</v>
      </c>
      <c r="C78" s="5" t="s">
        <v>330</v>
      </c>
      <c r="D78" s="5" t="s">
        <v>58</v>
      </c>
      <c r="E78" s="5" t="s">
        <v>425</v>
      </c>
      <c r="F78" s="5" t="s">
        <v>328</v>
      </c>
      <c r="G78" s="5" t="s">
        <v>269</v>
      </c>
      <c r="H78" s="5" t="s">
        <v>464</v>
      </c>
      <c r="I78" s="5" t="s">
        <v>260</v>
      </c>
      <c r="J78" s="5" t="s">
        <v>261</v>
      </c>
      <c r="K78" s="5" t="s">
        <v>243</v>
      </c>
      <c r="L78" s="5" t="s">
        <v>333</v>
      </c>
      <c r="M78" s="5">
        <v>18</v>
      </c>
      <c r="N78" s="5">
        <v>700</v>
      </c>
      <c r="O78" s="5">
        <v>5</v>
      </c>
      <c r="P78" s="5">
        <v>11970</v>
      </c>
      <c r="Q78" s="5">
        <v>3</v>
      </c>
      <c r="R78" s="5" t="s">
        <v>272</v>
      </c>
      <c r="S78" s="5" t="s">
        <v>292</v>
      </c>
      <c r="T78" s="5" t="s">
        <v>278</v>
      </c>
      <c r="U78" s="5">
        <v>9464556593</v>
      </c>
      <c r="V78" s="8" t="s">
        <v>265</v>
      </c>
      <c r="W78" t="str">
        <f t="shared" si="7"/>
        <v>Blacklisted</v>
      </c>
      <c r="X78" t="str">
        <f t="shared" si="8"/>
        <v>Arjun Rao</v>
      </c>
      <c r="Y78" t="str">
        <f t="shared" si="9"/>
        <v>Arj007De</v>
      </c>
      <c r="Z78" t="str">
        <f t="shared" si="10"/>
        <v>arjun.rao@company.com</v>
      </c>
      <c r="AA78">
        <f t="shared" ca="1" si="13"/>
        <v>46</v>
      </c>
      <c r="AB78">
        <f t="shared" si="11"/>
        <v>2</v>
      </c>
      <c r="AC78" t="str">
        <f t="shared" si="12"/>
        <v>On time</v>
      </c>
    </row>
    <row r="79" spans="1:29">
      <c r="A79" s="34" t="s">
        <v>465</v>
      </c>
      <c r="B79" s="10" t="s">
        <v>346</v>
      </c>
      <c r="C79" s="10" t="s">
        <v>330</v>
      </c>
      <c r="D79" s="11">
        <v>45906</v>
      </c>
      <c r="E79" s="10" t="s">
        <v>466</v>
      </c>
      <c r="F79" s="10" t="s">
        <v>348</v>
      </c>
      <c r="G79" s="10" t="s">
        <v>269</v>
      </c>
      <c r="H79" s="11">
        <v>31384</v>
      </c>
      <c r="I79" s="10" t="s">
        <v>241</v>
      </c>
      <c r="J79" s="10" t="s">
        <v>242</v>
      </c>
      <c r="K79" s="10" t="s">
        <v>243</v>
      </c>
      <c r="L79" s="10" t="s">
        <v>333</v>
      </c>
      <c r="M79" s="10">
        <v>12</v>
      </c>
      <c r="N79" s="10">
        <v>700</v>
      </c>
      <c r="O79" s="10">
        <v>15</v>
      </c>
      <c r="P79" s="10">
        <v>7140</v>
      </c>
      <c r="Q79" s="10">
        <v>2</v>
      </c>
      <c r="R79" s="10" t="s">
        <v>277</v>
      </c>
      <c r="S79" s="10" t="s">
        <v>263</v>
      </c>
      <c r="T79" s="10" t="s">
        <v>350</v>
      </c>
      <c r="U79" s="10">
        <v>9338278358</v>
      </c>
      <c r="V79" s="12" t="s">
        <v>257</v>
      </c>
      <c r="W79" t="str">
        <f t="shared" si="7"/>
        <v>Blacklisted</v>
      </c>
      <c r="X79" t="str">
        <f t="shared" si="8"/>
        <v>Vikas Mehta</v>
      </c>
      <c r="Y79" t="str">
        <f t="shared" si="9"/>
        <v>Vik005Be</v>
      </c>
      <c r="Z79" t="str">
        <f t="shared" si="10"/>
        <v>vikas.mehta@company.com</v>
      </c>
      <c r="AA79" t="str">
        <f t="shared" ca="1" si="13"/>
        <v/>
      </c>
      <c r="AB79" t="str">
        <f t="shared" si="11"/>
        <v/>
      </c>
      <c r="AC79" t="str">
        <f t="shared" si="12"/>
        <v>Delayed</v>
      </c>
    </row>
    <row r="80" spans="1:29">
      <c r="A80" s="33" t="s">
        <v>467</v>
      </c>
      <c r="B80" s="5" t="s">
        <v>266</v>
      </c>
      <c r="C80" s="5" t="s">
        <v>267</v>
      </c>
      <c r="D80" s="5" t="s">
        <v>38</v>
      </c>
      <c r="E80" s="5" t="s">
        <v>51</v>
      </c>
      <c r="F80" s="5" t="s">
        <v>268</v>
      </c>
      <c r="G80" s="5" t="s">
        <v>269</v>
      </c>
      <c r="H80" s="5" t="s">
        <v>468</v>
      </c>
      <c r="I80" s="5" t="s">
        <v>286</v>
      </c>
      <c r="J80" s="5" t="s">
        <v>287</v>
      </c>
      <c r="K80" s="5" t="s">
        <v>243</v>
      </c>
      <c r="L80" s="5" t="s">
        <v>271</v>
      </c>
      <c r="M80" s="5">
        <v>8</v>
      </c>
      <c r="N80" s="5">
        <v>1200</v>
      </c>
      <c r="O80" s="5">
        <v>0</v>
      </c>
      <c r="P80" s="5">
        <v>9600</v>
      </c>
      <c r="Q80" s="5">
        <v>4</v>
      </c>
      <c r="R80" s="5" t="s">
        <v>272</v>
      </c>
      <c r="S80" s="5" t="s">
        <v>263</v>
      </c>
      <c r="T80" s="5" t="s">
        <v>273</v>
      </c>
      <c r="U80" s="5">
        <v>9621410770</v>
      </c>
      <c r="V80" s="8" t="s">
        <v>248</v>
      </c>
      <c r="W80" t="str">
        <f t="shared" si="7"/>
        <v/>
      </c>
      <c r="X80" t="str">
        <f t="shared" si="8"/>
        <v>Mohit Verma</v>
      </c>
      <c r="Y80" t="str">
        <f t="shared" si="9"/>
        <v>Moh009Mu</v>
      </c>
      <c r="Z80" t="str">
        <f t="shared" si="10"/>
        <v>mohit.verma@company.com</v>
      </c>
      <c r="AA80">
        <f t="shared" ca="1" si="13"/>
        <v>40</v>
      </c>
      <c r="AB80">
        <f t="shared" si="11"/>
        <v>1</v>
      </c>
      <c r="AC80" t="str">
        <f t="shared" si="12"/>
        <v>On time</v>
      </c>
    </row>
    <row r="81" spans="1:29">
      <c r="A81" s="34" t="s">
        <v>469</v>
      </c>
      <c r="B81" s="10" t="s">
        <v>299</v>
      </c>
      <c r="C81" s="10" t="s">
        <v>294</v>
      </c>
      <c r="D81" s="11">
        <v>45819</v>
      </c>
      <c r="E81" s="11">
        <v>45941</v>
      </c>
      <c r="F81" s="10" t="s">
        <v>301</v>
      </c>
      <c r="G81" s="10" t="s">
        <v>269</v>
      </c>
      <c r="H81" s="11">
        <v>30504</v>
      </c>
      <c r="I81" s="10" t="s">
        <v>291</v>
      </c>
      <c r="J81" s="10" t="s">
        <v>287</v>
      </c>
      <c r="K81" s="10" t="s">
        <v>295</v>
      </c>
      <c r="L81" s="10" t="s">
        <v>296</v>
      </c>
      <c r="M81" s="10">
        <v>2</v>
      </c>
      <c r="N81" s="10">
        <v>60</v>
      </c>
      <c r="O81" s="10">
        <v>0</v>
      </c>
      <c r="P81" s="10">
        <v>120</v>
      </c>
      <c r="Q81" s="10">
        <v>2</v>
      </c>
      <c r="R81" s="10" t="s">
        <v>277</v>
      </c>
      <c r="S81" s="10" t="s">
        <v>263</v>
      </c>
      <c r="T81" s="10" t="s">
        <v>302</v>
      </c>
      <c r="U81" s="10">
        <v>9981333189</v>
      </c>
      <c r="V81" s="12" t="s">
        <v>257</v>
      </c>
      <c r="W81" t="str">
        <f t="shared" si="7"/>
        <v>Blacklisted</v>
      </c>
      <c r="X81" t="str">
        <f t="shared" si="8"/>
        <v>Rohit Singh</v>
      </c>
      <c r="Y81" t="str">
        <f t="shared" si="9"/>
        <v>Roh003Pu</v>
      </c>
      <c r="Z81" t="str">
        <f t="shared" si="10"/>
        <v>rohit.singh@company.com</v>
      </c>
      <c r="AA81" t="str">
        <f t="shared" ca="1" si="13"/>
        <v/>
      </c>
      <c r="AB81" t="str">
        <f t="shared" si="11"/>
        <v/>
      </c>
      <c r="AC81" t="str">
        <f t="shared" si="12"/>
        <v>Delayed</v>
      </c>
    </row>
    <row r="82" spans="1:29">
      <c r="A82" s="33" t="s">
        <v>470</v>
      </c>
      <c r="B82" s="5" t="s">
        <v>392</v>
      </c>
      <c r="C82" s="5" t="s">
        <v>362</v>
      </c>
      <c r="D82" s="6">
        <v>45658</v>
      </c>
      <c r="E82" s="6">
        <v>45839</v>
      </c>
      <c r="F82" s="5" t="s">
        <v>323</v>
      </c>
      <c r="G82" s="5" t="s">
        <v>269</v>
      </c>
      <c r="H82" s="6">
        <v>32662</v>
      </c>
      <c r="I82" s="5" t="s">
        <v>291</v>
      </c>
      <c r="J82" s="5" t="s">
        <v>287</v>
      </c>
      <c r="K82" s="5" t="s">
        <v>295</v>
      </c>
      <c r="L82" s="5" t="s">
        <v>363</v>
      </c>
      <c r="M82" s="5">
        <v>10</v>
      </c>
      <c r="N82" s="5">
        <v>45</v>
      </c>
      <c r="O82" s="5">
        <v>15</v>
      </c>
      <c r="P82" s="5">
        <v>382.5</v>
      </c>
      <c r="Q82" s="5">
        <v>3</v>
      </c>
      <c r="R82" s="5" t="s">
        <v>245</v>
      </c>
      <c r="S82" s="5" t="s">
        <v>255</v>
      </c>
      <c r="T82" s="5" t="s">
        <v>395</v>
      </c>
      <c r="U82" s="5">
        <v>9723450355</v>
      </c>
      <c r="V82" s="8" t="s">
        <v>265</v>
      </c>
      <c r="W82" t="str">
        <f t="shared" si="7"/>
        <v>Blacklisted</v>
      </c>
      <c r="X82" t="str">
        <f t="shared" si="8"/>
        <v>Amit Sharma</v>
      </c>
      <c r="Y82" t="str">
        <f t="shared" si="9"/>
        <v>Ami001Pu</v>
      </c>
      <c r="Z82" t="str">
        <f t="shared" si="10"/>
        <v>amit.sharma@company.com</v>
      </c>
      <c r="AA82">
        <f t="shared" ca="1" si="13"/>
        <v>43</v>
      </c>
      <c r="AB82" t="str">
        <f t="shared" si="11"/>
        <v/>
      </c>
      <c r="AC82" t="str">
        <f t="shared" si="12"/>
        <v>Delayed</v>
      </c>
    </row>
    <row r="83" spans="1:29">
      <c r="A83" s="34" t="s">
        <v>471</v>
      </c>
      <c r="B83" s="10" t="s">
        <v>346</v>
      </c>
      <c r="C83" s="10" t="s">
        <v>280</v>
      </c>
      <c r="D83" s="10" t="s">
        <v>142</v>
      </c>
      <c r="E83" s="11">
        <v>46086</v>
      </c>
      <c r="F83" s="10" t="s">
        <v>348</v>
      </c>
      <c r="G83" s="10" t="s">
        <v>269</v>
      </c>
      <c r="H83" s="10" t="s">
        <v>472</v>
      </c>
      <c r="I83" s="10" t="s">
        <v>379</v>
      </c>
      <c r="J83" s="10" t="s">
        <v>21</v>
      </c>
      <c r="K83" s="10" t="s">
        <v>15</v>
      </c>
      <c r="L83" s="10" t="s">
        <v>282</v>
      </c>
      <c r="M83" s="10">
        <v>12</v>
      </c>
      <c r="N83" s="10">
        <v>3500</v>
      </c>
      <c r="O83" s="10">
        <v>5</v>
      </c>
      <c r="P83" s="10">
        <v>39900</v>
      </c>
      <c r="Q83" s="10">
        <v>3</v>
      </c>
      <c r="R83" s="10" t="s">
        <v>245</v>
      </c>
      <c r="S83" s="10" t="s">
        <v>246</v>
      </c>
      <c r="T83" s="10" t="s">
        <v>350</v>
      </c>
      <c r="U83" s="10">
        <v>9886243907</v>
      </c>
      <c r="V83" s="12" t="s">
        <v>248</v>
      </c>
      <c r="W83" t="str">
        <f t="shared" si="7"/>
        <v/>
      </c>
      <c r="X83" t="str">
        <f t="shared" si="8"/>
        <v>Vikas Mehta</v>
      </c>
      <c r="Y83" t="str">
        <f t="shared" si="9"/>
        <v>Vik005Ko</v>
      </c>
      <c r="Z83" t="str">
        <f t="shared" si="10"/>
        <v>vikas.mehta@company.com</v>
      </c>
      <c r="AA83">
        <f t="shared" ca="1" si="13"/>
        <v>37</v>
      </c>
      <c r="AB83" t="str">
        <f t="shared" si="11"/>
        <v/>
      </c>
      <c r="AC83" t="str">
        <f t="shared" si="12"/>
        <v>Delayed</v>
      </c>
    </row>
    <row r="84" spans="1:29">
      <c r="A84" s="33" t="s">
        <v>473</v>
      </c>
      <c r="B84" s="5" t="s">
        <v>299</v>
      </c>
      <c r="C84" s="5" t="s">
        <v>294</v>
      </c>
      <c r="D84" s="5" t="s">
        <v>83</v>
      </c>
      <c r="E84" s="5" t="s">
        <v>170</v>
      </c>
      <c r="F84" s="5" t="s">
        <v>301</v>
      </c>
      <c r="G84" s="5" t="s">
        <v>269</v>
      </c>
      <c r="H84" s="5" t="s">
        <v>474</v>
      </c>
      <c r="I84" s="5" t="s">
        <v>286</v>
      </c>
      <c r="J84" s="5" t="s">
        <v>287</v>
      </c>
      <c r="K84" s="5" t="s">
        <v>295</v>
      </c>
      <c r="L84" s="5" t="s">
        <v>296</v>
      </c>
      <c r="M84" s="5">
        <v>2</v>
      </c>
      <c r="N84" s="5">
        <v>60</v>
      </c>
      <c r="O84" s="5">
        <v>15</v>
      </c>
      <c r="P84" s="5">
        <v>102</v>
      </c>
      <c r="Q84" s="5">
        <v>1</v>
      </c>
      <c r="R84" s="5" t="s">
        <v>277</v>
      </c>
      <c r="S84" s="5" t="s">
        <v>292</v>
      </c>
      <c r="T84" s="5" t="s">
        <v>302</v>
      </c>
      <c r="U84" s="5">
        <v>9473931904</v>
      </c>
      <c r="V84" s="8" t="s">
        <v>257</v>
      </c>
      <c r="W84" t="str">
        <f t="shared" si="7"/>
        <v>Blacklisted</v>
      </c>
      <c r="X84" t="str">
        <f t="shared" si="8"/>
        <v>Rohit Singh</v>
      </c>
      <c r="Y84" t="str">
        <f t="shared" si="9"/>
        <v>Roh003Mu</v>
      </c>
      <c r="Z84" t="str">
        <f t="shared" si="10"/>
        <v>rohit.singh@company.com</v>
      </c>
      <c r="AA84" t="str">
        <f t="shared" ca="1" si="13"/>
        <v/>
      </c>
      <c r="AB84">
        <f t="shared" si="11"/>
        <v>8</v>
      </c>
      <c r="AC84" t="str">
        <f t="shared" si="12"/>
        <v>Delayed</v>
      </c>
    </row>
    <row r="85" spans="1:29">
      <c r="A85" s="34" t="s">
        <v>475</v>
      </c>
      <c r="B85" s="10" t="s">
        <v>299</v>
      </c>
      <c r="C85" s="10" t="s">
        <v>267</v>
      </c>
      <c r="D85" s="10" t="s">
        <v>66</v>
      </c>
      <c r="E85" s="10" t="s">
        <v>476</v>
      </c>
      <c r="F85" s="10" t="s">
        <v>301</v>
      </c>
      <c r="G85" s="10" t="s">
        <v>269</v>
      </c>
      <c r="H85" s="10" t="s">
        <v>477</v>
      </c>
      <c r="I85" s="10" t="s">
        <v>252</v>
      </c>
      <c r="J85" s="10" t="s">
        <v>242</v>
      </c>
      <c r="K85" s="10" t="s">
        <v>243</v>
      </c>
      <c r="L85" s="10" t="s">
        <v>271</v>
      </c>
      <c r="M85" s="10">
        <v>18</v>
      </c>
      <c r="N85" s="10">
        <v>1200</v>
      </c>
      <c r="O85" s="10">
        <v>15</v>
      </c>
      <c r="P85" s="10">
        <v>18360</v>
      </c>
      <c r="Q85" s="10">
        <v>3</v>
      </c>
      <c r="R85" s="10" t="s">
        <v>272</v>
      </c>
      <c r="S85" s="10" t="s">
        <v>292</v>
      </c>
      <c r="T85" s="10" t="s">
        <v>302</v>
      </c>
      <c r="U85" s="10">
        <v>9287159610</v>
      </c>
      <c r="V85" s="12" t="s">
        <v>248</v>
      </c>
      <c r="W85" t="str">
        <f t="shared" si="7"/>
        <v/>
      </c>
      <c r="X85" t="str">
        <f t="shared" si="8"/>
        <v>Rohit Singh</v>
      </c>
      <c r="Y85" t="str">
        <f t="shared" si="9"/>
        <v>Roh003Hy</v>
      </c>
      <c r="Z85" t="str">
        <f t="shared" si="10"/>
        <v>rohit.singh@company.com</v>
      </c>
      <c r="AA85" t="str">
        <f t="shared" ca="1" si="13"/>
        <v/>
      </c>
      <c r="AB85">
        <f t="shared" si="11"/>
        <v>3</v>
      </c>
      <c r="AC85" t="str">
        <f t="shared" si="12"/>
        <v>On time</v>
      </c>
    </row>
    <row r="86" spans="1:29">
      <c r="A86" s="33" t="s">
        <v>478</v>
      </c>
      <c r="B86" s="5" t="s">
        <v>249</v>
      </c>
      <c r="C86" s="5" t="s">
        <v>258</v>
      </c>
      <c r="D86" s="5" t="s">
        <v>200</v>
      </c>
      <c r="E86" s="5" t="s">
        <v>205</v>
      </c>
      <c r="F86" s="5" t="s">
        <v>251</v>
      </c>
      <c r="G86" s="5" t="s">
        <v>239</v>
      </c>
      <c r="H86" s="5" t="s">
        <v>479</v>
      </c>
      <c r="I86" s="5" t="s">
        <v>286</v>
      </c>
      <c r="J86" s="5" t="s">
        <v>287</v>
      </c>
      <c r="K86" s="5" t="s">
        <v>243</v>
      </c>
      <c r="L86" s="5" t="s">
        <v>262</v>
      </c>
      <c r="M86" s="5">
        <v>18</v>
      </c>
      <c r="N86" s="5">
        <v>12000</v>
      </c>
      <c r="O86" s="5">
        <v>15</v>
      </c>
      <c r="P86" s="5">
        <v>183600</v>
      </c>
      <c r="Q86" s="5">
        <v>2</v>
      </c>
      <c r="R86" s="5" t="s">
        <v>254</v>
      </c>
      <c r="S86" s="5" t="s">
        <v>263</v>
      </c>
      <c r="T86" s="5" t="s">
        <v>264</v>
      </c>
      <c r="U86" s="5">
        <v>9876513858</v>
      </c>
      <c r="V86" s="8" t="s">
        <v>257</v>
      </c>
      <c r="W86" t="str">
        <f t="shared" si="7"/>
        <v>Blacklisted</v>
      </c>
      <c r="X86" t="str">
        <f t="shared" si="8"/>
        <v>Kavya Nair</v>
      </c>
      <c r="Y86" t="str">
        <f t="shared" si="9"/>
        <v>Kav008Mu</v>
      </c>
      <c r="Z86" t="str">
        <f t="shared" si="10"/>
        <v>kavya.nair@company.com</v>
      </c>
      <c r="AA86" t="str">
        <f t="shared" ca="1" si="13"/>
        <v/>
      </c>
      <c r="AB86">
        <f t="shared" si="11"/>
        <v>1</v>
      </c>
      <c r="AC86" t="str">
        <f t="shared" si="12"/>
        <v>On time</v>
      </c>
    </row>
    <row r="87" spans="1:29">
      <c r="A87" s="34" t="s">
        <v>480</v>
      </c>
      <c r="B87" s="10" t="s">
        <v>275</v>
      </c>
      <c r="C87" s="10" t="s">
        <v>347</v>
      </c>
      <c r="D87" s="10" t="s">
        <v>205</v>
      </c>
      <c r="E87" s="11">
        <v>45972</v>
      </c>
      <c r="F87" s="10" t="s">
        <v>328</v>
      </c>
      <c r="G87" s="10" t="s">
        <v>269</v>
      </c>
      <c r="H87" s="11">
        <v>34977</v>
      </c>
      <c r="I87" s="10" t="s">
        <v>306</v>
      </c>
      <c r="J87" s="10" t="s">
        <v>287</v>
      </c>
      <c r="K87" s="10" t="s">
        <v>295</v>
      </c>
      <c r="L87" s="10" t="s">
        <v>349</v>
      </c>
      <c r="M87" s="10">
        <v>7</v>
      </c>
      <c r="N87" s="10">
        <v>20</v>
      </c>
      <c r="O87" s="10">
        <v>0</v>
      </c>
      <c r="P87" s="10">
        <v>140</v>
      </c>
      <c r="Q87" s="10">
        <v>2</v>
      </c>
      <c r="R87" s="10" t="s">
        <v>272</v>
      </c>
      <c r="S87" s="10" t="s">
        <v>255</v>
      </c>
      <c r="T87" s="10" t="s">
        <v>278</v>
      </c>
      <c r="U87" s="10">
        <v>9237400853</v>
      </c>
      <c r="V87" s="12" t="s">
        <v>265</v>
      </c>
      <c r="W87" t="str">
        <f t="shared" si="7"/>
        <v>Blacklisted</v>
      </c>
      <c r="X87" t="str">
        <f t="shared" si="8"/>
        <v>Arjun Rao</v>
      </c>
      <c r="Y87" t="str">
        <f t="shared" si="9"/>
        <v>Arj007Ah</v>
      </c>
      <c r="Z87" t="str">
        <f t="shared" si="10"/>
        <v>arjun.rao@company.com</v>
      </c>
      <c r="AA87" t="str">
        <f t="shared" ca="1" si="13"/>
        <v/>
      </c>
      <c r="AB87" t="str">
        <f t="shared" si="11"/>
        <v/>
      </c>
      <c r="AC87" t="str">
        <f t="shared" si="12"/>
        <v>Delayed</v>
      </c>
    </row>
    <row r="88" spans="1:29">
      <c r="A88" s="33" t="s">
        <v>481</v>
      </c>
      <c r="B88" s="5" t="s">
        <v>358</v>
      </c>
      <c r="C88" s="5" t="s">
        <v>280</v>
      </c>
      <c r="D88" s="6">
        <v>45934</v>
      </c>
      <c r="E88" s="5" t="s">
        <v>67</v>
      </c>
      <c r="F88" s="5" t="s">
        <v>359</v>
      </c>
      <c r="G88" s="5" t="s">
        <v>239</v>
      </c>
      <c r="H88" s="5" t="s">
        <v>482</v>
      </c>
      <c r="I88" s="5" t="s">
        <v>291</v>
      </c>
      <c r="J88" s="5" t="s">
        <v>287</v>
      </c>
      <c r="K88" s="5" t="s">
        <v>15</v>
      </c>
      <c r="L88" s="5" t="s">
        <v>282</v>
      </c>
      <c r="M88" s="5">
        <v>20</v>
      </c>
      <c r="N88" s="5">
        <v>3500</v>
      </c>
      <c r="O88" s="5">
        <v>20</v>
      </c>
      <c r="P88" s="5">
        <v>56000</v>
      </c>
      <c r="Q88" s="5">
        <v>4</v>
      </c>
      <c r="R88" s="5" t="s">
        <v>272</v>
      </c>
      <c r="S88" s="5" t="s">
        <v>292</v>
      </c>
      <c r="T88" s="5" t="s">
        <v>360</v>
      </c>
      <c r="U88" s="5">
        <v>9599597595</v>
      </c>
      <c r="V88" s="8" t="s">
        <v>248</v>
      </c>
      <c r="W88" t="str">
        <f t="shared" si="7"/>
        <v/>
      </c>
      <c r="X88" t="str">
        <f t="shared" si="8"/>
        <v>Sneha Joshi</v>
      </c>
      <c r="Y88" t="str">
        <f t="shared" si="9"/>
        <v>Sne006Pu</v>
      </c>
      <c r="Z88" t="str">
        <f t="shared" si="10"/>
        <v>sneha.joshi@company.com</v>
      </c>
      <c r="AA88">
        <f t="shared" ca="1" si="13"/>
        <v>31</v>
      </c>
      <c r="AB88" t="str">
        <f t="shared" si="11"/>
        <v/>
      </c>
      <c r="AC88" t="str">
        <f t="shared" si="12"/>
        <v>Delayed</v>
      </c>
    </row>
    <row r="89" spans="1:29">
      <c r="A89" s="34" t="s">
        <v>483</v>
      </c>
      <c r="B89" s="10" t="s">
        <v>284</v>
      </c>
      <c r="C89" s="10" t="s">
        <v>322</v>
      </c>
      <c r="D89" s="10" t="s">
        <v>44</v>
      </c>
      <c r="E89" s="10" t="s">
        <v>152</v>
      </c>
      <c r="F89" s="10" t="s">
        <v>285</v>
      </c>
      <c r="G89" s="10" t="s">
        <v>239</v>
      </c>
      <c r="H89" s="10" t="s">
        <v>484</v>
      </c>
      <c r="I89" s="10" t="s">
        <v>306</v>
      </c>
      <c r="J89" s="10" t="s">
        <v>287</v>
      </c>
      <c r="K89" s="10" t="s">
        <v>15</v>
      </c>
      <c r="L89" s="10" t="s">
        <v>325</v>
      </c>
      <c r="M89" s="10">
        <v>8</v>
      </c>
      <c r="N89" s="10">
        <v>8500</v>
      </c>
      <c r="O89" s="10">
        <v>20</v>
      </c>
      <c r="P89" s="10">
        <v>54400</v>
      </c>
      <c r="Q89" s="10">
        <v>3</v>
      </c>
      <c r="R89" s="10" t="s">
        <v>272</v>
      </c>
      <c r="S89" s="10" t="s">
        <v>292</v>
      </c>
      <c r="T89" s="10" t="s">
        <v>308</v>
      </c>
      <c r="U89" s="10">
        <v>9230007509</v>
      </c>
      <c r="V89" s="12" t="s">
        <v>248</v>
      </c>
      <c r="W89" t="str">
        <f t="shared" si="7"/>
        <v/>
      </c>
      <c r="X89" t="str">
        <f t="shared" si="8"/>
        <v>Priya Patel</v>
      </c>
      <c r="Y89" t="str">
        <f t="shared" si="9"/>
        <v>Pri002Ah</v>
      </c>
      <c r="Z89" t="str">
        <f t="shared" si="10"/>
        <v>priya.patel@company.com</v>
      </c>
      <c r="AA89" t="str">
        <f t="shared" ca="1" si="13"/>
        <v/>
      </c>
      <c r="AB89">
        <f t="shared" si="11"/>
        <v>10</v>
      </c>
      <c r="AC89" t="str">
        <f t="shared" si="12"/>
        <v>Delayed</v>
      </c>
    </row>
    <row r="90" spans="1:29">
      <c r="A90" s="33" t="s">
        <v>485</v>
      </c>
      <c r="B90" s="5" t="s">
        <v>392</v>
      </c>
      <c r="C90" s="5" t="s">
        <v>258</v>
      </c>
      <c r="D90" s="5" t="s">
        <v>36</v>
      </c>
      <c r="E90" s="5" t="s">
        <v>486</v>
      </c>
      <c r="F90" s="5" t="s">
        <v>323</v>
      </c>
      <c r="G90" s="5" t="s">
        <v>269</v>
      </c>
      <c r="H90" s="5" t="s">
        <v>487</v>
      </c>
      <c r="I90" s="5" t="s">
        <v>306</v>
      </c>
      <c r="J90" s="5" t="s">
        <v>488</v>
      </c>
      <c r="K90" s="5" t="s">
        <v>243</v>
      </c>
      <c r="L90" s="5" t="s">
        <v>262</v>
      </c>
      <c r="M90" s="5">
        <v>6</v>
      </c>
      <c r="N90" s="5">
        <v>12000</v>
      </c>
      <c r="O90" s="5">
        <v>5</v>
      </c>
      <c r="P90" s="5">
        <v>68400</v>
      </c>
      <c r="Q90" s="5">
        <v>4</v>
      </c>
      <c r="R90" s="5" t="s">
        <v>245</v>
      </c>
      <c r="S90" s="5" t="s">
        <v>255</v>
      </c>
      <c r="T90" s="5" t="s">
        <v>395</v>
      </c>
      <c r="U90" s="5">
        <v>9823428025</v>
      </c>
      <c r="V90" s="8" t="s">
        <v>257</v>
      </c>
      <c r="W90" t="str">
        <f t="shared" si="7"/>
        <v>Gold</v>
      </c>
      <c r="X90" t="str">
        <f t="shared" si="8"/>
        <v>Amit Sharma</v>
      </c>
      <c r="Y90" t="str">
        <f t="shared" si="9"/>
        <v>Ami001Ah</v>
      </c>
      <c r="Z90" t="str">
        <f t="shared" si="10"/>
        <v>amit.sharma@company.com</v>
      </c>
      <c r="AA90" t="str">
        <f t="shared" ca="1" si="13"/>
        <v/>
      </c>
      <c r="AB90">
        <f t="shared" si="11"/>
        <v>9</v>
      </c>
      <c r="AC90" t="str">
        <f t="shared" si="12"/>
        <v>Delayed</v>
      </c>
    </row>
    <row r="91" spans="1:29">
      <c r="A91" s="34" t="s">
        <v>489</v>
      </c>
      <c r="B91" s="10" t="s">
        <v>249</v>
      </c>
      <c r="C91" s="10" t="s">
        <v>322</v>
      </c>
      <c r="D91" s="11">
        <v>46329</v>
      </c>
      <c r="E91" s="10" t="s">
        <v>425</v>
      </c>
      <c r="F91" s="10" t="s">
        <v>251</v>
      </c>
      <c r="G91" s="10" t="s">
        <v>239</v>
      </c>
      <c r="H91" s="10" t="s">
        <v>490</v>
      </c>
      <c r="I91" s="10" t="s">
        <v>291</v>
      </c>
      <c r="J91" s="10" t="s">
        <v>287</v>
      </c>
      <c r="K91" s="10" t="s">
        <v>15</v>
      </c>
      <c r="L91" s="10" t="s">
        <v>325</v>
      </c>
      <c r="M91" s="10">
        <v>15</v>
      </c>
      <c r="N91" s="10">
        <v>8500</v>
      </c>
      <c r="O91" s="10">
        <v>0</v>
      </c>
      <c r="P91" s="10">
        <v>127500</v>
      </c>
      <c r="Q91" s="10">
        <v>4</v>
      </c>
      <c r="R91" s="10" t="s">
        <v>245</v>
      </c>
      <c r="S91" s="10" t="s">
        <v>255</v>
      </c>
      <c r="T91" s="10" t="s">
        <v>264</v>
      </c>
      <c r="U91" s="10">
        <v>9505048912</v>
      </c>
      <c r="V91" s="12" t="s">
        <v>265</v>
      </c>
      <c r="W91" t="str">
        <f t="shared" si="7"/>
        <v>Blacklisted</v>
      </c>
      <c r="X91" t="str">
        <f t="shared" si="8"/>
        <v>Kavya Nair</v>
      </c>
      <c r="Y91" t="str">
        <f t="shared" si="9"/>
        <v>Kav008Pu</v>
      </c>
      <c r="Z91" t="str">
        <f t="shared" si="10"/>
        <v>kavya.nair@company.com</v>
      </c>
      <c r="AA91" t="str">
        <f t="shared" ca="1" si="13"/>
        <v/>
      </c>
      <c r="AB91" t="str">
        <f t="shared" si="11"/>
        <v/>
      </c>
      <c r="AC91" t="str">
        <f t="shared" si="12"/>
        <v>Delayed</v>
      </c>
    </row>
    <row r="92" spans="1:29">
      <c r="A92" s="33" t="s">
        <v>491</v>
      </c>
      <c r="B92" s="5" t="s">
        <v>235</v>
      </c>
      <c r="C92" s="5" t="s">
        <v>267</v>
      </c>
      <c r="D92" s="5" t="s">
        <v>94</v>
      </c>
      <c r="E92" s="5" t="s">
        <v>125</v>
      </c>
      <c r="F92" s="5" t="s">
        <v>318</v>
      </c>
      <c r="G92" s="5" t="s">
        <v>239</v>
      </c>
      <c r="H92" s="5" t="s">
        <v>492</v>
      </c>
      <c r="I92" s="5" t="s">
        <v>342</v>
      </c>
      <c r="J92" s="5" t="s">
        <v>261</v>
      </c>
      <c r="K92" s="5" t="s">
        <v>243</v>
      </c>
      <c r="L92" s="5" t="s">
        <v>271</v>
      </c>
      <c r="M92" s="5">
        <v>5</v>
      </c>
      <c r="N92" s="5">
        <v>1200</v>
      </c>
      <c r="O92" s="5">
        <v>15</v>
      </c>
      <c r="P92" s="5">
        <v>5100</v>
      </c>
      <c r="Q92" s="5">
        <v>1</v>
      </c>
      <c r="R92" s="5" t="s">
        <v>245</v>
      </c>
      <c r="S92" s="5" t="s">
        <v>255</v>
      </c>
      <c r="T92" s="5" t="s">
        <v>247</v>
      </c>
      <c r="U92" s="5">
        <v>9508068393</v>
      </c>
      <c r="V92" s="8" t="s">
        <v>265</v>
      </c>
      <c r="W92" t="str">
        <f t="shared" si="7"/>
        <v>Blacklisted</v>
      </c>
      <c r="X92" t="str">
        <f t="shared" si="8"/>
        <v>Pooja Shah</v>
      </c>
      <c r="Y92" t="str">
        <f t="shared" si="9"/>
        <v>Poo010Ja</v>
      </c>
      <c r="Z92" t="str">
        <f t="shared" si="10"/>
        <v>pooja.shah@company.com</v>
      </c>
      <c r="AA92" t="str">
        <f t="shared" ca="1" si="13"/>
        <v/>
      </c>
      <c r="AB92">
        <f t="shared" si="11"/>
        <v>3</v>
      </c>
      <c r="AC92" t="str">
        <f t="shared" si="12"/>
        <v>On time</v>
      </c>
    </row>
    <row r="93" spans="1:29">
      <c r="A93" s="34" t="s">
        <v>493</v>
      </c>
      <c r="B93" s="10" t="s">
        <v>235</v>
      </c>
      <c r="C93" s="10" t="s">
        <v>347</v>
      </c>
      <c r="D93" s="10" t="s">
        <v>18</v>
      </c>
      <c r="E93" s="10" t="s">
        <v>494</v>
      </c>
      <c r="F93" s="10" t="s">
        <v>318</v>
      </c>
      <c r="G93" s="10" t="s">
        <v>239</v>
      </c>
      <c r="H93" s="11">
        <v>30174</v>
      </c>
      <c r="I93" s="10" t="s">
        <v>252</v>
      </c>
      <c r="J93" s="10" t="s">
        <v>242</v>
      </c>
      <c r="K93" s="10" t="s">
        <v>295</v>
      </c>
      <c r="L93" s="10" t="s">
        <v>349</v>
      </c>
      <c r="M93" s="10">
        <v>4</v>
      </c>
      <c r="N93" s="10">
        <v>20</v>
      </c>
      <c r="O93" s="10">
        <v>0</v>
      </c>
      <c r="P93" s="10">
        <v>80</v>
      </c>
      <c r="Q93" s="10">
        <v>4</v>
      </c>
      <c r="R93" s="10" t="s">
        <v>245</v>
      </c>
      <c r="S93" s="10" t="s">
        <v>263</v>
      </c>
      <c r="T93" s="10" t="s">
        <v>247</v>
      </c>
      <c r="U93" s="10">
        <v>9785807771</v>
      </c>
      <c r="V93" s="12" t="s">
        <v>257</v>
      </c>
      <c r="W93" t="str">
        <f t="shared" si="7"/>
        <v>Silver</v>
      </c>
      <c r="X93" t="str">
        <f t="shared" si="8"/>
        <v>Pooja Shah</v>
      </c>
      <c r="Y93" t="str">
        <f t="shared" si="9"/>
        <v>Poo010Hy</v>
      </c>
      <c r="Z93" t="str">
        <f t="shared" si="10"/>
        <v>pooja.shah@company.com</v>
      </c>
      <c r="AA93" t="str">
        <f t="shared" ca="1" si="13"/>
        <v/>
      </c>
      <c r="AB93">
        <f t="shared" si="11"/>
        <v>1</v>
      </c>
      <c r="AC93" t="str">
        <f t="shared" si="12"/>
        <v>On time</v>
      </c>
    </row>
    <row r="94" spans="1:29">
      <c r="A94" s="33" t="s">
        <v>495</v>
      </c>
      <c r="B94" s="5" t="s">
        <v>249</v>
      </c>
      <c r="C94" s="5" t="s">
        <v>347</v>
      </c>
      <c r="D94" s="5" t="s">
        <v>43</v>
      </c>
      <c r="E94" s="5" t="s">
        <v>88</v>
      </c>
      <c r="F94" s="5" t="s">
        <v>251</v>
      </c>
      <c r="G94" s="5" t="s">
        <v>239</v>
      </c>
      <c r="H94" s="5" t="s">
        <v>496</v>
      </c>
      <c r="I94" s="5" t="s">
        <v>241</v>
      </c>
      <c r="J94" s="5" t="s">
        <v>242</v>
      </c>
      <c r="K94" s="5" t="s">
        <v>295</v>
      </c>
      <c r="L94" s="5" t="s">
        <v>349</v>
      </c>
      <c r="M94" s="5">
        <v>10</v>
      </c>
      <c r="N94" s="5">
        <v>20</v>
      </c>
      <c r="O94" s="5">
        <v>0</v>
      </c>
      <c r="P94" s="5">
        <v>200</v>
      </c>
      <c r="Q94" s="5">
        <v>3</v>
      </c>
      <c r="R94" s="5" t="s">
        <v>254</v>
      </c>
      <c r="S94" s="5" t="s">
        <v>312</v>
      </c>
      <c r="T94" s="5" t="s">
        <v>264</v>
      </c>
      <c r="U94" s="5">
        <v>9215250979</v>
      </c>
      <c r="V94" s="8" t="s">
        <v>248</v>
      </c>
      <c r="W94" t="str">
        <f t="shared" si="7"/>
        <v/>
      </c>
      <c r="X94" t="str">
        <f t="shared" si="8"/>
        <v>Kavya Nair</v>
      </c>
      <c r="Y94" t="str">
        <f t="shared" si="9"/>
        <v>Kav008Be</v>
      </c>
      <c r="Z94" t="str">
        <f t="shared" si="10"/>
        <v>kavya.nair@company.com</v>
      </c>
      <c r="AA94">
        <f t="shared" ca="1" si="13"/>
        <v>44</v>
      </c>
      <c r="AB94">
        <f t="shared" si="11"/>
        <v>4</v>
      </c>
      <c r="AC94" t="str">
        <f t="shared" si="12"/>
        <v>On time</v>
      </c>
    </row>
    <row r="95" spans="1:29">
      <c r="A95" s="34" t="s">
        <v>497</v>
      </c>
      <c r="B95" s="10" t="s">
        <v>321</v>
      </c>
      <c r="C95" s="10" t="s">
        <v>250</v>
      </c>
      <c r="D95" s="11">
        <v>45756</v>
      </c>
      <c r="E95" s="11">
        <v>45939</v>
      </c>
      <c r="F95" s="10" t="s">
        <v>408</v>
      </c>
      <c r="G95" s="10" t="s">
        <v>239</v>
      </c>
      <c r="H95" s="10" t="s">
        <v>498</v>
      </c>
      <c r="I95" s="10" t="s">
        <v>260</v>
      </c>
      <c r="J95" s="10" t="s">
        <v>261</v>
      </c>
      <c r="K95" s="10" t="s">
        <v>15</v>
      </c>
      <c r="L95" s="10" t="s">
        <v>253</v>
      </c>
      <c r="M95" s="10">
        <v>18</v>
      </c>
      <c r="N95" s="10">
        <v>2200</v>
      </c>
      <c r="O95" s="10">
        <v>10</v>
      </c>
      <c r="P95" s="10">
        <v>35640</v>
      </c>
      <c r="Q95" s="10">
        <v>3</v>
      </c>
      <c r="R95" s="10" t="s">
        <v>254</v>
      </c>
      <c r="S95" s="10" t="s">
        <v>255</v>
      </c>
      <c r="T95" s="10" t="s">
        <v>326</v>
      </c>
      <c r="U95" s="10">
        <v>9845884906</v>
      </c>
      <c r="V95" s="12" t="s">
        <v>265</v>
      </c>
      <c r="W95" t="str">
        <f t="shared" si="7"/>
        <v>Blacklisted</v>
      </c>
      <c r="X95" t="str">
        <f t="shared" si="8"/>
        <v>Anita Gupta</v>
      </c>
      <c r="Y95" t="str">
        <f t="shared" si="9"/>
        <v>Ani004De</v>
      </c>
      <c r="Z95" t="str">
        <f t="shared" si="10"/>
        <v>anita.gupta@company.com</v>
      </c>
      <c r="AA95" t="str">
        <f t="shared" ca="1" si="13"/>
        <v/>
      </c>
      <c r="AB95" t="str">
        <f t="shared" si="11"/>
        <v/>
      </c>
      <c r="AC95" t="str">
        <f t="shared" si="12"/>
        <v>Delayed</v>
      </c>
    </row>
    <row r="96" spans="1:29">
      <c r="A96" s="33" t="s">
        <v>499</v>
      </c>
      <c r="B96" s="5" t="s">
        <v>392</v>
      </c>
      <c r="C96" s="5" t="s">
        <v>280</v>
      </c>
      <c r="D96" s="6">
        <v>45995</v>
      </c>
      <c r="E96" s="5" t="s">
        <v>500</v>
      </c>
      <c r="F96" s="5" t="s">
        <v>323</v>
      </c>
      <c r="G96" s="5" t="s">
        <v>269</v>
      </c>
      <c r="H96" s="5" t="s">
        <v>501</v>
      </c>
      <c r="I96" s="5" t="s">
        <v>260</v>
      </c>
      <c r="J96" s="5" t="s">
        <v>261</v>
      </c>
      <c r="K96" s="5" t="s">
        <v>15</v>
      </c>
      <c r="L96" s="5" t="s">
        <v>282</v>
      </c>
      <c r="M96" s="5">
        <v>7</v>
      </c>
      <c r="N96" s="5">
        <v>3500</v>
      </c>
      <c r="O96" s="5">
        <v>15</v>
      </c>
      <c r="P96" s="5">
        <v>20825</v>
      </c>
      <c r="Q96" s="5">
        <v>3</v>
      </c>
      <c r="R96" s="5" t="s">
        <v>245</v>
      </c>
      <c r="S96" s="5" t="s">
        <v>263</v>
      </c>
      <c r="T96" s="5" t="s">
        <v>395</v>
      </c>
      <c r="U96" s="5">
        <v>9393097397</v>
      </c>
      <c r="V96" s="8" t="s">
        <v>257</v>
      </c>
      <c r="W96" t="str">
        <f t="shared" si="7"/>
        <v>Silver</v>
      </c>
      <c r="X96" t="str">
        <f t="shared" si="8"/>
        <v>Amit Sharma</v>
      </c>
      <c r="Y96" t="str">
        <f t="shared" si="9"/>
        <v>Ami001De</v>
      </c>
      <c r="Z96" t="str">
        <f t="shared" si="10"/>
        <v>amit.sharma@company.com</v>
      </c>
      <c r="AA96" t="str">
        <f t="shared" ca="1" si="13"/>
        <v/>
      </c>
      <c r="AB96" t="str">
        <f t="shared" si="11"/>
        <v/>
      </c>
      <c r="AC96" t="str">
        <f t="shared" si="12"/>
        <v>Delayed</v>
      </c>
    </row>
    <row r="97" spans="1:29">
      <c r="A97" s="34" t="s">
        <v>502</v>
      </c>
      <c r="B97" s="10" t="s">
        <v>284</v>
      </c>
      <c r="C97" s="10" t="s">
        <v>322</v>
      </c>
      <c r="D97" s="11">
        <v>46117</v>
      </c>
      <c r="E97" s="11">
        <v>46208</v>
      </c>
      <c r="F97" s="10" t="s">
        <v>285</v>
      </c>
      <c r="G97" s="10" t="s">
        <v>239</v>
      </c>
      <c r="H97" s="10" t="s">
        <v>503</v>
      </c>
      <c r="I97" s="10" t="s">
        <v>379</v>
      </c>
      <c r="J97" s="10" t="s">
        <v>21</v>
      </c>
      <c r="K97" s="10" t="s">
        <v>15</v>
      </c>
      <c r="L97" s="10" t="s">
        <v>325</v>
      </c>
      <c r="M97" s="10">
        <v>19</v>
      </c>
      <c r="N97" s="10">
        <v>8500</v>
      </c>
      <c r="O97" s="10">
        <v>15</v>
      </c>
      <c r="P97" s="10">
        <v>137275</v>
      </c>
      <c r="Q97" s="10">
        <v>4</v>
      </c>
      <c r="R97" s="10" t="s">
        <v>272</v>
      </c>
      <c r="S97" s="10" t="s">
        <v>312</v>
      </c>
      <c r="T97" s="10" t="s">
        <v>308</v>
      </c>
      <c r="U97" s="10">
        <v>9958032109</v>
      </c>
      <c r="V97" s="12" t="s">
        <v>248</v>
      </c>
      <c r="W97" t="str">
        <f t="shared" si="7"/>
        <v/>
      </c>
      <c r="X97" t="str">
        <f t="shared" si="8"/>
        <v>Priya Patel</v>
      </c>
      <c r="Y97" t="str">
        <f t="shared" si="9"/>
        <v>Pri002Ko</v>
      </c>
      <c r="Z97" t="str">
        <f t="shared" si="10"/>
        <v>priya.patel@company.com</v>
      </c>
      <c r="AA97" t="str">
        <f t="shared" ca="1" si="13"/>
        <v/>
      </c>
      <c r="AB97" t="str">
        <f t="shared" si="11"/>
        <v/>
      </c>
      <c r="AC97" t="str">
        <f t="shared" si="12"/>
        <v>Delayed</v>
      </c>
    </row>
    <row r="98" spans="1:29">
      <c r="A98" s="33" t="s">
        <v>504</v>
      </c>
      <c r="B98" s="5" t="s">
        <v>358</v>
      </c>
      <c r="C98" s="5" t="s">
        <v>258</v>
      </c>
      <c r="D98" s="5" t="s">
        <v>63</v>
      </c>
      <c r="E98" s="5" t="s">
        <v>161</v>
      </c>
      <c r="F98" s="5" t="s">
        <v>359</v>
      </c>
      <c r="G98" s="5" t="s">
        <v>239</v>
      </c>
      <c r="H98" s="5" t="s">
        <v>505</v>
      </c>
      <c r="I98" s="5" t="s">
        <v>306</v>
      </c>
      <c r="J98" s="5" t="s">
        <v>287</v>
      </c>
      <c r="K98" s="5" t="s">
        <v>243</v>
      </c>
      <c r="L98" s="5" t="s">
        <v>262</v>
      </c>
      <c r="M98" s="5">
        <v>13</v>
      </c>
      <c r="N98" s="5">
        <v>12000</v>
      </c>
      <c r="O98" s="5">
        <v>15</v>
      </c>
      <c r="P98" s="5">
        <v>132600</v>
      </c>
      <c r="Q98" s="5">
        <v>4</v>
      </c>
      <c r="R98" s="5" t="s">
        <v>254</v>
      </c>
      <c r="S98" s="5" t="s">
        <v>263</v>
      </c>
      <c r="T98" s="5" t="s">
        <v>360</v>
      </c>
      <c r="U98" s="5">
        <v>9755082957</v>
      </c>
      <c r="V98" s="8" t="s">
        <v>257</v>
      </c>
      <c r="W98" t="str">
        <f t="shared" si="7"/>
        <v>Gold</v>
      </c>
      <c r="X98" t="str">
        <f t="shared" si="8"/>
        <v>Sneha Joshi</v>
      </c>
      <c r="Y98" t="str">
        <f t="shared" si="9"/>
        <v>Sne006Ah</v>
      </c>
      <c r="Z98" t="str">
        <f t="shared" si="10"/>
        <v>sneha.joshi@company.com</v>
      </c>
      <c r="AA98" t="str">
        <f t="shared" ca="1" si="13"/>
        <v/>
      </c>
      <c r="AB98">
        <f t="shared" si="11"/>
        <v>9</v>
      </c>
      <c r="AC98" t="str">
        <f t="shared" si="12"/>
        <v>Delayed</v>
      </c>
    </row>
    <row r="99" spans="1:29">
      <c r="A99" s="34" t="s">
        <v>506</v>
      </c>
      <c r="B99" s="10" t="s">
        <v>392</v>
      </c>
      <c r="C99" s="10" t="s">
        <v>347</v>
      </c>
      <c r="D99" s="10" t="s">
        <v>26</v>
      </c>
      <c r="E99" s="10" t="s">
        <v>131</v>
      </c>
      <c r="F99" s="10" t="s">
        <v>323</v>
      </c>
      <c r="G99" s="10" t="s">
        <v>269</v>
      </c>
      <c r="H99" s="11">
        <v>32602</v>
      </c>
      <c r="I99" s="10" t="s">
        <v>291</v>
      </c>
      <c r="J99" s="10" t="s">
        <v>287</v>
      </c>
      <c r="K99" s="10" t="s">
        <v>295</v>
      </c>
      <c r="L99" s="10" t="s">
        <v>349</v>
      </c>
      <c r="M99" s="10">
        <v>7</v>
      </c>
      <c r="N99" s="10">
        <v>20</v>
      </c>
      <c r="O99" s="10">
        <v>0</v>
      </c>
      <c r="P99" s="10">
        <v>140</v>
      </c>
      <c r="Q99" s="10">
        <v>1</v>
      </c>
      <c r="R99" s="10" t="s">
        <v>272</v>
      </c>
      <c r="S99" s="10" t="s">
        <v>312</v>
      </c>
      <c r="T99" s="10" t="s">
        <v>395</v>
      </c>
      <c r="U99" s="10">
        <v>9872235856</v>
      </c>
      <c r="V99" s="12" t="s">
        <v>265</v>
      </c>
      <c r="W99" t="str">
        <f t="shared" si="7"/>
        <v>Blacklisted</v>
      </c>
      <c r="X99" t="str">
        <f t="shared" si="8"/>
        <v>Amit Sharma</v>
      </c>
      <c r="Y99" t="str">
        <f t="shared" si="9"/>
        <v>Ami001Pu</v>
      </c>
      <c r="Z99" t="str">
        <f t="shared" si="10"/>
        <v>amit.sharma@company.com</v>
      </c>
      <c r="AA99" t="str">
        <f t="shared" ca="1" si="13"/>
        <v/>
      </c>
      <c r="AB99">
        <f t="shared" si="11"/>
        <v>10</v>
      </c>
      <c r="AC99" t="str">
        <f t="shared" si="12"/>
        <v>Delayed</v>
      </c>
    </row>
    <row r="100" spans="1:29">
      <c r="A100" s="33" t="s">
        <v>507</v>
      </c>
      <c r="B100" s="5" t="s">
        <v>321</v>
      </c>
      <c r="C100" s="5" t="s">
        <v>330</v>
      </c>
      <c r="D100" s="6">
        <v>45905</v>
      </c>
      <c r="E100" s="6">
        <v>45966</v>
      </c>
      <c r="F100" s="5" t="s">
        <v>408</v>
      </c>
      <c r="G100" s="5" t="s">
        <v>239</v>
      </c>
      <c r="H100" s="5" t="s">
        <v>508</v>
      </c>
      <c r="I100" s="5" t="s">
        <v>260</v>
      </c>
      <c r="J100" s="5" t="s">
        <v>261</v>
      </c>
      <c r="K100" s="5" t="s">
        <v>243</v>
      </c>
      <c r="L100" s="5" t="s">
        <v>333</v>
      </c>
      <c r="M100" s="5">
        <v>5</v>
      </c>
      <c r="N100" s="5">
        <v>700</v>
      </c>
      <c r="O100" s="5">
        <v>15</v>
      </c>
      <c r="P100" s="5">
        <v>999999</v>
      </c>
      <c r="Q100" s="5">
        <v>4</v>
      </c>
      <c r="R100" s="5" t="s">
        <v>272</v>
      </c>
      <c r="S100" s="5" t="s">
        <v>255</v>
      </c>
      <c r="T100" s="5" t="s">
        <v>326</v>
      </c>
      <c r="U100" s="5">
        <v>9335138816</v>
      </c>
      <c r="V100" s="8" t="s">
        <v>248</v>
      </c>
      <c r="W100" t="str">
        <f t="shared" si="7"/>
        <v/>
      </c>
      <c r="X100" t="str">
        <f t="shared" si="8"/>
        <v>Anita Gupta</v>
      </c>
      <c r="Y100" t="str">
        <f t="shared" si="9"/>
        <v>Ani004De</v>
      </c>
      <c r="Z100" t="str">
        <f t="shared" si="10"/>
        <v>anita.gupta@company.com</v>
      </c>
      <c r="AA100">
        <f t="shared" ca="1" si="13"/>
        <v>37</v>
      </c>
      <c r="AB100" t="str">
        <f t="shared" si="11"/>
        <v/>
      </c>
      <c r="AC100" t="str">
        <f t="shared" si="12"/>
        <v>Delayed</v>
      </c>
    </row>
    <row r="101" spans="1:29">
      <c r="A101" s="34" t="s">
        <v>509</v>
      </c>
      <c r="B101" s="10" t="s">
        <v>275</v>
      </c>
      <c r="C101" s="10" t="s">
        <v>362</v>
      </c>
      <c r="D101" s="11">
        <v>46208</v>
      </c>
      <c r="E101" s="11">
        <v>46300</v>
      </c>
      <c r="F101" s="10" t="s">
        <v>328</v>
      </c>
      <c r="G101" s="10" t="s">
        <v>269</v>
      </c>
      <c r="H101" s="11">
        <v>30140</v>
      </c>
      <c r="I101" s="10" t="s">
        <v>241</v>
      </c>
      <c r="J101" s="10" t="s">
        <v>242</v>
      </c>
      <c r="K101" s="10" t="s">
        <v>295</v>
      </c>
      <c r="L101" s="10" t="s">
        <v>363</v>
      </c>
      <c r="M101" s="10">
        <v>9</v>
      </c>
      <c r="N101" s="10">
        <v>45</v>
      </c>
      <c r="O101" s="10">
        <v>5</v>
      </c>
      <c r="P101" s="10">
        <v>384.75</v>
      </c>
      <c r="Q101" s="10">
        <v>3</v>
      </c>
      <c r="R101" s="10" t="s">
        <v>254</v>
      </c>
      <c r="S101" s="10" t="s">
        <v>255</v>
      </c>
      <c r="T101" s="10" t="s">
        <v>278</v>
      </c>
      <c r="U101" s="10">
        <v>9750365609</v>
      </c>
      <c r="V101" s="12" t="s">
        <v>257</v>
      </c>
      <c r="W101" t="str">
        <f t="shared" si="7"/>
        <v>Silver</v>
      </c>
      <c r="X101" t="str">
        <f t="shared" si="8"/>
        <v>Arjun Rao</v>
      </c>
      <c r="Y101" t="str">
        <f t="shared" si="9"/>
        <v>Arj007Be</v>
      </c>
      <c r="Z101" t="str">
        <f t="shared" si="10"/>
        <v>arjun.rao@company.com</v>
      </c>
      <c r="AA101" t="str">
        <f t="shared" ca="1" si="13"/>
        <v/>
      </c>
      <c r="AB101" t="str">
        <f t="shared" si="11"/>
        <v/>
      </c>
      <c r="AC101" t="str">
        <f t="shared" si="12"/>
        <v>Delayed</v>
      </c>
    </row>
    <row r="102" spans="1:29">
      <c r="A102" s="33" t="s">
        <v>510</v>
      </c>
      <c r="B102" s="5" t="s">
        <v>299</v>
      </c>
      <c r="C102" s="5" t="s">
        <v>294</v>
      </c>
      <c r="D102" s="5" t="s">
        <v>101</v>
      </c>
      <c r="E102" s="5" t="s">
        <v>511</v>
      </c>
      <c r="F102" s="5" t="s">
        <v>301</v>
      </c>
      <c r="G102" s="5" t="s">
        <v>269</v>
      </c>
      <c r="H102" s="5" t="s">
        <v>512</v>
      </c>
      <c r="I102" s="5" t="s">
        <v>379</v>
      </c>
      <c r="J102" s="5" t="s">
        <v>21</v>
      </c>
      <c r="K102" s="5" t="s">
        <v>295</v>
      </c>
      <c r="L102" s="5" t="s">
        <v>296</v>
      </c>
      <c r="M102" s="5">
        <v>19</v>
      </c>
      <c r="N102" s="5">
        <v>60</v>
      </c>
      <c r="O102" s="5">
        <v>10</v>
      </c>
      <c r="P102" s="5">
        <v>1026</v>
      </c>
      <c r="Q102" s="5">
        <v>5</v>
      </c>
      <c r="R102" s="5" t="s">
        <v>245</v>
      </c>
      <c r="S102" s="5" t="s">
        <v>292</v>
      </c>
      <c r="T102" s="5" t="s">
        <v>302</v>
      </c>
      <c r="U102" s="5">
        <v>9736812737</v>
      </c>
      <c r="V102" s="8" t="s">
        <v>257</v>
      </c>
      <c r="W102" t="str">
        <f t="shared" si="7"/>
        <v>Silver</v>
      </c>
      <c r="X102" t="str">
        <f t="shared" si="8"/>
        <v>Rohit Singh</v>
      </c>
      <c r="Y102" t="str">
        <f t="shared" si="9"/>
        <v>Roh003Ko</v>
      </c>
      <c r="Z102" t="str">
        <f t="shared" si="10"/>
        <v>rohit.singh@company.com</v>
      </c>
      <c r="AA102">
        <f t="shared" ca="1" si="13"/>
        <v>44</v>
      </c>
      <c r="AB102">
        <f t="shared" si="11"/>
        <v>8</v>
      </c>
      <c r="AC102" t="str">
        <f t="shared" si="12"/>
        <v>Delayed</v>
      </c>
    </row>
    <row r="103" spans="1:29">
      <c r="A103" s="34" t="s">
        <v>513</v>
      </c>
      <c r="B103" s="10" t="s">
        <v>392</v>
      </c>
      <c r="C103" s="10" t="s">
        <v>330</v>
      </c>
      <c r="D103" s="11">
        <v>45973</v>
      </c>
      <c r="E103" s="10" t="s">
        <v>514</v>
      </c>
      <c r="F103" s="10" t="s">
        <v>323</v>
      </c>
      <c r="G103" s="10" t="s">
        <v>269</v>
      </c>
      <c r="H103" s="11">
        <v>31932</v>
      </c>
      <c r="I103" s="10" t="s">
        <v>306</v>
      </c>
      <c r="J103" s="10" t="s">
        <v>287</v>
      </c>
      <c r="K103" s="10" t="s">
        <v>243</v>
      </c>
      <c r="L103" s="10" t="s">
        <v>333</v>
      </c>
      <c r="M103" s="10">
        <v>4</v>
      </c>
      <c r="N103" s="10">
        <v>700</v>
      </c>
      <c r="O103" s="10">
        <v>5</v>
      </c>
      <c r="P103" s="10">
        <v>2660</v>
      </c>
      <c r="Q103" s="10">
        <v>3</v>
      </c>
      <c r="R103" s="10" t="s">
        <v>245</v>
      </c>
      <c r="S103" s="10" t="s">
        <v>246</v>
      </c>
      <c r="T103" s="10" t="s">
        <v>395</v>
      </c>
      <c r="U103" s="10">
        <v>9271420931</v>
      </c>
      <c r="V103" s="12" t="s">
        <v>257</v>
      </c>
      <c r="W103" t="str">
        <f t="shared" si="7"/>
        <v>Silver</v>
      </c>
      <c r="X103" t="str">
        <f t="shared" si="8"/>
        <v>Amit Sharma</v>
      </c>
      <c r="Y103" t="str">
        <f t="shared" si="9"/>
        <v>Ami001Ah</v>
      </c>
      <c r="Z103" t="str">
        <f t="shared" si="10"/>
        <v>amit.sharma@company.com</v>
      </c>
      <c r="AA103" t="str">
        <f t="shared" ca="1" si="13"/>
        <v/>
      </c>
      <c r="AB103" t="str">
        <f t="shared" si="11"/>
        <v/>
      </c>
      <c r="AC103" t="str">
        <f t="shared" si="12"/>
        <v>Delayed</v>
      </c>
    </row>
    <row r="104" spans="1:29">
      <c r="A104" s="33" t="s">
        <v>515</v>
      </c>
      <c r="B104" s="5" t="s">
        <v>392</v>
      </c>
      <c r="C104" s="5" t="s">
        <v>280</v>
      </c>
      <c r="D104" s="6">
        <v>46208</v>
      </c>
      <c r="E104" s="5" t="s">
        <v>516</v>
      </c>
      <c r="F104" s="5" t="s">
        <v>323</v>
      </c>
      <c r="G104" s="5" t="s">
        <v>269</v>
      </c>
      <c r="H104" s="5" t="s">
        <v>517</v>
      </c>
      <c r="I104" s="5" t="s">
        <v>291</v>
      </c>
      <c r="J104" s="5" t="s">
        <v>287</v>
      </c>
      <c r="K104" s="5" t="s">
        <v>15</v>
      </c>
      <c r="L104" s="5" t="s">
        <v>282</v>
      </c>
      <c r="M104" s="5">
        <v>16</v>
      </c>
      <c r="N104" s="5">
        <v>3500</v>
      </c>
      <c r="O104" s="5">
        <v>0</v>
      </c>
      <c r="P104" s="5">
        <v>56000</v>
      </c>
      <c r="Q104" s="5">
        <v>2</v>
      </c>
      <c r="R104" s="5" t="s">
        <v>272</v>
      </c>
      <c r="S104" s="5" t="s">
        <v>263</v>
      </c>
      <c r="T104" s="5" t="s">
        <v>395</v>
      </c>
      <c r="U104" s="5">
        <v>9781411370</v>
      </c>
      <c r="V104" s="8" t="s">
        <v>257</v>
      </c>
      <c r="W104" t="str">
        <f t="shared" si="7"/>
        <v>Blacklisted</v>
      </c>
      <c r="X104" t="str">
        <f t="shared" si="8"/>
        <v>Amit Sharma</v>
      </c>
      <c r="Y104" t="str">
        <f t="shared" si="9"/>
        <v>Ami001Pu</v>
      </c>
      <c r="Z104" t="str">
        <f t="shared" si="10"/>
        <v>amit.sharma@company.com</v>
      </c>
      <c r="AA104">
        <f t="shared" ca="1" si="13"/>
        <v>39</v>
      </c>
      <c r="AB104" t="str">
        <f t="shared" si="11"/>
        <v/>
      </c>
      <c r="AC104" t="str">
        <f t="shared" si="12"/>
        <v>Delayed</v>
      </c>
    </row>
    <row r="105" spans="1:29">
      <c r="A105" s="34" t="s">
        <v>518</v>
      </c>
      <c r="B105" s="10" t="s">
        <v>358</v>
      </c>
      <c r="C105" s="10" t="s">
        <v>362</v>
      </c>
      <c r="D105" s="10" t="s">
        <v>5</v>
      </c>
      <c r="E105" s="10" t="s">
        <v>519</v>
      </c>
      <c r="F105" s="10" t="s">
        <v>359</v>
      </c>
      <c r="G105" s="10" t="s">
        <v>239</v>
      </c>
      <c r="H105" s="10" t="s">
        <v>520</v>
      </c>
      <c r="I105" s="10" t="s">
        <v>241</v>
      </c>
      <c r="J105" s="10" t="s">
        <v>242</v>
      </c>
      <c r="K105" s="10" t="s">
        <v>295</v>
      </c>
      <c r="L105" s="10" t="s">
        <v>363</v>
      </c>
      <c r="M105" s="10">
        <v>5</v>
      </c>
      <c r="N105" s="10">
        <v>45</v>
      </c>
      <c r="O105" s="10">
        <v>20</v>
      </c>
      <c r="P105" s="10">
        <v>180</v>
      </c>
      <c r="Q105" s="10">
        <v>3</v>
      </c>
      <c r="R105" s="10" t="s">
        <v>272</v>
      </c>
      <c r="S105" s="10" t="s">
        <v>255</v>
      </c>
      <c r="T105" s="10" t="s">
        <v>360</v>
      </c>
      <c r="U105" s="10">
        <v>9584152818</v>
      </c>
      <c r="V105" s="12" t="s">
        <v>257</v>
      </c>
      <c r="W105" t="str">
        <f t="shared" si="7"/>
        <v>Silver</v>
      </c>
      <c r="X105" t="str">
        <f t="shared" si="8"/>
        <v>Sneha Joshi</v>
      </c>
      <c r="Y105" t="str">
        <f t="shared" si="9"/>
        <v>Sne006Be</v>
      </c>
      <c r="Z105" t="str">
        <f t="shared" si="10"/>
        <v>sneha.joshi@company.com</v>
      </c>
      <c r="AA105" t="str">
        <f t="shared" ca="1" si="13"/>
        <v/>
      </c>
      <c r="AB105">
        <f t="shared" si="11"/>
        <v>7</v>
      </c>
      <c r="AC105" t="str">
        <f t="shared" si="12"/>
        <v>Delayed</v>
      </c>
    </row>
    <row r="106" spans="1:29">
      <c r="A106" s="33" t="s">
        <v>521</v>
      </c>
      <c r="B106" s="5" t="s">
        <v>275</v>
      </c>
      <c r="C106" s="5" t="s">
        <v>347</v>
      </c>
      <c r="D106" s="5" t="s">
        <v>57</v>
      </c>
      <c r="E106" s="5" t="s">
        <v>66</v>
      </c>
      <c r="F106" s="5" t="s">
        <v>328</v>
      </c>
      <c r="G106" s="5" t="s">
        <v>269</v>
      </c>
      <c r="H106" s="6">
        <v>35071</v>
      </c>
      <c r="I106" s="5" t="s">
        <v>286</v>
      </c>
      <c r="J106" s="5" t="s">
        <v>287</v>
      </c>
      <c r="K106" s="5" t="s">
        <v>295</v>
      </c>
      <c r="L106" s="5" t="s">
        <v>349</v>
      </c>
      <c r="M106" s="5">
        <v>9</v>
      </c>
      <c r="N106" s="5">
        <v>20</v>
      </c>
      <c r="O106" s="5">
        <v>10</v>
      </c>
      <c r="P106" s="5">
        <v>162</v>
      </c>
      <c r="Q106" s="5">
        <v>4</v>
      </c>
      <c r="R106" s="5" t="s">
        <v>272</v>
      </c>
      <c r="S106" s="5" t="s">
        <v>255</v>
      </c>
      <c r="T106" s="5" t="s">
        <v>278</v>
      </c>
      <c r="U106" s="5">
        <v>9507986836</v>
      </c>
      <c r="V106" s="8" t="s">
        <v>248</v>
      </c>
      <c r="W106" t="str">
        <f t="shared" si="7"/>
        <v/>
      </c>
      <c r="X106" t="str">
        <f t="shared" si="8"/>
        <v>Arjun Rao</v>
      </c>
      <c r="Y106" t="str">
        <f t="shared" si="9"/>
        <v>Arj007Mu</v>
      </c>
      <c r="Z106" t="str">
        <f t="shared" si="10"/>
        <v>arjun.rao@company.com</v>
      </c>
      <c r="AA106" t="str">
        <f t="shared" ca="1" si="13"/>
        <v/>
      </c>
      <c r="AB106">
        <f t="shared" si="11"/>
        <v>1</v>
      </c>
      <c r="AC106" t="str">
        <f t="shared" si="12"/>
        <v>On time</v>
      </c>
    </row>
    <row r="107" spans="1:29">
      <c r="A107" s="34" t="s">
        <v>522</v>
      </c>
      <c r="B107" s="10" t="s">
        <v>235</v>
      </c>
      <c r="C107" s="10" t="s">
        <v>267</v>
      </c>
      <c r="D107" s="10" t="s">
        <v>138</v>
      </c>
      <c r="E107" s="11">
        <v>45660</v>
      </c>
      <c r="F107" s="10" t="s">
        <v>318</v>
      </c>
      <c r="G107" s="10" t="s">
        <v>239</v>
      </c>
      <c r="H107" s="11">
        <v>29008</v>
      </c>
      <c r="I107" s="10" t="s">
        <v>260</v>
      </c>
      <c r="J107" s="10" t="s">
        <v>261</v>
      </c>
      <c r="K107" s="10" t="s">
        <v>243</v>
      </c>
      <c r="L107" s="10" t="s">
        <v>271</v>
      </c>
      <c r="M107" s="10">
        <v>9</v>
      </c>
      <c r="N107" s="10">
        <v>1200</v>
      </c>
      <c r="O107" s="10">
        <v>5</v>
      </c>
      <c r="P107" s="10">
        <v>10260</v>
      </c>
      <c r="Q107" s="10">
        <v>3</v>
      </c>
      <c r="R107" s="10" t="s">
        <v>277</v>
      </c>
      <c r="S107" s="10" t="s">
        <v>255</v>
      </c>
      <c r="T107" s="10" t="s">
        <v>247</v>
      </c>
      <c r="U107" s="10">
        <v>9518249687</v>
      </c>
      <c r="V107" s="12" t="s">
        <v>248</v>
      </c>
      <c r="W107" t="str">
        <f t="shared" si="7"/>
        <v/>
      </c>
      <c r="X107" t="str">
        <f t="shared" si="8"/>
        <v>Pooja Shah</v>
      </c>
      <c r="Y107" t="str">
        <f t="shared" si="9"/>
        <v>Poo010De</v>
      </c>
      <c r="Z107" t="str">
        <f t="shared" si="10"/>
        <v>pooja.shah@company.com</v>
      </c>
      <c r="AA107">
        <f t="shared" ca="1" si="13"/>
        <v>30</v>
      </c>
      <c r="AB107" t="str">
        <f t="shared" si="11"/>
        <v/>
      </c>
      <c r="AC107" t="str">
        <f t="shared" si="12"/>
        <v>Delayed</v>
      </c>
    </row>
    <row r="108" spans="1:29">
      <c r="A108" s="33" t="s">
        <v>523</v>
      </c>
      <c r="B108" s="5" t="s">
        <v>284</v>
      </c>
      <c r="C108" s="5" t="s">
        <v>280</v>
      </c>
      <c r="D108" s="5" t="s">
        <v>150</v>
      </c>
      <c r="E108" s="5" t="s">
        <v>162</v>
      </c>
      <c r="F108" s="5" t="s">
        <v>285</v>
      </c>
      <c r="G108" s="5" t="s">
        <v>239</v>
      </c>
      <c r="H108" s="6">
        <v>31393</v>
      </c>
      <c r="I108" s="5" t="s">
        <v>260</v>
      </c>
      <c r="J108" s="5" t="s">
        <v>261</v>
      </c>
      <c r="K108" s="5" t="s">
        <v>15</v>
      </c>
      <c r="L108" s="5" t="s">
        <v>282</v>
      </c>
      <c r="M108" s="5">
        <v>3</v>
      </c>
      <c r="N108" s="5">
        <v>3500</v>
      </c>
      <c r="O108" s="5">
        <v>10</v>
      </c>
      <c r="P108" s="5">
        <v>9450</v>
      </c>
      <c r="Q108" s="5">
        <v>2</v>
      </c>
      <c r="R108" s="5" t="s">
        <v>272</v>
      </c>
      <c r="S108" s="5" t="s">
        <v>312</v>
      </c>
      <c r="T108" s="5" t="s">
        <v>308</v>
      </c>
      <c r="U108" s="5">
        <v>9179328207</v>
      </c>
      <c r="V108" s="8" t="s">
        <v>265</v>
      </c>
      <c r="W108" t="str">
        <f t="shared" si="7"/>
        <v>Blacklisted</v>
      </c>
      <c r="X108" t="str">
        <f t="shared" si="8"/>
        <v>Priya Patel</v>
      </c>
      <c r="Y108" t="str">
        <f t="shared" si="9"/>
        <v>Pri002De</v>
      </c>
      <c r="Z108" t="str">
        <f t="shared" si="10"/>
        <v>priya.patel@company.com</v>
      </c>
      <c r="AA108">
        <f t="shared" ca="1" si="13"/>
        <v>47</v>
      </c>
      <c r="AB108">
        <f t="shared" si="11"/>
        <v>1</v>
      </c>
      <c r="AC108" t="str">
        <f t="shared" si="12"/>
        <v>On time</v>
      </c>
    </row>
    <row r="109" spans="1:29">
      <c r="A109" s="34" t="s">
        <v>524</v>
      </c>
      <c r="B109" s="10" t="s">
        <v>346</v>
      </c>
      <c r="C109" s="10" t="s">
        <v>267</v>
      </c>
      <c r="D109" s="10" t="s">
        <v>11</v>
      </c>
      <c r="E109" s="10" t="s">
        <v>525</v>
      </c>
      <c r="F109" s="10" t="s">
        <v>348</v>
      </c>
      <c r="G109" s="10" t="s">
        <v>269</v>
      </c>
      <c r="H109" s="10" t="s">
        <v>526</v>
      </c>
      <c r="I109" s="10" t="s">
        <v>286</v>
      </c>
      <c r="J109" s="10" t="s">
        <v>287</v>
      </c>
      <c r="K109" s="10" t="s">
        <v>243</v>
      </c>
      <c r="L109" s="10" t="s">
        <v>271</v>
      </c>
      <c r="M109" s="10">
        <v>6</v>
      </c>
      <c r="N109" s="10">
        <v>1200</v>
      </c>
      <c r="O109" s="10">
        <v>15</v>
      </c>
      <c r="P109" s="10">
        <v>6120</v>
      </c>
      <c r="Q109" s="10">
        <v>4</v>
      </c>
      <c r="R109" s="10" t="s">
        <v>277</v>
      </c>
      <c r="S109" s="10" t="s">
        <v>255</v>
      </c>
      <c r="T109" s="10" t="s">
        <v>350</v>
      </c>
      <c r="U109" s="10">
        <v>9778490728</v>
      </c>
      <c r="V109" s="12" t="s">
        <v>265</v>
      </c>
      <c r="W109" t="str">
        <f t="shared" si="7"/>
        <v>Blacklisted</v>
      </c>
      <c r="X109" t="str">
        <f t="shared" si="8"/>
        <v>Vikas Mehta</v>
      </c>
      <c r="Y109" t="str">
        <f t="shared" si="9"/>
        <v>Vik005Mu</v>
      </c>
      <c r="Z109" t="str">
        <f t="shared" si="10"/>
        <v>vikas.mehta@company.com</v>
      </c>
      <c r="AA109">
        <f t="shared" ca="1" si="13"/>
        <v>40</v>
      </c>
      <c r="AB109">
        <f t="shared" si="11"/>
        <v>5</v>
      </c>
      <c r="AC109" t="str">
        <f t="shared" si="12"/>
        <v>On time</v>
      </c>
    </row>
    <row r="110" spans="1:29">
      <c r="A110" s="33" t="s">
        <v>527</v>
      </c>
      <c r="B110" s="5" t="s">
        <v>275</v>
      </c>
      <c r="C110" s="5" t="s">
        <v>267</v>
      </c>
      <c r="D110" s="6">
        <v>45937</v>
      </c>
      <c r="E110" s="6">
        <v>45998</v>
      </c>
      <c r="F110" s="5" t="s">
        <v>328</v>
      </c>
      <c r="G110" s="5" t="s">
        <v>269</v>
      </c>
      <c r="H110" s="6">
        <v>34096</v>
      </c>
      <c r="I110" s="5" t="s">
        <v>342</v>
      </c>
      <c r="J110" s="5" t="s">
        <v>261</v>
      </c>
      <c r="K110" s="5" t="s">
        <v>243</v>
      </c>
      <c r="L110" s="5" t="s">
        <v>271</v>
      </c>
      <c r="M110" s="5">
        <v>17</v>
      </c>
      <c r="N110" s="5">
        <v>1200</v>
      </c>
      <c r="O110" s="5">
        <v>15</v>
      </c>
      <c r="P110" s="5">
        <v>17340</v>
      </c>
      <c r="Q110" s="5">
        <v>1</v>
      </c>
      <c r="R110" s="5" t="s">
        <v>254</v>
      </c>
      <c r="S110" s="5" t="s">
        <v>246</v>
      </c>
      <c r="T110" s="5" t="s">
        <v>278</v>
      </c>
      <c r="U110" s="5">
        <v>9223058722</v>
      </c>
      <c r="V110" s="8" t="s">
        <v>257</v>
      </c>
      <c r="W110" t="str">
        <f t="shared" si="7"/>
        <v>Blacklisted</v>
      </c>
      <c r="X110" t="str">
        <f t="shared" si="8"/>
        <v>Arjun Rao</v>
      </c>
      <c r="Y110" t="str">
        <f t="shared" si="9"/>
        <v>Arj007Ja</v>
      </c>
      <c r="Z110" t="str">
        <f t="shared" si="10"/>
        <v>arjun.rao@company.com</v>
      </c>
      <c r="AA110" t="str">
        <f t="shared" ca="1" si="13"/>
        <v/>
      </c>
      <c r="AB110" t="str">
        <f t="shared" si="11"/>
        <v/>
      </c>
      <c r="AC110" t="str">
        <f t="shared" si="12"/>
        <v>Delayed</v>
      </c>
    </row>
    <row r="111" spans="1:29">
      <c r="A111" s="34" t="s">
        <v>528</v>
      </c>
      <c r="B111" s="10" t="s">
        <v>346</v>
      </c>
      <c r="C111" s="10" t="s">
        <v>322</v>
      </c>
      <c r="D111" s="10" t="s">
        <v>72</v>
      </c>
      <c r="E111" s="10" t="s">
        <v>375</v>
      </c>
      <c r="F111" s="10" t="s">
        <v>348</v>
      </c>
      <c r="G111" s="10" t="s">
        <v>269</v>
      </c>
      <c r="H111" s="10" t="s">
        <v>529</v>
      </c>
      <c r="I111" s="10" t="s">
        <v>241</v>
      </c>
      <c r="J111" s="10" t="s">
        <v>242</v>
      </c>
      <c r="K111" s="10" t="s">
        <v>15</v>
      </c>
      <c r="L111" s="10" t="s">
        <v>325</v>
      </c>
      <c r="M111" s="10">
        <v>15</v>
      </c>
      <c r="N111" s="10">
        <v>8500</v>
      </c>
      <c r="O111" s="10">
        <v>0</v>
      </c>
      <c r="P111" s="10">
        <v>127500</v>
      </c>
      <c r="Q111" s="10">
        <v>3</v>
      </c>
      <c r="R111" s="10" t="s">
        <v>254</v>
      </c>
      <c r="S111" s="10" t="s">
        <v>292</v>
      </c>
      <c r="T111" s="10" t="s">
        <v>350</v>
      </c>
      <c r="U111" s="10">
        <v>9999889465</v>
      </c>
      <c r="V111" s="12" t="s">
        <v>248</v>
      </c>
      <c r="W111" t="str">
        <f t="shared" si="7"/>
        <v/>
      </c>
      <c r="X111" t="str">
        <f t="shared" si="8"/>
        <v>Vikas Mehta</v>
      </c>
      <c r="Y111" t="str">
        <f t="shared" si="9"/>
        <v>Vik005Be</v>
      </c>
      <c r="Z111" t="str">
        <f t="shared" si="10"/>
        <v>vikas.mehta@company.com</v>
      </c>
      <c r="AA111">
        <f t="shared" ca="1" si="13"/>
        <v>33</v>
      </c>
      <c r="AB111">
        <f t="shared" si="11"/>
        <v>8</v>
      </c>
      <c r="AC111" t="str">
        <f t="shared" si="12"/>
        <v>Delayed</v>
      </c>
    </row>
    <row r="112" spans="1:29">
      <c r="A112" s="33" t="s">
        <v>530</v>
      </c>
      <c r="B112" s="5" t="s">
        <v>299</v>
      </c>
      <c r="C112" s="5" t="s">
        <v>267</v>
      </c>
      <c r="D112" s="5" t="s">
        <v>12</v>
      </c>
      <c r="E112" s="5" t="s">
        <v>77</v>
      </c>
      <c r="F112" s="5" t="s">
        <v>301</v>
      </c>
      <c r="G112" s="5" t="s">
        <v>269</v>
      </c>
      <c r="H112" s="6">
        <v>31361</v>
      </c>
      <c r="I112" s="5" t="s">
        <v>252</v>
      </c>
      <c r="J112" s="5" t="s">
        <v>242</v>
      </c>
      <c r="K112" s="5" t="s">
        <v>243</v>
      </c>
      <c r="L112" s="5" t="s">
        <v>271</v>
      </c>
      <c r="M112" s="5">
        <v>1</v>
      </c>
      <c r="N112" s="5">
        <v>1200</v>
      </c>
      <c r="O112" s="5">
        <v>20</v>
      </c>
      <c r="P112" s="5">
        <v>960</v>
      </c>
      <c r="Q112" s="5">
        <v>1</v>
      </c>
      <c r="R112" s="5" t="s">
        <v>277</v>
      </c>
      <c r="S112" s="5" t="s">
        <v>292</v>
      </c>
      <c r="T112" s="5" t="s">
        <v>302</v>
      </c>
      <c r="U112" s="5">
        <v>9489687402</v>
      </c>
      <c r="V112" s="8" t="s">
        <v>248</v>
      </c>
      <c r="W112" t="str">
        <f t="shared" si="7"/>
        <v>Blacklisted</v>
      </c>
      <c r="X112" t="str">
        <f t="shared" si="8"/>
        <v>Rohit Singh</v>
      </c>
      <c r="Y112" t="str">
        <f t="shared" si="9"/>
        <v>Roh003Hy</v>
      </c>
      <c r="Z112" t="str">
        <f t="shared" si="10"/>
        <v>rohit.singh@company.com</v>
      </c>
      <c r="AA112" t="str">
        <f t="shared" ca="1" si="13"/>
        <v/>
      </c>
      <c r="AB112">
        <f t="shared" si="11"/>
        <v>6</v>
      </c>
      <c r="AC112" t="str">
        <f t="shared" si="12"/>
        <v>Delayed</v>
      </c>
    </row>
    <row r="113" spans="1:29">
      <c r="A113" s="34" t="s">
        <v>531</v>
      </c>
      <c r="B113" s="10" t="s">
        <v>299</v>
      </c>
      <c r="C113" s="10" t="s">
        <v>322</v>
      </c>
      <c r="D113" s="11">
        <v>45904</v>
      </c>
      <c r="E113" s="10" t="s">
        <v>67</v>
      </c>
      <c r="F113" s="10" t="s">
        <v>301</v>
      </c>
      <c r="G113" s="10" t="s">
        <v>269</v>
      </c>
      <c r="H113" s="11">
        <v>36932</v>
      </c>
      <c r="I113" s="10" t="s">
        <v>379</v>
      </c>
      <c r="J113" s="10" t="s">
        <v>21</v>
      </c>
      <c r="K113" s="10" t="s">
        <v>15</v>
      </c>
      <c r="L113" s="10" t="s">
        <v>325</v>
      </c>
      <c r="M113" s="10">
        <v>5</v>
      </c>
      <c r="N113" s="10">
        <v>8500</v>
      </c>
      <c r="O113" s="10">
        <v>10</v>
      </c>
      <c r="P113" s="10">
        <v>38250</v>
      </c>
      <c r="Q113" s="10">
        <v>1</v>
      </c>
      <c r="R113" s="10" t="s">
        <v>272</v>
      </c>
      <c r="S113" s="10" t="s">
        <v>246</v>
      </c>
      <c r="T113" s="10" t="s">
        <v>302</v>
      </c>
      <c r="U113" s="10">
        <v>9236963301</v>
      </c>
      <c r="V113" s="12" t="s">
        <v>257</v>
      </c>
      <c r="W113" t="str">
        <f t="shared" si="7"/>
        <v>Blacklisted</v>
      </c>
      <c r="X113" t="str">
        <f t="shared" si="8"/>
        <v>Rohit Singh</v>
      </c>
      <c r="Y113" t="str">
        <f t="shared" si="9"/>
        <v>Roh003Ko</v>
      </c>
      <c r="Z113" t="str">
        <f t="shared" si="10"/>
        <v>rohit.singh@company.com</v>
      </c>
      <c r="AA113">
        <f t="shared" ca="1" si="13"/>
        <v>40</v>
      </c>
      <c r="AB113" t="str">
        <f t="shared" si="11"/>
        <v/>
      </c>
      <c r="AC113" t="str">
        <f t="shared" si="12"/>
        <v>Delayed</v>
      </c>
    </row>
    <row r="114" spans="1:29">
      <c r="A114" s="33" t="s">
        <v>532</v>
      </c>
      <c r="B114" s="5" t="s">
        <v>235</v>
      </c>
      <c r="C114" s="5" t="s">
        <v>362</v>
      </c>
      <c r="D114" s="6">
        <v>46085</v>
      </c>
      <c r="E114" s="6">
        <v>46299</v>
      </c>
      <c r="F114" s="5" t="s">
        <v>318</v>
      </c>
      <c r="G114" s="5" t="s">
        <v>239</v>
      </c>
      <c r="H114" s="6">
        <v>31628</v>
      </c>
      <c r="I114" s="5" t="s">
        <v>252</v>
      </c>
      <c r="J114" s="5" t="s">
        <v>242</v>
      </c>
      <c r="K114" s="5" t="s">
        <v>295</v>
      </c>
      <c r="L114" s="5" t="s">
        <v>363</v>
      </c>
      <c r="M114" s="5">
        <v>12</v>
      </c>
      <c r="N114" s="5">
        <v>45</v>
      </c>
      <c r="O114" s="5">
        <v>5</v>
      </c>
      <c r="P114" s="5">
        <v>513</v>
      </c>
      <c r="Q114" s="5">
        <v>2</v>
      </c>
      <c r="R114" s="5" t="s">
        <v>245</v>
      </c>
      <c r="S114" s="5" t="s">
        <v>255</v>
      </c>
      <c r="T114" s="5" t="s">
        <v>247</v>
      </c>
      <c r="U114" s="5">
        <v>9653594592</v>
      </c>
      <c r="V114" s="8" t="s">
        <v>265</v>
      </c>
      <c r="W114" t="str">
        <f t="shared" si="7"/>
        <v>Blacklisted</v>
      </c>
      <c r="X114" t="str">
        <f t="shared" si="8"/>
        <v>Pooja Shah</v>
      </c>
      <c r="Y114" t="str">
        <f t="shared" ref="Y114" si="14">LEFT(F114,3)&amp;MID(B114,2,3)&amp;LEFT(I114,2)</f>
        <v>Poo010Hy</v>
      </c>
      <c r="Z114" t="str">
        <f t="shared" si="10"/>
        <v>pooja.shah@company.com</v>
      </c>
      <c r="AA114">
        <f t="shared" ca="1" si="13"/>
        <v>25</v>
      </c>
      <c r="AB114" t="str">
        <f t="shared" si="11"/>
        <v/>
      </c>
      <c r="AC114" t="str">
        <f t="shared" si="12"/>
        <v>Delayed</v>
      </c>
    </row>
    <row r="115" spans="1:29">
      <c r="A115" s="34" t="s">
        <v>533</v>
      </c>
      <c r="B115" s="10" t="s">
        <v>346</v>
      </c>
      <c r="C115" s="10" t="s">
        <v>294</v>
      </c>
      <c r="D115" s="10" t="s">
        <v>126</v>
      </c>
      <c r="E115" s="10" t="s">
        <v>182</v>
      </c>
      <c r="F115" s="10" t="s">
        <v>348</v>
      </c>
      <c r="G115" s="10" t="s">
        <v>269</v>
      </c>
      <c r="H115" s="10" t="s">
        <v>534</v>
      </c>
      <c r="I115" s="10" t="s">
        <v>291</v>
      </c>
      <c r="J115" s="10" t="s">
        <v>287</v>
      </c>
      <c r="K115" s="10" t="s">
        <v>295</v>
      </c>
      <c r="L115" s="10" t="s">
        <v>296</v>
      </c>
      <c r="M115" s="10">
        <v>5</v>
      </c>
      <c r="N115" s="10">
        <v>60</v>
      </c>
      <c r="O115" s="10">
        <v>5</v>
      </c>
      <c r="P115" s="10">
        <v>285</v>
      </c>
      <c r="Q115" s="10">
        <v>2</v>
      </c>
      <c r="R115" s="10" t="s">
        <v>254</v>
      </c>
      <c r="S115" s="10" t="s">
        <v>246</v>
      </c>
      <c r="T115" s="10" t="s">
        <v>350</v>
      </c>
      <c r="U115" s="10">
        <v>9781970426</v>
      </c>
      <c r="V115" s="12" t="s">
        <v>257</v>
      </c>
      <c r="W115" t="str">
        <f t="shared" si="7"/>
        <v>Blacklisted</v>
      </c>
      <c r="X115" t="str">
        <f t="shared" si="8"/>
        <v>Vikas Mehta</v>
      </c>
      <c r="Y115" t="str">
        <f t="shared" si="9"/>
        <v>Vik005Pu</v>
      </c>
      <c r="Z115" t="str">
        <f t="shared" si="10"/>
        <v>vikas.mehta@company.com</v>
      </c>
      <c r="AA115">
        <f t="shared" ca="1" si="13"/>
        <v>40</v>
      </c>
      <c r="AB115">
        <f t="shared" si="11"/>
        <v>5</v>
      </c>
      <c r="AC115" t="str">
        <f t="shared" si="12"/>
        <v>On time</v>
      </c>
    </row>
    <row r="116" spans="1:29">
      <c r="A116" s="33" t="s">
        <v>535</v>
      </c>
      <c r="B116" s="5" t="s">
        <v>235</v>
      </c>
      <c r="C116" s="5" t="s">
        <v>330</v>
      </c>
      <c r="D116" s="6">
        <v>45720</v>
      </c>
      <c r="E116" s="5" t="s">
        <v>536</v>
      </c>
      <c r="F116" s="5" t="s">
        <v>318</v>
      </c>
      <c r="G116" s="5" t="s">
        <v>239</v>
      </c>
      <c r="H116" s="6">
        <v>34642</v>
      </c>
      <c r="I116" s="5" t="s">
        <v>379</v>
      </c>
      <c r="J116" s="5" t="s">
        <v>21</v>
      </c>
      <c r="K116" s="5" t="s">
        <v>243</v>
      </c>
      <c r="L116" s="5" t="s">
        <v>333</v>
      </c>
      <c r="M116" s="5">
        <v>3</v>
      </c>
      <c r="N116" s="5">
        <v>700</v>
      </c>
      <c r="O116" s="5">
        <v>0</v>
      </c>
      <c r="P116" s="5">
        <v>2100</v>
      </c>
      <c r="Q116" s="5">
        <v>4</v>
      </c>
      <c r="R116" s="5" t="s">
        <v>272</v>
      </c>
      <c r="S116" s="5" t="s">
        <v>246</v>
      </c>
      <c r="T116" s="5" t="s">
        <v>247</v>
      </c>
      <c r="U116" s="5">
        <v>9862165194</v>
      </c>
      <c r="V116" s="8" t="s">
        <v>257</v>
      </c>
      <c r="W116" t="str">
        <f t="shared" si="7"/>
        <v>Silver</v>
      </c>
      <c r="X116" t="str">
        <f t="shared" si="8"/>
        <v>Pooja Shah</v>
      </c>
      <c r="Y116" t="str">
        <f t="shared" ref="Y116:Y179" si="15">LEFT(F116,3)&amp;MID(B116,2,3)&amp;LEFT(I116,2)</f>
        <v>Poo010Ko</v>
      </c>
      <c r="Z116" t="str">
        <f t="shared" si="10"/>
        <v>pooja.shah@company.com</v>
      </c>
      <c r="AA116" t="str">
        <f t="shared" ca="1" si="13"/>
        <v/>
      </c>
      <c r="AB116" t="str">
        <f t="shared" si="11"/>
        <v/>
      </c>
      <c r="AC116" t="str">
        <f t="shared" si="12"/>
        <v>Delayed</v>
      </c>
    </row>
    <row r="117" spans="1:29">
      <c r="A117" s="34" t="s">
        <v>537</v>
      </c>
      <c r="B117" s="10" t="s">
        <v>321</v>
      </c>
      <c r="C117" s="10" t="s">
        <v>347</v>
      </c>
      <c r="D117" s="10" t="s">
        <v>141</v>
      </c>
      <c r="E117" s="10" t="s">
        <v>511</v>
      </c>
      <c r="F117" s="10" t="s">
        <v>408</v>
      </c>
      <c r="G117" s="10" t="s">
        <v>239</v>
      </c>
      <c r="H117" s="11">
        <v>33699</v>
      </c>
      <c r="I117" s="10" t="s">
        <v>260</v>
      </c>
      <c r="J117" s="10" t="s">
        <v>261</v>
      </c>
      <c r="K117" s="10" t="s">
        <v>295</v>
      </c>
      <c r="L117" s="10" t="s">
        <v>349</v>
      </c>
      <c r="M117" s="10">
        <v>6</v>
      </c>
      <c r="N117" s="10">
        <v>20</v>
      </c>
      <c r="O117" s="10">
        <v>15</v>
      </c>
      <c r="P117" s="10">
        <v>102</v>
      </c>
      <c r="Q117" s="10">
        <v>5</v>
      </c>
      <c r="R117" s="10" t="s">
        <v>272</v>
      </c>
      <c r="S117" s="10" t="s">
        <v>312</v>
      </c>
      <c r="T117" s="10" t="s">
        <v>326</v>
      </c>
      <c r="U117" s="10">
        <v>9661280388</v>
      </c>
      <c r="V117" s="12" t="s">
        <v>257</v>
      </c>
      <c r="W117" t="str">
        <f t="shared" si="7"/>
        <v>Silver</v>
      </c>
      <c r="X117" t="str">
        <f t="shared" si="8"/>
        <v>Anita Gupta</v>
      </c>
      <c r="Y117" t="str">
        <f t="shared" si="15"/>
        <v>Ani004De</v>
      </c>
      <c r="Z117" t="str">
        <f t="shared" si="10"/>
        <v>anita.gupta@company.com</v>
      </c>
      <c r="AA117">
        <f t="shared" ca="1" si="13"/>
        <v>31</v>
      </c>
      <c r="AB117">
        <f t="shared" si="11"/>
        <v>4</v>
      </c>
      <c r="AC117" t="str">
        <f t="shared" si="12"/>
        <v>On time</v>
      </c>
    </row>
    <row r="118" spans="1:29">
      <c r="A118" s="33" t="s">
        <v>538</v>
      </c>
      <c r="B118" s="5" t="s">
        <v>284</v>
      </c>
      <c r="C118" s="5" t="s">
        <v>330</v>
      </c>
      <c r="D118" s="5" t="s">
        <v>135</v>
      </c>
      <c r="E118" s="5" t="s">
        <v>539</v>
      </c>
      <c r="F118" s="5" t="s">
        <v>285</v>
      </c>
      <c r="G118" s="5" t="s">
        <v>239</v>
      </c>
      <c r="H118" s="5" t="s">
        <v>540</v>
      </c>
      <c r="I118" s="5" t="s">
        <v>241</v>
      </c>
      <c r="J118" s="5" t="s">
        <v>242</v>
      </c>
      <c r="K118" s="5" t="s">
        <v>243</v>
      </c>
      <c r="L118" s="5" t="s">
        <v>333</v>
      </c>
      <c r="M118" s="5">
        <v>2</v>
      </c>
      <c r="N118" s="5">
        <v>700</v>
      </c>
      <c r="O118" s="5">
        <v>15</v>
      </c>
      <c r="P118" s="5">
        <v>1190</v>
      </c>
      <c r="Q118" s="5">
        <v>4</v>
      </c>
      <c r="R118" s="5" t="s">
        <v>254</v>
      </c>
      <c r="S118" s="5" t="s">
        <v>312</v>
      </c>
      <c r="T118" s="5" t="s">
        <v>308</v>
      </c>
      <c r="U118" s="5">
        <v>9896985355</v>
      </c>
      <c r="V118" s="8" t="s">
        <v>248</v>
      </c>
      <c r="W118" t="str">
        <f t="shared" si="7"/>
        <v/>
      </c>
      <c r="X118" t="str">
        <f t="shared" si="8"/>
        <v>Priya Patel</v>
      </c>
      <c r="Y118" t="str">
        <f t="shared" si="15"/>
        <v>Pri002Be</v>
      </c>
      <c r="Z118" t="str">
        <f t="shared" si="10"/>
        <v>priya.patel@company.com</v>
      </c>
      <c r="AA118">
        <f t="shared" ca="1" si="13"/>
        <v>34</v>
      </c>
      <c r="AB118">
        <f t="shared" si="11"/>
        <v>7</v>
      </c>
      <c r="AC118" t="str">
        <f t="shared" si="12"/>
        <v>Delayed</v>
      </c>
    </row>
    <row r="119" spans="1:29">
      <c r="A119" s="34" t="s">
        <v>541</v>
      </c>
      <c r="B119" s="10" t="s">
        <v>392</v>
      </c>
      <c r="C119" s="10" t="s">
        <v>362</v>
      </c>
      <c r="D119" s="10" t="s">
        <v>204</v>
      </c>
      <c r="E119" s="11">
        <v>45967</v>
      </c>
      <c r="F119" s="10" t="s">
        <v>323</v>
      </c>
      <c r="G119" s="10" t="s">
        <v>269</v>
      </c>
      <c r="H119" s="11">
        <v>34889</v>
      </c>
      <c r="I119" s="10" t="s">
        <v>291</v>
      </c>
      <c r="J119" s="10" t="s">
        <v>287</v>
      </c>
      <c r="K119" s="10" t="s">
        <v>295</v>
      </c>
      <c r="L119" s="10" t="s">
        <v>363</v>
      </c>
      <c r="M119" s="10">
        <v>16</v>
      </c>
      <c r="N119" s="10">
        <v>45</v>
      </c>
      <c r="O119" s="10">
        <v>0</v>
      </c>
      <c r="P119" s="10">
        <v>720</v>
      </c>
      <c r="Q119" s="10">
        <v>1</v>
      </c>
      <c r="R119" s="10" t="s">
        <v>245</v>
      </c>
      <c r="S119" s="10" t="s">
        <v>246</v>
      </c>
      <c r="T119" s="10" t="s">
        <v>395</v>
      </c>
      <c r="U119" s="10">
        <v>9807154421</v>
      </c>
      <c r="V119" s="12" t="s">
        <v>257</v>
      </c>
      <c r="W119" t="str">
        <f t="shared" si="7"/>
        <v>Blacklisted</v>
      </c>
      <c r="X119" t="str">
        <f t="shared" si="8"/>
        <v>Amit Sharma</v>
      </c>
      <c r="Y119" t="str">
        <f t="shared" si="15"/>
        <v>Ami001Pu</v>
      </c>
      <c r="Z119" t="str">
        <f t="shared" si="10"/>
        <v>amit.sharma@company.com</v>
      </c>
      <c r="AA119" t="str">
        <f t="shared" ca="1" si="13"/>
        <v/>
      </c>
      <c r="AB119" t="str">
        <f t="shared" si="11"/>
        <v/>
      </c>
      <c r="AC119" t="str">
        <f t="shared" si="12"/>
        <v>Delayed</v>
      </c>
    </row>
    <row r="120" spans="1:29">
      <c r="A120" s="33" t="s">
        <v>542</v>
      </c>
      <c r="B120" s="5" t="s">
        <v>266</v>
      </c>
      <c r="C120" s="5" t="s">
        <v>267</v>
      </c>
      <c r="D120" s="5" t="s">
        <v>197</v>
      </c>
      <c r="E120" s="6">
        <v>45694</v>
      </c>
      <c r="F120" s="5" t="s">
        <v>268</v>
      </c>
      <c r="G120" s="5" t="s">
        <v>269</v>
      </c>
      <c r="H120" s="6">
        <v>32358</v>
      </c>
      <c r="I120" s="5" t="s">
        <v>306</v>
      </c>
      <c r="J120" s="5" t="s">
        <v>287</v>
      </c>
      <c r="K120" s="5" t="s">
        <v>243</v>
      </c>
      <c r="L120" s="5" t="s">
        <v>271</v>
      </c>
      <c r="M120" s="5" t="s">
        <v>543</v>
      </c>
      <c r="N120" s="5">
        <v>1200</v>
      </c>
      <c r="O120" s="5">
        <v>15</v>
      </c>
      <c r="P120" s="5">
        <v>7140</v>
      </c>
      <c r="Q120" s="5">
        <v>4</v>
      </c>
      <c r="R120" s="5" t="s">
        <v>277</v>
      </c>
      <c r="S120" s="5" t="s">
        <v>312</v>
      </c>
      <c r="T120" s="5" t="s">
        <v>273</v>
      </c>
      <c r="U120" s="5">
        <v>9919834000</v>
      </c>
      <c r="V120" s="8" t="s">
        <v>248</v>
      </c>
      <c r="W120" t="str">
        <f t="shared" si="7"/>
        <v/>
      </c>
      <c r="X120" t="str">
        <f t="shared" si="8"/>
        <v>Mohit Verma</v>
      </c>
      <c r="Y120" t="str">
        <f t="shared" si="15"/>
        <v>Moh009Ah</v>
      </c>
      <c r="Z120" t="str">
        <f t="shared" si="10"/>
        <v>mohit.verma@company.com</v>
      </c>
      <c r="AA120">
        <f t="shared" ca="1" si="13"/>
        <v>31</v>
      </c>
      <c r="AB120" t="str">
        <f t="shared" si="11"/>
        <v/>
      </c>
      <c r="AC120" t="str">
        <f t="shared" si="12"/>
        <v>Delayed</v>
      </c>
    </row>
    <row r="121" spans="1:29">
      <c r="A121" s="34" t="s">
        <v>544</v>
      </c>
      <c r="B121" s="10" t="s">
        <v>284</v>
      </c>
      <c r="C121" s="10" t="s">
        <v>258</v>
      </c>
      <c r="D121" s="10" t="s">
        <v>82</v>
      </c>
      <c r="E121" s="10" t="s">
        <v>199</v>
      </c>
      <c r="F121" s="10" t="s">
        <v>285</v>
      </c>
      <c r="G121" s="10" t="s">
        <v>239</v>
      </c>
      <c r="H121" s="11">
        <v>32696</v>
      </c>
      <c r="I121" s="10" t="s">
        <v>342</v>
      </c>
      <c r="J121" s="10" t="s">
        <v>261</v>
      </c>
      <c r="K121" s="10" t="s">
        <v>243</v>
      </c>
      <c r="L121" s="10" t="s">
        <v>262</v>
      </c>
      <c r="M121" s="10">
        <v>14</v>
      </c>
      <c r="N121" s="10">
        <v>12000</v>
      </c>
      <c r="O121" s="10">
        <v>15</v>
      </c>
      <c r="P121" s="10">
        <v>142800</v>
      </c>
      <c r="Q121" s="10">
        <v>2</v>
      </c>
      <c r="R121" s="10" t="s">
        <v>245</v>
      </c>
      <c r="S121" s="10" t="s">
        <v>246</v>
      </c>
      <c r="T121" s="10" t="s">
        <v>308</v>
      </c>
      <c r="U121" s="10">
        <v>9739798818</v>
      </c>
      <c r="V121" s="12" t="s">
        <v>248</v>
      </c>
      <c r="W121" t="str">
        <f t="shared" si="7"/>
        <v>Blacklisted</v>
      </c>
      <c r="X121" t="str">
        <f t="shared" si="8"/>
        <v>Priya Patel</v>
      </c>
      <c r="Y121" t="str">
        <f t="shared" si="15"/>
        <v>Pri002Ja</v>
      </c>
      <c r="Z121" t="str">
        <f t="shared" si="10"/>
        <v>priya.patel@company.com</v>
      </c>
      <c r="AA121">
        <f t="shared" ca="1" si="13"/>
        <v>38</v>
      </c>
      <c r="AB121">
        <f t="shared" si="11"/>
        <v>11</v>
      </c>
      <c r="AC121" t="str">
        <f t="shared" si="12"/>
        <v>Delayed</v>
      </c>
    </row>
    <row r="122" spans="1:29">
      <c r="A122" s="33" t="s">
        <v>545</v>
      </c>
      <c r="B122" s="5" t="s">
        <v>299</v>
      </c>
      <c r="C122" s="5" t="s">
        <v>322</v>
      </c>
      <c r="D122" s="5" t="s">
        <v>30</v>
      </c>
      <c r="E122" s="5" t="s">
        <v>52</v>
      </c>
      <c r="F122" s="5" t="s">
        <v>301</v>
      </c>
      <c r="G122" s="5" t="s">
        <v>269</v>
      </c>
      <c r="H122" s="6">
        <v>34284</v>
      </c>
      <c r="I122" s="5" t="s">
        <v>291</v>
      </c>
      <c r="J122" s="5" t="s">
        <v>287</v>
      </c>
      <c r="K122" s="5" t="s">
        <v>15</v>
      </c>
      <c r="L122" s="5" t="s">
        <v>325</v>
      </c>
      <c r="M122" s="5">
        <v>8</v>
      </c>
      <c r="N122" s="5">
        <v>8500</v>
      </c>
      <c r="O122" s="5">
        <v>20</v>
      </c>
      <c r="P122" s="5">
        <v>54400</v>
      </c>
      <c r="Q122" s="5">
        <v>3</v>
      </c>
      <c r="R122" s="5" t="s">
        <v>272</v>
      </c>
      <c r="S122" s="5" t="s">
        <v>263</v>
      </c>
      <c r="T122" s="5" t="s">
        <v>302</v>
      </c>
      <c r="U122" s="5">
        <v>9208625306</v>
      </c>
      <c r="V122" s="8" t="s">
        <v>257</v>
      </c>
      <c r="W122" t="str">
        <f t="shared" si="7"/>
        <v>Gold</v>
      </c>
      <c r="X122" t="str">
        <f t="shared" si="8"/>
        <v>Rohit Singh</v>
      </c>
      <c r="Y122" t="str">
        <f t="shared" si="15"/>
        <v>Roh003Pu</v>
      </c>
      <c r="Z122" t="str">
        <f t="shared" si="10"/>
        <v>rohit.singh@company.com</v>
      </c>
      <c r="AA122">
        <f t="shared" ca="1" si="13"/>
        <v>37</v>
      </c>
      <c r="AB122">
        <f t="shared" si="11"/>
        <v>2</v>
      </c>
      <c r="AC122" t="str">
        <f t="shared" si="12"/>
        <v>On time</v>
      </c>
    </row>
    <row r="123" spans="1:29">
      <c r="A123" s="34" t="s">
        <v>546</v>
      </c>
      <c r="B123" s="10" t="s">
        <v>275</v>
      </c>
      <c r="C123" s="10" t="s">
        <v>362</v>
      </c>
      <c r="D123" s="10" t="s">
        <v>202</v>
      </c>
      <c r="E123" s="11">
        <v>46297</v>
      </c>
      <c r="F123" s="10" t="s">
        <v>328</v>
      </c>
      <c r="G123" s="10" t="s">
        <v>269</v>
      </c>
      <c r="H123" s="11">
        <v>36527</v>
      </c>
      <c r="I123" s="10" t="s">
        <v>241</v>
      </c>
      <c r="J123" s="10" t="s">
        <v>242</v>
      </c>
      <c r="K123" s="10" t="s">
        <v>295</v>
      </c>
      <c r="L123" s="10" t="s">
        <v>363</v>
      </c>
      <c r="M123" s="10">
        <v>3</v>
      </c>
      <c r="N123" s="10">
        <v>45</v>
      </c>
      <c r="O123" s="10">
        <v>0</v>
      </c>
      <c r="P123" s="10">
        <v>135</v>
      </c>
      <c r="Q123" s="10">
        <v>4</v>
      </c>
      <c r="R123" s="10" t="s">
        <v>277</v>
      </c>
      <c r="S123" s="10" t="s">
        <v>246</v>
      </c>
      <c r="T123" s="10" t="s">
        <v>278</v>
      </c>
      <c r="U123" s="10">
        <v>9970178536</v>
      </c>
      <c r="V123" s="12" t="s">
        <v>265</v>
      </c>
      <c r="W123" t="str">
        <f t="shared" si="7"/>
        <v>Blacklisted</v>
      </c>
      <c r="X123" t="str">
        <f t="shared" si="8"/>
        <v>Arjun Rao</v>
      </c>
      <c r="Y123" t="str">
        <f t="shared" si="15"/>
        <v>Arj007Be</v>
      </c>
      <c r="Z123" t="str">
        <f t="shared" si="10"/>
        <v>arjun.rao@company.com</v>
      </c>
      <c r="AA123">
        <f t="shared" ca="1" si="13"/>
        <v>32</v>
      </c>
      <c r="AB123" t="str">
        <f t="shared" si="11"/>
        <v/>
      </c>
      <c r="AC123" t="str">
        <f t="shared" si="12"/>
        <v>Delayed</v>
      </c>
    </row>
    <row r="124" spans="1:29">
      <c r="A124" s="33" t="s">
        <v>547</v>
      </c>
      <c r="B124" s="5" t="s">
        <v>392</v>
      </c>
      <c r="C124" s="5" t="s">
        <v>330</v>
      </c>
      <c r="D124" s="6">
        <v>46082</v>
      </c>
      <c r="E124" s="6">
        <v>46113</v>
      </c>
      <c r="F124" s="5" t="s">
        <v>323</v>
      </c>
      <c r="G124" s="5" t="s">
        <v>269</v>
      </c>
      <c r="H124" s="5" t="s">
        <v>548</v>
      </c>
      <c r="I124" s="5" t="s">
        <v>342</v>
      </c>
      <c r="J124" s="5" t="s">
        <v>261</v>
      </c>
      <c r="K124" s="5" t="s">
        <v>243</v>
      </c>
      <c r="L124" s="5" t="s">
        <v>333</v>
      </c>
      <c r="M124" s="5">
        <v>13</v>
      </c>
      <c r="N124" s="5">
        <v>700</v>
      </c>
      <c r="O124" s="5">
        <v>5</v>
      </c>
      <c r="P124" s="5">
        <v>8645</v>
      </c>
      <c r="Q124" s="5">
        <v>3</v>
      </c>
      <c r="R124" s="5" t="s">
        <v>272</v>
      </c>
      <c r="S124" s="5" t="s">
        <v>292</v>
      </c>
      <c r="T124" s="5" t="s">
        <v>395</v>
      </c>
      <c r="U124" s="5">
        <v>9633745195</v>
      </c>
      <c r="V124" s="8" t="s">
        <v>248</v>
      </c>
      <c r="W124" t="str">
        <f t="shared" si="7"/>
        <v/>
      </c>
      <c r="X124" t="str">
        <f t="shared" si="8"/>
        <v>Amit Sharma</v>
      </c>
      <c r="Y124" t="str">
        <f t="shared" si="15"/>
        <v>Ami001Ja</v>
      </c>
      <c r="Z124" t="str">
        <f t="shared" si="10"/>
        <v>amit.sharma@company.com</v>
      </c>
      <c r="AA124">
        <f t="shared" ca="1" si="13"/>
        <v>26</v>
      </c>
      <c r="AB124" t="str">
        <f t="shared" si="11"/>
        <v/>
      </c>
      <c r="AC124" t="str">
        <f t="shared" si="12"/>
        <v>Delayed</v>
      </c>
    </row>
    <row r="125" spans="1:29">
      <c r="A125" s="34" t="s">
        <v>549</v>
      </c>
      <c r="B125" s="10" t="s">
        <v>321</v>
      </c>
      <c r="C125" s="10" t="s">
        <v>267</v>
      </c>
      <c r="D125" s="10" t="s">
        <v>95</v>
      </c>
      <c r="E125" s="10" t="s">
        <v>550</v>
      </c>
      <c r="F125" s="10" t="s">
        <v>408</v>
      </c>
      <c r="G125" s="10" t="s">
        <v>239</v>
      </c>
      <c r="H125" s="10" t="s">
        <v>551</v>
      </c>
      <c r="I125" s="10" t="s">
        <v>286</v>
      </c>
      <c r="J125" s="10" t="s">
        <v>287</v>
      </c>
      <c r="K125" s="10" t="s">
        <v>243</v>
      </c>
      <c r="L125" s="10" t="s">
        <v>271</v>
      </c>
      <c r="M125" s="10">
        <v>14</v>
      </c>
      <c r="N125" s="10">
        <v>1200</v>
      </c>
      <c r="O125" s="10">
        <v>20</v>
      </c>
      <c r="P125" s="10">
        <v>13440</v>
      </c>
      <c r="Q125" s="10">
        <v>5</v>
      </c>
      <c r="R125" s="10" t="s">
        <v>245</v>
      </c>
      <c r="S125" s="10" t="s">
        <v>246</v>
      </c>
      <c r="T125" s="10" t="s">
        <v>326</v>
      </c>
      <c r="U125" s="10">
        <v>9922102053</v>
      </c>
      <c r="V125" s="12" t="s">
        <v>257</v>
      </c>
      <c r="W125" t="str">
        <f t="shared" si="7"/>
        <v>Silver</v>
      </c>
      <c r="X125" t="str">
        <f t="shared" si="8"/>
        <v>Anita Gupta</v>
      </c>
      <c r="Y125" t="str">
        <f t="shared" si="15"/>
        <v>Ani004Mu</v>
      </c>
      <c r="Z125" t="str">
        <f t="shared" si="10"/>
        <v>anita.gupta@company.com</v>
      </c>
      <c r="AA125" t="str">
        <f t="shared" ca="1" si="13"/>
        <v/>
      </c>
      <c r="AB125">
        <f t="shared" si="11"/>
        <v>6</v>
      </c>
      <c r="AC125" t="str">
        <f t="shared" si="12"/>
        <v>Delayed</v>
      </c>
    </row>
    <row r="126" spans="1:29">
      <c r="A126" s="33" t="s">
        <v>552</v>
      </c>
      <c r="B126" s="5" t="s">
        <v>284</v>
      </c>
      <c r="C126" s="5" t="s">
        <v>362</v>
      </c>
      <c r="D126" s="6">
        <v>45966</v>
      </c>
      <c r="E126" s="5" t="s">
        <v>553</v>
      </c>
      <c r="F126" s="5" t="s">
        <v>285</v>
      </c>
      <c r="G126" s="5" t="s">
        <v>239</v>
      </c>
      <c r="H126" s="5" t="s">
        <v>554</v>
      </c>
      <c r="I126" s="5" t="s">
        <v>260</v>
      </c>
      <c r="J126" s="5" t="s">
        <v>261</v>
      </c>
      <c r="K126" s="5" t="s">
        <v>295</v>
      </c>
      <c r="L126" s="5" t="s">
        <v>363</v>
      </c>
      <c r="M126" s="5">
        <v>2</v>
      </c>
      <c r="N126" s="5">
        <v>45</v>
      </c>
      <c r="O126" s="5">
        <v>5</v>
      </c>
      <c r="P126" s="5">
        <v>85.5</v>
      </c>
      <c r="Q126" s="5">
        <v>3</v>
      </c>
      <c r="R126" s="5" t="s">
        <v>277</v>
      </c>
      <c r="S126" s="5" t="s">
        <v>255</v>
      </c>
      <c r="T126" s="5" t="s">
        <v>308</v>
      </c>
      <c r="U126" s="5">
        <v>9135963930</v>
      </c>
      <c r="V126" s="8" t="s">
        <v>265</v>
      </c>
      <c r="W126" t="str">
        <f t="shared" si="7"/>
        <v>Blacklisted</v>
      </c>
      <c r="X126" t="str">
        <f t="shared" si="8"/>
        <v>Priya Patel</v>
      </c>
      <c r="Y126" t="str">
        <f t="shared" si="15"/>
        <v>Pri002De</v>
      </c>
      <c r="Z126" t="str">
        <f t="shared" si="10"/>
        <v>priya.patel@company.com</v>
      </c>
      <c r="AA126" t="str">
        <f t="shared" ca="1" si="13"/>
        <v/>
      </c>
      <c r="AB126" t="str">
        <f t="shared" si="11"/>
        <v/>
      </c>
      <c r="AC126" t="str">
        <f t="shared" si="12"/>
        <v>Delayed</v>
      </c>
    </row>
    <row r="127" spans="1:29">
      <c r="A127" s="34" t="s">
        <v>555</v>
      </c>
      <c r="B127" s="10" t="s">
        <v>321</v>
      </c>
      <c r="C127" s="10" t="s">
        <v>267</v>
      </c>
      <c r="D127" s="11">
        <v>46054</v>
      </c>
      <c r="E127" s="11">
        <v>46174</v>
      </c>
      <c r="F127" s="10" t="s">
        <v>408</v>
      </c>
      <c r="G127" s="10" t="s">
        <v>239</v>
      </c>
      <c r="H127" s="11">
        <v>29677</v>
      </c>
      <c r="I127" s="10" t="s">
        <v>241</v>
      </c>
      <c r="J127" s="10" t="s">
        <v>242</v>
      </c>
      <c r="K127" s="10" t="s">
        <v>243</v>
      </c>
      <c r="L127" s="10" t="s">
        <v>271</v>
      </c>
      <c r="M127" s="10">
        <v>2</v>
      </c>
      <c r="N127" s="10">
        <v>1200</v>
      </c>
      <c r="O127" s="10">
        <v>20</v>
      </c>
      <c r="P127" s="10">
        <v>1920</v>
      </c>
      <c r="Q127" s="10">
        <v>3</v>
      </c>
      <c r="R127" s="10" t="s">
        <v>272</v>
      </c>
      <c r="S127" s="10" t="s">
        <v>292</v>
      </c>
      <c r="T127" s="10" t="s">
        <v>326</v>
      </c>
      <c r="U127" s="10">
        <v>9429405275</v>
      </c>
      <c r="V127" s="12" t="s">
        <v>257</v>
      </c>
      <c r="W127" t="str">
        <f t="shared" si="7"/>
        <v>Silver</v>
      </c>
      <c r="X127" t="str">
        <f t="shared" si="8"/>
        <v>Anita Gupta</v>
      </c>
      <c r="Y127" t="str">
        <f t="shared" si="15"/>
        <v>Ani004Be</v>
      </c>
      <c r="Z127" t="str">
        <f t="shared" si="10"/>
        <v>anita.gupta@company.com</v>
      </c>
      <c r="AA127" t="str">
        <f t="shared" ca="1" si="13"/>
        <v/>
      </c>
      <c r="AB127" t="str">
        <f t="shared" si="11"/>
        <v/>
      </c>
      <c r="AC127" t="str">
        <f t="shared" si="12"/>
        <v>Delayed</v>
      </c>
    </row>
    <row r="128" spans="1:29">
      <c r="A128" s="33" t="s">
        <v>556</v>
      </c>
      <c r="B128" s="5" t="s">
        <v>299</v>
      </c>
      <c r="C128" s="5" t="s">
        <v>236</v>
      </c>
      <c r="D128" s="5" t="s">
        <v>90</v>
      </c>
      <c r="E128" s="5" t="s">
        <v>154</v>
      </c>
      <c r="F128" s="5" t="s">
        <v>301</v>
      </c>
      <c r="G128" s="5" t="s">
        <v>269</v>
      </c>
      <c r="H128" s="6">
        <v>38331</v>
      </c>
      <c r="I128" s="5" t="s">
        <v>241</v>
      </c>
      <c r="J128" s="5" t="s">
        <v>242</v>
      </c>
      <c r="K128" s="5" t="s">
        <v>243</v>
      </c>
      <c r="L128" s="5" t="s">
        <v>244</v>
      </c>
      <c r="M128" s="5">
        <v>10</v>
      </c>
      <c r="N128" s="5">
        <v>55000</v>
      </c>
      <c r="O128" s="5">
        <v>5</v>
      </c>
      <c r="P128" s="5">
        <v>522500</v>
      </c>
      <c r="Q128" s="5">
        <v>5</v>
      </c>
      <c r="R128" s="5" t="s">
        <v>277</v>
      </c>
      <c r="S128" s="5" t="s">
        <v>246</v>
      </c>
      <c r="T128" s="5" t="s">
        <v>302</v>
      </c>
      <c r="U128" s="5">
        <v>9521757571</v>
      </c>
      <c r="V128" s="8" t="s">
        <v>248</v>
      </c>
      <c r="W128" t="str">
        <f t="shared" si="7"/>
        <v/>
      </c>
      <c r="X128" t="str">
        <f t="shared" si="8"/>
        <v>Rohit Singh</v>
      </c>
      <c r="Y128" t="str">
        <f t="shared" si="15"/>
        <v>Roh003Be</v>
      </c>
      <c r="Z128" t="str">
        <f t="shared" si="10"/>
        <v>rohit.singh@company.com</v>
      </c>
      <c r="AA128">
        <f t="shared" ca="1" si="13"/>
        <v>45</v>
      </c>
      <c r="AB128">
        <f t="shared" si="11"/>
        <v>6</v>
      </c>
      <c r="AC128" t="str">
        <f t="shared" si="12"/>
        <v>Delayed</v>
      </c>
    </row>
    <row r="129" spans="1:29">
      <c r="A129" s="34" t="s">
        <v>557</v>
      </c>
      <c r="B129" s="10" t="s">
        <v>358</v>
      </c>
      <c r="C129" s="10" t="s">
        <v>280</v>
      </c>
      <c r="D129" s="11">
        <v>45755</v>
      </c>
      <c r="E129" s="11">
        <v>45785</v>
      </c>
      <c r="F129" s="10" t="s">
        <v>359</v>
      </c>
      <c r="G129" s="10" t="s">
        <v>239</v>
      </c>
      <c r="H129" s="10" t="s">
        <v>558</v>
      </c>
      <c r="I129" s="10" t="s">
        <v>342</v>
      </c>
      <c r="J129" s="10" t="s">
        <v>261</v>
      </c>
      <c r="K129" s="10" t="s">
        <v>15</v>
      </c>
      <c r="L129" s="10" t="s">
        <v>282</v>
      </c>
      <c r="M129" s="10">
        <v>15</v>
      </c>
      <c r="N129" s="10">
        <v>3500</v>
      </c>
      <c r="O129" s="10">
        <v>10</v>
      </c>
      <c r="P129" s="10">
        <v>47250</v>
      </c>
      <c r="Q129" s="10">
        <v>3</v>
      </c>
      <c r="R129" s="10" t="s">
        <v>245</v>
      </c>
      <c r="S129" s="10" t="s">
        <v>292</v>
      </c>
      <c r="T129" s="10" t="s">
        <v>360</v>
      </c>
      <c r="U129" s="10">
        <v>9467375455</v>
      </c>
      <c r="V129" s="12" t="s">
        <v>257</v>
      </c>
      <c r="W129" t="str">
        <f t="shared" si="7"/>
        <v>Silver</v>
      </c>
      <c r="X129" t="str">
        <f t="shared" si="8"/>
        <v>Sneha Joshi</v>
      </c>
      <c r="Y129" t="str">
        <f t="shared" si="15"/>
        <v>Sne006Ja</v>
      </c>
      <c r="Z129" t="str">
        <f t="shared" si="10"/>
        <v>sneha.joshi@company.com</v>
      </c>
      <c r="AA129">
        <f t="shared" ca="1" si="13"/>
        <v>21</v>
      </c>
      <c r="AB129" t="str">
        <f t="shared" si="11"/>
        <v/>
      </c>
      <c r="AC129" t="str">
        <f t="shared" si="12"/>
        <v>Delayed</v>
      </c>
    </row>
    <row r="130" spans="1:29">
      <c r="A130" s="33" t="s">
        <v>559</v>
      </c>
      <c r="B130" s="5" t="s">
        <v>284</v>
      </c>
      <c r="C130" s="5" t="s">
        <v>250</v>
      </c>
      <c r="D130" s="5" t="s">
        <v>18</v>
      </c>
      <c r="E130" s="5" t="s">
        <v>560</v>
      </c>
      <c r="F130" s="5" t="s">
        <v>285</v>
      </c>
      <c r="G130" s="5" t="s">
        <v>239</v>
      </c>
      <c r="H130" s="6">
        <v>30203</v>
      </c>
      <c r="I130" s="5" t="s">
        <v>241</v>
      </c>
      <c r="J130" s="5" t="s">
        <v>242</v>
      </c>
      <c r="K130" s="5" t="s">
        <v>15</v>
      </c>
      <c r="L130" s="5" t="s">
        <v>253</v>
      </c>
      <c r="M130" s="5">
        <v>10</v>
      </c>
      <c r="N130" s="5">
        <v>2200</v>
      </c>
      <c r="O130" s="5">
        <v>15</v>
      </c>
      <c r="P130" s="5">
        <v>18700</v>
      </c>
      <c r="Q130" s="5">
        <v>4</v>
      </c>
      <c r="R130" s="5" t="s">
        <v>272</v>
      </c>
      <c r="S130" s="5" t="s">
        <v>263</v>
      </c>
      <c r="T130" s="5" t="s">
        <v>308</v>
      </c>
      <c r="U130" s="5">
        <v>9838809695</v>
      </c>
      <c r="V130" s="8" t="s">
        <v>248</v>
      </c>
      <c r="W130" t="str">
        <f t="shared" si="7"/>
        <v/>
      </c>
      <c r="X130" t="str">
        <f t="shared" si="8"/>
        <v>Priya Patel</v>
      </c>
      <c r="Y130" t="str">
        <f t="shared" si="15"/>
        <v>Pri002Be</v>
      </c>
      <c r="Z130" t="str">
        <f t="shared" si="10"/>
        <v>priya.patel@company.com</v>
      </c>
      <c r="AA130" t="str">
        <f t="shared" ca="1" si="13"/>
        <v/>
      </c>
      <c r="AB130">
        <f t="shared" si="11"/>
        <v>5</v>
      </c>
      <c r="AC130" t="str">
        <f t="shared" si="12"/>
        <v>On time</v>
      </c>
    </row>
    <row r="131" spans="1:29">
      <c r="A131" s="34" t="s">
        <v>561</v>
      </c>
      <c r="B131" s="10" t="s">
        <v>358</v>
      </c>
      <c r="C131" s="10" t="s">
        <v>280</v>
      </c>
      <c r="D131" s="10" t="s">
        <v>48</v>
      </c>
      <c r="E131" s="10" t="s">
        <v>134</v>
      </c>
      <c r="F131" s="10" t="s">
        <v>359</v>
      </c>
      <c r="G131" s="10" t="s">
        <v>239</v>
      </c>
      <c r="H131" s="10" t="s">
        <v>562</v>
      </c>
      <c r="I131" s="10" t="s">
        <v>291</v>
      </c>
      <c r="J131" s="10" t="s">
        <v>287</v>
      </c>
      <c r="K131" s="10" t="s">
        <v>15</v>
      </c>
      <c r="L131" s="10" t="s">
        <v>282</v>
      </c>
      <c r="M131" s="10">
        <v>11</v>
      </c>
      <c r="N131" s="10">
        <v>3500</v>
      </c>
      <c r="O131" s="10">
        <v>5</v>
      </c>
      <c r="P131" s="10">
        <v>36575</v>
      </c>
      <c r="Q131" s="10">
        <v>5</v>
      </c>
      <c r="R131" s="10" t="s">
        <v>254</v>
      </c>
      <c r="S131" s="10" t="s">
        <v>255</v>
      </c>
      <c r="T131" s="10" t="s">
        <v>360</v>
      </c>
      <c r="U131" s="10">
        <v>9296609782</v>
      </c>
      <c r="V131" s="12" t="s">
        <v>265</v>
      </c>
      <c r="W131" t="str">
        <f t="shared" ref="W131:W194" si="16">IF(OR(Q131&lt;=2,V131="Cancelled"),"Blacklisted",IF(AND(P131&gt;100000,Q131&gt;=4,O131&lt;=10%,V131="Completed"),"Platinum",IF(AND(P131&gt;=50000,Q131&gt;=3,V131="Completed"),"Gold",IF(AND(P131&lt;50000,V131="Completed"),"Silver",""))))</f>
        <v>Blacklisted</v>
      </c>
      <c r="X131" t="str">
        <f t="shared" ref="X131:X194" si="17">PROPER(TRIM(F131))</f>
        <v>Sneha Joshi</v>
      </c>
      <c r="Y131" t="str">
        <f t="shared" si="15"/>
        <v>Sne006Pu</v>
      </c>
      <c r="Z131" t="str">
        <f t="shared" ref="Z131:Z194" si="18">IF(ISNUMBER(SEARCH("@",T131)),LOWER(TRIM(T131)),"invalid email")</f>
        <v>sneha.joshi@company.com</v>
      </c>
      <c r="AA131">
        <f t="shared" ca="1" si="13"/>
        <v>44</v>
      </c>
      <c r="AB131">
        <f t="shared" ref="AB131:AB194" si="19">IF(OR(D131="",E131=""),"",IFERROR(DATE(MID(E131,7,4),MID(E131,4,2),LEFT(E131,2))-DATE(MID(D131,7,4),MID(D131,4,2),LEFT(D131,2)),""))</f>
        <v>8</v>
      </c>
      <c r="AC131" t="str">
        <f t="shared" ref="AC131:AC194" si="20">IF(E131="","Pending",IF(AB131&lt;=5,"On time","Delayed"))</f>
        <v>Delayed</v>
      </c>
    </row>
    <row r="132" spans="1:29">
      <c r="A132" s="33" t="s">
        <v>563</v>
      </c>
      <c r="B132" s="5" t="s">
        <v>321</v>
      </c>
      <c r="C132" s="5" t="s">
        <v>267</v>
      </c>
      <c r="D132" s="5" t="s">
        <v>166</v>
      </c>
      <c r="E132" s="5" t="s">
        <v>564</v>
      </c>
      <c r="F132" s="5" t="s">
        <v>408</v>
      </c>
      <c r="G132" s="5" t="s">
        <v>239</v>
      </c>
      <c r="H132" s="6">
        <v>37837</v>
      </c>
      <c r="I132" s="5" t="s">
        <v>241</v>
      </c>
      <c r="J132" s="5" t="s">
        <v>242</v>
      </c>
      <c r="K132" s="5" t="s">
        <v>243</v>
      </c>
      <c r="L132" s="5" t="s">
        <v>271</v>
      </c>
      <c r="M132" s="5">
        <v>14</v>
      </c>
      <c r="N132" s="5">
        <v>1200</v>
      </c>
      <c r="O132" s="5">
        <v>0</v>
      </c>
      <c r="P132" s="5">
        <v>16800</v>
      </c>
      <c r="Q132" s="5">
        <v>5</v>
      </c>
      <c r="R132" s="5" t="s">
        <v>254</v>
      </c>
      <c r="S132" s="5" t="s">
        <v>263</v>
      </c>
      <c r="T132" s="5" t="s">
        <v>326</v>
      </c>
      <c r="U132" s="5">
        <v>9848259992</v>
      </c>
      <c r="V132" s="8" t="s">
        <v>265</v>
      </c>
      <c r="W132" t="str">
        <f t="shared" si="16"/>
        <v>Blacklisted</v>
      </c>
      <c r="X132" t="str">
        <f t="shared" si="17"/>
        <v>Anita Gupta</v>
      </c>
      <c r="Y132" t="str">
        <f t="shared" si="15"/>
        <v>Ani004Be</v>
      </c>
      <c r="Z132" t="str">
        <f t="shared" si="18"/>
        <v>anita.gupta@company.com</v>
      </c>
      <c r="AA132" t="str">
        <f t="shared" ref="AA132:AA195" ca="1" si="21">IF(H131="","",IFERROR(DATEDIF(IF(ISNUMBER(H131),H131,DATE(VALUE(RIGHT(H131,4)),VALUE(MID(H131,3,2)),VALUE(LEFT(H131,2)))),TODAY(),"Y"),""))</f>
        <v/>
      </c>
      <c r="AB132">
        <f t="shared" si="19"/>
        <v>3</v>
      </c>
      <c r="AC132" t="str">
        <f t="shared" si="20"/>
        <v>On time</v>
      </c>
    </row>
    <row r="133" spans="1:29">
      <c r="A133" s="34" t="s">
        <v>565</v>
      </c>
      <c r="B133" s="10" t="s">
        <v>284</v>
      </c>
      <c r="C133" s="10" t="s">
        <v>347</v>
      </c>
      <c r="D133" s="10" t="s">
        <v>56</v>
      </c>
      <c r="E133" s="10" t="s">
        <v>108</v>
      </c>
      <c r="F133" s="10" t="s">
        <v>285</v>
      </c>
      <c r="G133" s="10" t="s">
        <v>239</v>
      </c>
      <c r="H133" s="10" t="s">
        <v>566</v>
      </c>
      <c r="I133" s="10" t="s">
        <v>260</v>
      </c>
      <c r="J133" s="10" t="s">
        <v>261</v>
      </c>
      <c r="K133" s="10" t="s">
        <v>295</v>
      </c>
      <c r="L133" s="10" t="s">
        <v>349</v>
      </c>
      <c r="M133" s="10">
        <v>11</v>
      </c>
      <c r="N133" s="10">
        <v>20</v>
      </c>
      <c r="O133" s="10">
        <v>20</v>
      </c>
      <c r="P133" s="10">
        <v>176</v>
      </c>
      <c r="Q133" s="10">
        <v>4</v>
      </c>
      <c r="R133" s="10" t="s">
        <v>245</v>
      </c>
      <c r="S133" s="10" t="s">
        <v>255</v>
      </c>
      <c r="T133" s="10" t="s">
        <v>308</v>
      </c>
      <c r="U133" s="10">
        <v>9254082295</v>
      </c>
      <c r="V133" s="12" t="s">
        <v>257</v>
      </c>
      <c r="W133" t="str">
        <f t="shared" si="16"/>
        <v>Silver</v>
      </c>
      <c r="X133" t="str">
        <f t="shared" si="17"/>
        <v>Priya Patel</v>
      </c>
      <c r="Y133" t="str">
        <f t="shared" si="15"/>
        <v>Pri002De</v>
      </c>
      <c r="Z133" t="str">
        <f t="shared" si="18"/>
        <v>priya.patel@company.com</v>
      </c>
      <c r="AA133">
        <f t="shared" ca="1" si="21"/>
        <v>23</v>
      </c>
      <c r="AB133">
        <f t="shared" si="19"/>
        <v>5</v>
      </c>
      <c r="AC133" t="str">
        <f t="shared" si="20"/>
        <v>On time</v>
      </c>
    </row>
    <row r="134" spans="1:29">
      <c r="A134" s="33" t="s">
        <v>567</v>
      </c>
      <c r="B134" s="5" t="s">
        <v>266</v>
      </c>
      <c r="C134" s="5" t="s">
        <v>258</v>
      </c>
      <c r="D134" s="6">
        <v>46116</v>
      </c>
      <c r="E134" s="6">
        <v>46299</v>
      </c>
      <c r="F134" s="5" t="s">
        <v>268</v>
      </c>
      <c r="G134" s="5" t="s">
        <v>269</v>
      </c>
      <c r="H134" s="5" t="s">
        <v>568</v>
      </c>
      <c r="I134" s="5" t="s">
        <v>291</v>
      </c>
      <c r="J134" s="5" t="s">
        <v>287</v>
      </c>
      <c r="K134" s="5" t="s">
        <v>243</v>
      </c>
      <c r="L134" s="5" t="s">
        <v>262</v>
      </c>
      <c r="M134" s="5">
        <v>6</v>
      </c>
      <c r="N134" s="5">
        <v>12000</v>
      </c>
      <c r="O134" s="5">
        <v>10</v>
      </c>
      <c r="P134" s="5">
        <v>64800</v>
      </c>
      <c r="Q134" s="5">
        <v>5</v>
      </c>
      <c r="R134" s="5" t="s">
        <v>277</v>
      </c>
      <c r="S134" s="5" t="s">
        <v>312</v>
      </c>
      <c r="T134" s="5" t="s">
        <v>273</v>
      </c>
      <c r="U134" s="5">
        <v>9687923860</v>
      </c>
      <c r="V134" s="8" t="s">
        <v>257</v>
      </c>
      <c r="W134" t="str">
        <f t="shared" si="16"/>
        <v>Gold</v>
      </c>
      <c r="X134" t="str">
        <f t="shared" si="17"/>
        <v>Mohit Verma</v>
      </c>
      <c r="Y134" t="str">
        <f t="shared" si="15"/>
        <v>Moh009Pu</v>
      </c>
      <c r="Z134" t="str">
        <f t="shared" si="18"/>
        <v>mohit.verma@company.com</v>
      </c>
      <c r="AA134" t="str">
        <f t="shared" ca="1" si="21"/>
        <v/>
      </c>
      <c r="AB134" t="str">
        <f t="shared" si="19"/>
        <v/>
      </c>
      <c r="AC134" t="str">
        <f t="shared" si="20"/>
        <v>Delayed</v>
      </c>
    </row>
    <row r="135" spans="1:29">
      <c r="A135" s="34" t="s">
        <v>569</v>
      </c>
      <c r="B135" s="10" t="s">
        <v>266</v>
      </c>
      <c r="C135" s="10" t="s">
        <v>250</v>
      </c>
      <c r="D135" s="11">
        <v>45904</v>
      </c>
      <c r="E135" s="10" t="s">
        <v>67</v>
      </c>
      <c r="F135" s="10" t="s">
        <v>268</v>
      </c>
      <c r="G135" s="10" t="s">
        <v>269</v>
      </c>
      <c r="H135" s="11">
        <v>34519</v>
      </c>
      <c r="I135" s="10" t="s">
        <v>252</v>
      </c>
      <c r="J135" s="10" t="s">
        <v>242</v>
      </c>
      <c r="K135" s="10" t="s">
        <v>15</v>
      </c>
      <c r="L135" s="10" t="s">
        <v>253</v>
      </c>
      <c r="M135" s="10">
        <v>6</v>
      </c>
      <c r="N135" s="10">
        <v>2200</v>
      </c>
      <c r="O135" s="10">
        <v>5</v>
      </c>
      <c r="P135" s="10">
        <v>12540</v>
      </c>
      <c r="Q135" s="10">
        <v>4</v>
      </c>
      <c r="R135" s="10" t="s">
        <v>254</v>
      </c>
      <c r="S135" s="10" t="s">
        <v>263</v>
      </c>
      <c r="T135" s="10" t="s">
        <v>273</v>
      </c>
      <c r="U135" s="10">
        <v>9426459149</v>
      </c>
      <c r="V135" s="12" t="s">
        <v>257</v>
      </c>
      <c r="W135" t="str">
        <f t="shared" si="16"/>
        <v>Silver</v>
      </c>
      <c r="X135" t="str">
        <f t="shared" si="17"/>
        <v>Mohit Verma</v>
      </c>
      <c r="Y135" t="str">
        <f t="shared" si="15"/>
        <v>Moh009Hy</v>
      </c>
      <c r="Z135" t="str">
        <f t="shared" si="18"/>
        <v>mohit.verma@company.com</v>
      </c>
      <c r="AA135" t="str">
        <f t="shared" ca="1" si="21"/>
        <v/>
      </c>
      <c r="AB135" t="str">
        <f t="shared" si="19"/>
        <v/>
      </c>
      <c r="AC135" t="str">
        <f t="shared" si="20"/>
        <v>Delayed</v>
      </c>
    </row>
    <row r="136" spans="1:29">
      <c r="A136" s="33" t="s">
        <v>570</v>
      </c>
      <c r="B136" s="5" t="s">
        <v>235</v>
      </c>
      <c r="C136" s="5" t="s">
        <v>280</v>
      </c>
      <c r="D136" s="5" t="s">
        <v>35</v>
      </c>
      <c r="E136" s="5" t="s">
        <v>167</v>
      </c>
      <c r="F136" s="5" t="s">
        <v>318</v>
      </c>
      <c r="G136" s="5" t="s">
        <v>239</v>
      </c>
      <c r="H136" s="6">
        <v>37662</v>
      </c>
      <c r="I136" s="5" t="s">
        <v>260</v>
      </c>
      <c r="J136" s="5" t="s">
        <v>261</v>
      </c>
      <c r="K136" s="5" t="s">
        <v>15</v>
      </c>
      <c r="L136" s="5" t="s">
        <v>282</v>
      </c>
      <c r="M136" s="5">
        <v>3</v>
      </c>
      <c r="N136" s="5">
        <v>3500</v>
      </c>
      <c r="O136" s="5">
        <v>5</v>
      </c>
      <c r="P136" s="5">
        <v>9975</v>
      </c>
      <c r="Q136" s="5">
        <v>4</v>
      </c>
      <c r="R136" s="5" t="s">
        <v>245</v>
      </c>
      <c r="S136" s="5" t="s">
        <v>263</v>
      </c>
      <c r="T136" s="5" t="s">
        <v>247</v>
      </c>
      <c r="U136" s="5">
        <v>9155925975</v>
      </c>
      <c r="V136" s="8" t="s">
        <v>248</v>
      </c>
      <c r="W136" t="str">
        <f t="shared" si="16"/>
        <v/>
      </c>
      <c r="X136" t="str">
        <f t="shared" si="17"/>
        <v>Pooja Shah</v>
      </c>
      <c r="Y136" t="str">
        <f t="shared" si="15"/>
        <v>Poo010De</v>
      </c>
      <c r="Z136" t="str">
        <f t="shared" si="18"/>
        <v>pooja.shah@company.com</v>
      </c>
      <c r="AA136">
        <f t="shared" ca="1" si="21"/>
        <v>32</v>
      </c>
      <c r="AB136">
        <f t="shared" si="19"/>
        <v>12</v>
      </c>
      <c r="AC136" t="str">
        <f t="shared" si="20"/>
        <v>Delayed</v>
      </c>
    </row>
    <row r="137" spans="1:29">
      <c r="A137" s="34" t="s">
        <v>571</v>
      </c>
      <c r="B137" s="10" t="s">
        <v>266</v>
      </c>
      <c r="C137" s="10" t="s">
        <v>322</v>
      </c>
      <c r="D137" s="11">
        <v>45875</v>
      </c>
      <c r="E137" s="11">
        <v>45936</v>
      </c>
      <c r="F137" s="10" t="s">
        <v>268</v>
      </c>
      <c r="G137" s="10" t="s">
        <v>269</v>
      </c>
      <c r="H137" s="10" t="s">
        <v>572</v>
      </c>
      <c r="I137" s="10" t="s">
        <v>252</v>
      </c>
      <c r="J137" s="10" t="s">
        <v>242</v>
      </c>
      <c r="K137" s="10" t="s">
        <v>15</v>
      </c>
      <c r="L137" s="10" t="s">
        <v>325</v>
      </c>
      <c r="M137" s="10">
        <v>5</v>
      </c>
      <c r="N137" s="10">
        <v>8500</v>
      </c>
      <c r="O137" s="10">
        <v>20</v>
      </c>
      <c r="P137" s="10">
        <v>34000</v>
      </c>
      <c r="Q137" s="10">
        <v>5</v>
      </c>
      <c r="R137" s="10" t="s">
        <v>254</v>
      </c>
      <c r="S137" s="10" t="s">
        <v>246</v>
      </c>
      <c r="T137" s="10" t="s">
        <v>273</v>
      </c>
      <c r="U137" s="10">
        <v>9945247701</v>
      </c>
      <c r="V137" s="12" t="s">
        <v>248</v>
      </c>
      <c r="W137" t="str">
        <f t="shared" si="16"/>
        <v/>
      </c>
      <c r="X137" t="str">
        <f t="shared" si="17"/>
        <v>Mohit Verma</v>
      </c>
      <c r="Y137" t="str">
        <f t="shared" si="15"/>
        <v>Moh009Hy</v>
      </c>
      <c r="Z137" t="str">
        <f t="shared" si="18"/>
        <v>mohit.verma@company.com</v>
      </c>
      <c r="AA137">
        <f t="shared" ca="1" si="21"/>
        <v>23</v>
      </c>
      <c r="AB137" t="str">
        <f t="shared" si="19"/>
        <v/>
      </c>
      <c r="AC137" t="str">
        <f t="shared" si="20"/>
        <v>Delayed</v>
      </c>
    </row>
    <row r="138" spans="1:29">
      <c r="A138" s="33" t="s">
        <v>573</v>
      </c>
      <c r="B138" s="5" t="s">
        <v>249</v>
      </c>
      <c r="C138" s="5" t="s">
        <v>280</v>
      </c>
      <c r="D138" s="5" t="s">
        <v>145</v>
      </c>
      <c r="E138" s="6">
        <v>45665</v>
      </c>
      <c r="F138" s="5" t="s">
        <v>251</v>
      </c>
      <c r="G138" s="5" t="s">
        <v>239</v>
      </c>
      <c r="H138" s="6">
        <v>29106</v>
      </c>
      <c r="I138" s="5" t="s">
        <v>241</v>
      </c>
      <c r="J138" s="5" t="s">
        <v>242</v>
      </c>
      <c r="K138" s="5" t="s">
        <v>15</v>
      </c>
      <c r="L138" s="5" t="s">
        <v>282</v>
      </c>
      <c r="M138" s="5">
        <v>14</v>
      </c>
      <c r="N138" s="5">
        <v>3500</v>
      </c>
      <c r="O138" s="5">
        <v>10</v>
      </c>
      <c r="P138" s="5">
        <v>44100</v>
      </c>
      <c r="Q138" s="5">
        <v>4</v>
      </c>
      <c r="R138" s="5" t="s">
        <v>277</v>
      </c>
      <c r="S138" s="5" t="s">
        <v>255</v>
      </c>
      <c r="T138" s="5" t="s">
        <v>264</v>
      </c>
      <c r="U138" s="5">
        <v>9597378398</v>
      </c>
      <c r="V138" s="8" t="s">
        <v>265</v>
      </c>
      <c r="W138" t="str">
        <f t="shared" si="16"/>
        <v>Blacklisted</v>
      </c>
      <c r="X138" t="str">
        <f t="shared" si="17"/>
        <v>Kavya Nair</v>
      </c>
      <c r="Y138" t="str">
        <f t="shared" si="15"/>
        <v>Kav008Be</v>
      </c>
      <c r="Z138" t="str">
        <f t="shared" si="18"/>
        <v>kavya.nair@company.com</v>
      </c>
      <c r="AA138" t="str">
        <f t="shared" ca="1" si="21"/>
        <v/>
      </c>
      <c r="AB138" t="str">
        <f t="shared" si="19"/>
        <v/>
      </c>
      <c r="AC138" t="str">
        <f t="shared" si="20"/>
        <v>Delayed</v>
      </c>
    </row>
    <row r="139" spans="1:29">
      <c r="A139" s="34" t="s">
        <v>574</v>
      </c>
      <c r="B139" s="10" t="s">
        <v>392</v>
      </c>
      <c r="C139" s="10" t="s">
        <v>362</v>
      </c>
      <c r="D139" s="10" t="s">
        <v>40</v>
      </c>
      <c r="E139" s="10" t="s">
        <v>96</v>
      </c>
      <c r="F139" s="10" t="s">
        <v>323</v>
      </c>
      <c r="G139" s="10" t="s">
        <v>269</v>
      </c>
      <c r="H139" s="10" t="s">
        <v>575</v>
      </c>
      <c r="I139" s="10" t="s">
        <v>306</v>
      </c>
      <c r="J139" s="10" t="s">
        <v>287</v>
      </c>
      <c r="K139" s="10" t="s">
        <v>295</v>
      </c>
      <c r="L139" s="10" t="s">
        <v>363</v>
      </c>
      <c r="M139" s="10">
        <v>8</v>
      </c>
      <c r="N139" s="10">
        <v>45</v>
      </c>
      <c r="O139" s="10">
        <v>0</v>
      </c>
      <c r="P139" s="10">
        <v>360</v>
      </c>
      <c r="Q139" s="10">
        <v>1</v>
      </c>
      <c r="R139" s="10" t="s">
        <v>272</v>
      </c>
      <c r="S139" s="10" t="s">
        <v>312</v>
      </c>
      <c r="T139" s="10" t="s">
        <v>395</v>
      </c>
      <c r="U139" s="10">
        <v>9343963736</v>
      </c>
      <c r="V139" s="12" t="s">
        <v>265</v>
      </c>
      <c r="W139" t="str">
        <f t="shared" si="16"/>
        <v>Blacklisted</v>
      </c>
      <c r="X139" t="str">
        <f t="shared" si="17"/>
        <v>Amit Sharma</v>
      </c>
      <c r="Y139" t="str">
        <f t="shared" si="15"/>
        <v>Ami001Ah</v>
      </c>
      <c r="Z139" t="str">
        <f t="shared" si="18"/>
        <v>amit.sharma@company.com</v>
      </c>
      <c r="AA139">
        <f t="shared" ca="1" si="21"/>
        <v>47</v>
      </c>
      <c r="AB139">
        <f t="shared" si="19"/>
        <v>5</v>
      </c>
      <c r="AC139" t="str">
        <f t="shared" si="20"/>
        <v>On time</v>
      </c>
    </row>
    <row r="140" spans="1:29">
      <c r="A140" s="33" t="s">
        <v>576</v>
      </c>
      <c r="B140" s="5" t="s">
        <v>346</v>
      </c>
      <c r="C140" s="5" t="s">
        <v>362</v>
      </c>
      <c r="D140" s="6">
        <v>45749</v>
      </c>
      <c r="E140" s="6">
        <v>45779</v>
      </c>
      <c r="F140" s="5" t="s">
        <v>348</v>
      </c>
      <c r="G140" s="5" t="s">
        <v>269</v>
      </c>
      <c r="H140" s="5" t="s">
        <v>577</v>
      </c>
      <c r="I140" s="5" t="s">
        <v>260</v>
      </c>
      <c r="J140" s="5" t="s">
        <v>261</v>
      </c>
      <c r="K140" s="5" t="s">
        <v>295</v>
      </c>
      <c r="L140" s="5" t="s">
        <v>363</v>
      </c>
      <c r="M140" s="5">
        <v>11</v>
      </c>
      <c r="N140" s="5">
        <v>45</v>
      </c>
      <c r="O140" s="5">
        <v>5</v>
      </c>
      <c r="P140" s="5">
        <v>470.25</v>
      </c>
      <c r="Q140" s="5">
        <v>3</v>
      </c>
      <c r="R140" s="5" t="s">
        <v>272</v>
      </c>
      <c r="S140" s="5" t="s">
        <v>263</v>
      </c>
      <c r="T140" s="5" t="s">
        <v>350</v>
      </c>
      <c r="U140" s="5">
        <v>9548742147</v>
      </c>
      <c r="V140" s="8" t="s">
        <v>257</v>
      </c>
      <c r="W140" t="str">
        <f t="shared" si="16"/>
        <v>Silver</v>
      </c>
      <c r="X140" t="str">
        <f t="shared" si="17"/>
        <v>Vikas Mehta</v>
      </c>
      <c r="Y140" t="str">
        <f t="shared" si="15"/>
        <v>Vik005De</v>
      </c>
      <c r="Z140" t="str">
        <f t="shared" si="18"/>
        <v>vikas.mehta@company.com</v>
      </c>
      <c r="AA140" t="str">
        <f t="shared" ca="1" si="21"/>
        <v/>
      </c>
      <c r="AB140" t="str">
        <f t="shared" si="19"/>
        <v/>
      </c>
      <c r="AC140" t="str">
        <f t="shared" si="20"/>
        <v>Delayed</v>
      </c>
    </row>
    <row r="141" spans="1:29">
      <c r="A141" s="34" t="s">
        <v>578</v>
      </c>
      <c r="B141" s="10" t="s">
        <v>275</v>
      </c>
      <c r="C141" s="10" t="s">
        <v>236</v>
      </c>
      <c r="D141" s="10" t="s">
        <v>106</v>
      </c>
      <c r="E141" s="10" t="s">
        <v>579</v>
      </c>
      <c r="F141" s="10" t="s">
        <v>328</v>
      </c>
      <c r="G141" s="10" t="s">
        <v>269</v>
      </c>
      <c r="H141" s="10" t="s">
        <v>580</v>
      </c>
      <c r="I141" s="10" t="s">
        <v>306</v>
      </c>
      <c r="J141" s="10" t="s">
        <v>287</v>
      </c>
      <c r="K141" s="10" t="s">
        <v>243</v>
      </c>
      <c r="L141" s="10" t="s">
        <v>244</v>
      </c>
      <c r="M141" s="10">
        <v>19</v>
      </c>
      <c r="N141" s="10">
        <v>55000</v>
      </c>
      <c r="O141" s="10">
        <v>0</v>
      </c>
      <c r="P141" s="10">
        <v>1045000</v>
      </c>
      <c r="Q141" s="10">
        <v>2</v>
      </c>
      <c r="R141" s="10" t="s">
        <v>272</v>
      </c>
      <c r="S141" s="10" t="s">
        <v>255</v>
      </c>
      <c r="T141" s="10" t="s">
        <v>278</v>
      </c>
      <c r="U141" s="10">
        <v>9912945471</v>
      </c>
      <c r="V141" s="12" t="s">
        <v>265</v>
      </c>
      <c r="W141" t="str">
        <f t="shared" si="16"/>
        <v>Blacklisted</v>
      </c>
      <c r="X141" t="str">
        <f t="shared" si="17"/>
        <v>Arjun Rao</v>
      </c>
      <c r="Y141" t="str">
        <f t="shared" si="15"/>
        <v>Arj007Ah</v>
      </c>
      <c r="Z141" t="str">
        <f t="shared" si="18"/>
        <v>arjun.rao@company.com</v>
      </c>
      <c r="AA141" t="str">
        <f t="shared" ca="1" si="21"/>
        <v/>
      </c>
      <c r="AB141">
        <f t="shared" si="19"/>
        <v>8</v>
      </c>
      <c r="AC141" t="str">
        <f t="shared" si="20"/>
        <v>Delayed</v>
      </c>
    </row>
    <row r="142" spans="1:29">
      <c r="A142" s="33" t="s">
        <v>581</v>
      </c>
      <c r="B142" s="5" t="s">
        <v>235</v>
      </c>
      <c r="C142" s="5" t="s">
        <v>280</v>
      </c>
      <c r="D142" s="6">
        <v>45965</v>
      </c>
      <c r="E142" s="5" t="s">
        <v>67</v>
      </c>
      <c r="F142" s="5" t="s">
        <v>318</v>
      </c>
      <c r="G142" s="5" t="s">
        <v>239</v>
      </c>
      <c r="H142" s="6">
        <v>29099</v>
      </c>
      <c r="I142" s="5" t="s">
        <v>291</v>
      </c>
      <c r="J142" s="5" t="s">
        <v>287</v>
      </c>
      <c r="K142" s="5" t="s">
        <v>15</v>
      </c>
      <c r="L142" s="5" t="s">
        <v>282</v>
      </c>
      <c r="M142" s="5">
        <v>20</v>
      </c>
      <c r="N142" s="5">
        <v>3500</v>
      </c>
      <c r="O142" s="5">
        <v>20</v>
      </c>
      <c r="P142" s="5">
        <v>56000</v>
      </c>
      <c r="Q142" s="5">
        <v>4</v>
      </c>
      <c r="R142" s="5" t="s">
        <v>245</v>
      </c>
      <c r="S142" s="5" t="s">
        <v>263</v>
      </c>
      <c r="T142" s="5" t="s">
        <v>247</v>
      </c>
      <c r="U142" s="5">
        <v>9912630684</v>
      </c>
      <c r="V142" s="8" t="s">
        <v>257</v>
      </c>
      <c r="W142" t="str">
        <f t="shared" si="16"/>
        <v>Gold</v>
      </c>
      <c r="X142" t="str">
        <f t="shared" si="17"/>
        <v>Pooja Shah</v>
      </c>
      <c r="Y142" t="str">
        <f t="shared" si="15"/>
        <v>Poo010Pu</v>
      </c>
      <c r="Z142" t="str">
        <f t="shared" si="18"/>
        <v>pooja.shah@company.com</v>
      </c>
      <c r="AA142" t="str">
        <f t="shared" ca="1" si="21"/>
        <v/>
      </c>
      <c r="AB142" t="str">
        <f t="shared" si="19"/>
        <v/>
      </c>
      <c r="AC142" t="str">
        <f t="shared" si="20"/>
        <v>Delayed</v>
      </c>
    </row>
    <row r="143" spans="1:29">
      <c r="A143" s="34" t="s">
        <v>582</v>
      </c>
      <c r="B143" s="10" t="s">
        <v>275</v>
      </c>
      <c r="C143" s="10" t="s">
        <v>250</v>
      </c>
      <c r="D143" s="11">
        <v>45754</v>
      </c>
      <c r="E143" s="10" t="s">
        <v>29</v>
      </c>
      <c r="F143" s="10" t="s">
        <v>328</v>
      </c>
      <c r="G143" s="10" t="s">
        <v>269</v>
      </c>
      <c r="H143" s="10" t="s">
        <v>583</v>
      </c>
      <c r="I143" s="10" t="s">
        <v>291</v>
      </c>
      <c r="J143" s="10" t="s">
        <v>287</v>
      </c>
      <c r="K143" s="10" t="s">
        <v>15</v>
      </c>
      <c r="L143" s="10" t="s">
        <v>253</v>
      </c>
      <c r="M143" s="10">
        <v>17</v>
      </c>
      <c r="N143" s="10">
        <v>2200</v>
      </c>
      <c r="O143" s="10">
        <v>0</v>
      </c>
      <c r="P143" s="10">
        <v>37400</v>
      </c>
      <c r="Q143" s="10">
        <v>5</v>
      </c>
      <c r="R143" s="10" t="s">
        <v>245</v>
      </c>
      <c r="S143" s="10" t="s">
        <v>255</v>
      </c>
      <c r="T143" s="10" t="s">
        <v>278</v>
      </c>
      <c r="U143" s="10">
        <v>9114017237</v>
      </c>
      <c r="V143" s="12" t="s">
        <v>248</v>
      </c>
      <c r="W143" t="str">
        <f t="shared" si="16"/>
        <v/>
      </c>
      <c r="X143" t="str">
        <f t="shared" si="17"/>
        <v>Arjun Rao</v>
      </c>
      <c r="Y143" t="str">
        <f t="shared" si="15"/>
        <v>Arj007Pu</v>
      </c>
      <c r="Z143" t="str">
        <f t="shared" si="18"/>
        <v>arjun.rao@company.com</v>
      </c>
      <c r="AA143">
        <f t="shared" ca="1" si="21"/>
        <v>47</v>
      </c>
      <c r="AB143" t="str">
        <f t="shared" si="19"/>
        <v/>
      </c>
      <c r="AC143" t="str">
        <f t="shared" si="20"/>
        <v>Delayed</v>
      </c>
    </row>
    <row r="144" spans="1:29">
      <c r="A144" s="33" t="s">
        <v>584</v>
      </c>
      <c r="B144" s="5" t="s">
        <v>275</v>
      </c>
      <c r="C144" s="5" t="s">
        <v>267</v>
      </c>
      <c r="D144" s="5" t="s">
        <v>106</v>
      </c>
      <c r="E144" s="5" t="s">
        <v>585</v>
      </c>
      <c r="F144" s="5" t="s">
        <v>328</v>
      </c>
      <c r="G144" s="5" t="s">
        <v>269</v>
      </c>
      <c r="H144" s="6">
        <v>28129</v>
      </c>
      <c r="I144" s="5" t="s">
        <v>291</v>
      </c>
      <c r="J144" s="5" t="s">
        <v>287</v>
      </c>
      <c r="K144" s="5" t="s">
        <v>243</v>
      </c>
      <c r="L144" s="5" t="s">
        <v>271</v>
      </c>
      <c r="M144" s="5">
        <v>10</v>
      </c>
      <c r="N144" s="5">
        <v>1200</v>
      </c>
      <c r="O144" s="5">
        <v>5</v>
      </c>
      <c r="P144" s="5">
        <v>11400</v>
      </c>
      <c r="Q144" s="5">
        <v>2</v>
      </c>
      <c r="R144" s="5" t="s">
        <v>254</v>
      </c>
      <c r="S144" s="5" t="s">
        <v>263</v>
      </c>
      <c r="T144" s="5" t="s">
        <v>278</v>
      </c>
      <c r="U144" s="5">
        <v>9872471236</v>
      </c>
      <c r="V144" s="8" t="s">
        <v>265</v>
      </c>
      <c r="W144" t="str">
        <f t="shared" si="16"/>
        <v>Blacklisted</v>
      </c>
      <c r="X144" t="str">
        <f t="shared" si="17"/>
        <v>Arjun Rao</v>
      </c>
      <c r="Y144" t="str">
        <f t="shared" si="15"/>
        <v>Arj007Pu</v>
      </c>
      <c r="Z144" t="str">
        <f t="shared" si="18"/>
        <v>arjun.rao@company.com</v>
      </c>
      <c r="AA144" t="str">
        <f t="shared" ca="1" si="21"/>
        <v/>
      </c>
      <c r="AB144">
        <f t="shared" si="19"/>
        <v>7</v>
      </c>
      <c r="AC144" t="str">
        <f t="shared" si="20"/>
        <v>Delayed</v>
      </c>
    </row>
    <row r="145" spans="1:29">
      <c r="A145" s="34" t="s">
        <v>586</v>
      </c>
      <c r="B145" s="10" t="s">
        <v>346</v>
      </c>
      <c r="C145" s="10" t="s">
        <v>294</v>
      </c>
      <c r="D145" s="10" t="s">
        <v>62</v>
      </c>
      <c r="E145" s="10" t="s">
        <v>73</v>
      </c>
      <c r="F145" s="10" t="s">
        <v>348</v>
      </c>
      <c r="G145" s="10" t="s">
        <v>269</v>
      </c>
      <c r="H145" s="11">
        <v>30414</v>
      </c>
      <c r="I145" s="10" t="s">
        <v>252</v>
      </c>
      <c r="J145" s="10" t="s">
        <v>242</v>
      </c>
      <c r="K145" s="10" t="s">
        <v>295</v>
      </c>
      <c r="L145" s="10" t="s">
        <v>296</v>
      </c>
      <c r="M145" s="10">
        <v>3</v>
      </c>
      <c r="N145" s="10">
        <v>60</v>
      </c>
      <c r="O145" s="10">
        <v>0</v>
      </c>
      <c r="P145" s="10">
        <v>180</v>
      </c>
      <c r="Q145" s="10">
        <v>4</v>
      </c>
      <c r="R145" s="10" t="s">
        <v>245</v>
      </c>
      <c r="S145" s="10" t="s">
        <v>312</v>
      </c>
      <c r="T145" s="10" t="s">
        <v>350</v>
      </c>
      <c r="U145" s="10">
        <v>9461383824</v>
      </c>
      <c r="V145" s="12" t="s">
        <v>257</v>
      </c>
      <c r="W145" t="str">
        <f t="shared" si="16"/>
        <v>Silver</v>
      </c>
      <c r="X145" t="str">
        <f t="shared" si="17"/>
        <v>Vikas Mehta</v>
      </c>
      <c r="Y145" t="str">
        <f t="shared" si="15"/>
        <v>Vik005Hy</v>
      </c>
      <c r="Z145" t="str">
        <f t="shared" si="18"/>
        <v>vikas.mehta@company.com</v>
      </c>
      <c r="AA145">
        <f t="shared" ca="1" si="21"/>
        <v>49</v>
      </c>
      <c r="AB145">
        <f t="shared" si="19"/>
        <v>1</v>
      </c>
      <c r="AC145" t="str">
        <f t="shared" si="20"/>
        <v>On time</v>
      </c>
    </row>
    <row r="146" spans="1:29">
      <c r="A146" s="33" t="s">
        <v>587</v>
      </c>
      <c r="B146" s="5" t="s">
        <v>235</v>
      </c>
      <c r="C146" s="5" t="s">
        <v>250</v>
      </c>
      <c r="D146" s="6">
        <v>45940</v>
      </c>
      <c r="E146" s="5" t="s">
        <v>105</v>
      </c>
      <c r="F146" s="5" t="s">
        <v>318</v>
      </c>
      <c r="G146" s="5" t="s">
        <v>239</v>
      </c>
      <c r="H146" s="6">
        <v>28675</v>
      </c>
      <c r="I146" s="5" t="s">
        <v>286</v>
      </c>
      <c r="J146" s="5" t="s">
        <v>287</v>
      </c>
      <c r="K146" s="5" t="s">
        <v>15</v>
      </c>
      <c r="L146" s="5" t="s">
        <v>253</v>
      </c>
      <c r="M146" s="5">
        <v>18</v>
      </c>
      <c r="N146" s="5">
        <v>2200</v>
      </c>
      <c r="O146" s="5">
        <v>10</v>
      </c>
      <c r="P146" s="5">
        <v>35640</v>
      </c>
      <c r="Q146" s="5">
        <v>1</v>
      </c>
      <c r="R146" s="5" t="s">
        <v>272</v>
      </c>
      <c r="S146" s="5" t="s">
        <v>312</v>
      </c>
      <c r="T146" s="5" t="s">
        <v>247</v>
      </c>
      <c r="U146" s="5">
        <v>9243407457</v>
      </c>
      <c r="V146" s="8" t="s">
        <v>265</v>
      </c>
      <c r="W146" t="str">
        <f t="shared" si="16"/>
        <v>Blacklisted</v>
      </c>
      <c r="X146" t="str">
        <f t="shared" si="17"/>
        <v>Pooja Shah</v>
      </c>
      <c r="Y146" t="str">
        <f t="shared" si="15"/>
        <v>Poo010Mu</v>
      </c>
      <c r="Z146" t="str">
        <f t="shared" si="18"/>
        <v>pooja.shah@company.com</v>
      </c>
      <c r="AA146">
        <f t="shared" ca="1" si="21"/>
        <v>43</v>
      </c>
      <c r="AB146" t="str">
        <f t="shared" si="19"/>
        <v/>
      </c>
      <c r="AC146" t="str">
        <f t="shared" si="20"/>
        <v>Delayed</v>
      </c>
    </row>
    <row r="147" spans="1:29">
      <c r="A147" s="34" t="s">
        <v>588</v>
      </c>
      <c r="B147" s="10" t="s">
        <v>266</v>
      </c>
      <c r="C147" s="10" t="s">
        <v>294</v>
      </c>
      <c r="D147" s="11">
        <v>46206</v>
      </c>
      <c r="E147" s="11">
        <v>46298</v>
      </c>
      <c r="F147" s="10" t="s">
        <v>268</v>
      </c>
      <c r="G147" s="10" t="s">
        <v>269</v>
      </c>
      <c r="H147" s="11">
        <v>30409</v>
      </c>
      <c r="I147" s="10" t="s">
        <v>260</v>
      </c>
      <c r="J147" s="10" t="s">
        <v>261</v>
      </c>
      <c r="K147" s="10" t="s">
        <v>295</v>
      </c>
      <c r="L147" s="10" t="s">
        <v>296</v>
      </c>
      <c r="M147" s="10">
        <v>18</v>
      </c>
      <c r="N147" s="10">
        <v>60</v>
      </c>
      <c r="O147" s="10">
        <v>5</v>
      </c>
      <c r="P147" s="10">
        <v>1026</v>
      </c>
      <c r="Q147" s="10">
        <v>3</v>
      </c>
      <c r="R147" s="10" t="s">
        <v>272</v>
      </c>
      <c r="S147" s="10" t="s">
        <v>263</v>
      </c>
      <c r="T147" s="10" t="s">
        <v>273</v>
      </c>
      <c r="U147" s="10">
        <v>9418672379</v>
      </c>
      <c r="V147" s="12" t="s">
        <v>248</v>
      </c>
      <c r="W147" t="str">
        <f t="shared" si="16"/>
        <v/>
      </c>
      <c r="X147" t="str">
        <f t="shared" si="17"/>
        <v>Mohit Verma</v>
      </c>
      <c r="Y147" t="str">
        <f t="shared" si="15"/>
        <v>Moh009De</v>
      </c>
      <c r="Z147" t="str">
        <f t="shared" si="18"/>
        <v>mohit.verma@company.com</v>
      </c>
      <c r="AA147">
        <f t="shared" ca="1" si="21"/>
        <v>48</v>
      </c>
      <c r="AB147" t="str">
        <f t="shared" si="19"/>
        <v/>
      </c>
      <c r="AC147" t="str">
        <f t="shared" si="20"/>
        <v>Delayed</v>
      </c>
    </row>
    <row r="148" spans="1:29">
      <c r="A148" s="33" t="s">
        <v>589</v>
      </c>
      <c r="B148" s="5" t="s">
        <v>299</v>
      </c>
      <c r="C148" s="5" t="s">
        <v>236</v>
      </c>
      <c r="D148" s="5" t="s">
        <v>49</v>
      </c>
      <c r="E148" s="5" t="s">
        <v>125</v>
      </c>
      <c r="F148" s="5" t="s">
        <v>301</v>
      </c>
      <c r="G148" s="5" t="s">
        <v>269</v>
      </c>
      <c r="H148" s="5" t="s">
        <v>590</v>
      </c>
      <c r="I148" s="5" t="s">
        <v>291</v>
      </c>
      <c r="J148" s="5" t="s">
        <v>287</v>
      </c>
      <c r="K148" s="5" t="s">
        <v>243</v>
      </c>
      <c r="L148" s="5" t="s">
        <v>244</v>
      </c>
      <c r="M148" s="5">
        <v>11</v>
      </c>
      <c r="N148" s="5">
        <v>55000</v>
      </c>
      <c r="O148" s="5">
        <v>15</v>
      </c>
      <c r="P148" s="5">
        <v>514250</v>
      </c>
      <c r="Q148" s="5">
        <v>4</v>
      </c>
      <c r="R148" s="5" t="s">
        <v>277</v>
      </c>
      <c r="S148" s="5" t="s">
        <v>292</v>
      </c>
      <c r="T148" s="5" t="s">
        <v>302</v>
      </c>
      <c r="U148" s="5">
        <v>9222733065</v>
      </c>
      <c r="V148" s="8" t="s">
        <v>265</v>
      </c>
      <c r="W148" t="str">
        <f t="shared" si="16"/>
        <v>Blacklisted</v>
      </c>
      <c r="X148" t="str">
        <f t="shared" si="17"/>
        <v>Rohit Singh</v>
      </c>
      <c r="Y148" t="str">
        <f t="shared" si="15"/>
        <v>Roh003Pu</v>
      </c>
      <c r="Z148" t="str">
        <f t="shared" si="18"/>
        <v>rohit.singh@company.com</v>
      </c>
      <c r="AA148">
        <f t="shared" ca="1" si="21"/>
        <v>43</v>
      </c>
      <c r="AB148">
        <f t="shared" si="19"/>
        <v>7</v>
      </c>
      <c r="AC148" t="str">
        <f t="shared" si="20"/>
        <v>Delayed</v>
      </c>
    </row>
    <row r="149" spans="1:29">
      <c r="A149" s="34" t="s">
        <v>591</v>
      </c>
      <c r="B149" s="10" t="s">
        <v>358</v>
      </c>
      <c r="C149" s="10" t="s">
        <v>322</v>
      </c>
      <c r="D149" s="10" t="s">
        <v>127</v>
      </c>
      <c r="E149" s="11">
        <v>46082</v>
      </c>
      <c r="F149" s="10" t="s">
        <v>359</v>
      </c>
      <c r="G149" s="10" t="s">
        <v>239</v>
      </c>
      <c r="H149" s="10" t="s">
        <v>592</v>
      </c>
      <c r="I149" s="10" t="s">
        <v>379</v>
      </c>
      <c r="J149" s="10" t="s">
        <v>21</v>
      </c>
      <c r="K149" s="10" t="s">
        <v>15</v>
      </c>
      <c r="L149" s="10" t="s">
        <v>325</v>
      </c>
      <c r="M149" s="10">
        <v>5</v>
      </c>
      <c r="N149" s="10">
        <v>8500</v>
      </c>
      <c r="O149" s="10">
        <v>5</v>
      </c>
      <c r="P149" s="10">
        <v>40375</v>
      </c>
      <c r="Q149" s="10">
        <v>4</v>
      </c>
      <c r="R149" s="10" t="s">
        <v>254</v>
      </c>
      <c r="S149" s="10" t="s">
        <v>312</v>
      </c>
      <c r="T149" s="10" t="s">
        <v>360</v>
      </c>
      <c r="U149" s="10">
        <v>9684246902</v>
      </c>
      <c r="V149" s="12" t="s">
        <v>257</v>
      </c>
      <c r="W149" t="str">
        <f t="shared" si="16"/>
        <v>Silver</v>
      </c>
      <c r="X149" t="str">
        <f t="shared" si="17"/>
        <v>Sneha Joshi</v>
      </c>
      <c r="Y149" t="str">
        <f t="shared" si="15"/>
        <v>Sne006Ko</v>
      </c>
      <c r="Z149" t="str">
        <f t="shared" si="18"/>
        <v>sneha.joshi@company.com</v>
      </c>
      <c r="AA149" t="str">
        <f t="shared" ca="1" si="21"/>
        <v/>
      </c>
      <c r="AB149" t="str">
        <f t="shared" si="19"/>
        <v/>
      </c>
      <c r="AC149" t="str">
        <f t="shared" si="20"/>
        <v>Delayed</v>
      </c>
    </row>
    <row r="150" spans="1:29">
      <c r="A150" s="33" t="s">
        <v>335</v>
      </c>
      <c r="B150" s="5" t="s">
        <v>284</v>
      </c>
      <c r="C150" s="5" t="s">
        <v>330</v>
      </c>
      <c r="D150" s="6">
        <v>45878</v>
      </c>
      <c r="E150" s="5" t="s">
        <v>83</v>
      </c>
      <c r="F150" s="5" t="s">
        <v>285</v>
      </c>
      <c r="G150" s="5" t="s">
        <v>239</v>
      </c>
      <c r="H150" s="5" t="s">
        <v>593</v>
      </c>
      <c r="I150" s="5" t="s">
        <v>342</v>
      </c>
      <c r="J150" s="5" t="s">
        <v>261</v>
      </c>
      <c r="K150" s="5" t="s">
        <v>243</v>
      </c>
      <c r="L150" s="5" t="s">
        <v>333</v>
      </c>
      <c r="M150" s="5">
        <v>16</v>
      </c>
      <c r="N150" s="5">
        <v>700</v>
      </c>
      <c r="O150" s="5">
        <v>15</v>
      </c>
      <c r="P150" s="5">
        <v>9520</v>
      </c>
      <c r="Q150" s="5">
        <v>4</v>
      </c>
      <c r="R150" s="5" t="s">
        <v>272</v>
      </c>
      <c r="S150" s="5" t="s">
        <v>246</v>
      </c>
      <c r="T150" s="5" t="s">
        <v>308</v>
      </c>
      <c r="U150" s="5">
        <v>9989580228</v>
      </c>
      <c r="V150" s="8" t="s">
        <v>257</v>
      </c>
      <c r="W150" t="str">
        <f t="shared" si="16"/>
        <v>Silver</v>
      </c>
      <c r="X150" t="str">
        <f t="shared" si="17"/>
        <v>Priya Patel</v>
      </c>
      <c r="Y150" t="str">
        <f t="shared" si="15"/>
        <v>Pri002Ja</v>
      </c>
      <c r="Z150" t="str">
        <f t="shared" si="18"/>
        <v>priya.patel@company.com</v>
      </c>
      <c r="AA150" t="str">
        <f t="shared" ca="1" si="21"/>
        <v/>
      </c>
      <c r="AB150" t="str">
        <f t="shared" si="19"/>
        <v/>
      </c>
      <c r="AC150" t="str">
        <f t="shared" si="20"/>
        <v>Delayed</v>
      </c>
    </row>
    <row r="151" spans="1:29">
      <c r="A151" s="34" t="s">
        <v>594</v>
      </c>
      <c r="B151" s="10" t="s">
        <v>299</v>
      </c>
      <c r="C151" s="10" t="s">
        <v>330</v>
      </c>
      <c r="D151" s="11">
        <v>45845</v>
      </c>
      <c r="E151" s="10" t="s">
        <v>365</v>
      </c>
      <c r="F151" s="10" t="s">
        <v>301</v>
      </c>
      <c r="G151" s="10" t="s">
        <v>269</v>
      </c>
      <c r="H151" s="11">
        <v>27521</v>
      </c>
      <c r="I151" s="10" t="s">
        <v>291</v>
      </c>
      <c r="J151" s="10" t="s">
        <v>287</v>
      </c>
      <c r="K151" s="10" t="s">
        <v>243</v>
      </c>
      <c r="L151" s="10" t="s">
        <v>333</v>
      </c>
      <c r="M151" s="10">
        <v>6</v>
      </c>
      <c r="N151" s="10">
        <v>700</v>
      </c>
      <c r="O151" s="10">
        <v>10</v>
      </c>
      <c r="P151" s="10">
        <v>3780</v>
      </c>
      <c r="Q151" s="10">
        <v>4</v>
      </c>
      <c r="R151" s="10" t="s">
        <v>254</v>
      </c>
      <c r="S151" s="10" t="s">
        <v>263</v>
      </c>
      <c r="T151" s="10" t="s">
        <v>302</v>
      </c>
      <c r="U151" s="10">
        <v>9110269572</v>
      </c>
      <c r="V151" s="12" t="s">
        <v>265</v>
      </c>
      <c r="W151" t="str">
        <f t="shared" si="16"/>
        <v>Blacklisted</v>
      </c>
      <c r="X151" t="str">
        <f t="shared" si="17"/>
        <v>Rohit Singh</v>
      </c>
      <c r="Y151" t="str">
        <f t="shared" si="15"/>
        <v>Roh003Pu</v>
      </c>
      <c r="Z151" t="str">
        <f t="shared" si="18"/>
        <v>rohit.singh@company.com</v>
      </c>
      <c r="AA151" t="str">
        <f t="shared" ca="1" si="21"/>
        <v/>
      </c>
      <c r="AB151" t="str">
        <f t="shared" si="19"/>
        <v/>
      </c>
      <c r="AC151" t="str">
        <f t="shared" si="20"/>
        <v>Delayed</v>
      </c>
    </row>
    <row r="152" spans="1:29">
      <c r="A152" s="33" t="s">
        <v>595</v>
      </c>
      <c r="B152" s="5" t="s">
        <v>235</v>
      </c>
      <c r="C152" s="5" t="s">
        <v>280</v>
      </c>
      <c r="D152" s="6">
        <v>46086</v>
      </c>
      <c r="E152" s="5" t="s">
        <v>516</v>
      </c>
      <c r="F152" s="5" t="s">
        <v>318</v>
      </c>
      <c r="G152" s="5" t="s">
        <v>239</v>
      </c>
      <c r="H152" s="6">
        <v>33727</v>
      </c>
      <c r="I152" s="5" t="s">
        <v>260</v>
      </c>
      <c r="J152" s="5" t="s">
        <v>261</v>
      </c>
      <c r="K152" s="5" t="s">
        <v>15</v>
      </c>
      <c r="L152" s="5" t="s">
        <v>282</v>
      </c>
      <c r="M152" s="5">
        <v>20</v>
      </c>
      <c r="N152" s="5">
        <v>3500</v>
      </c>
      <c r="O152" s="5">
        <v>10</v>
      </c>
      <c r="P152" s="5">
        <v>63000</v>
      </c>
      <c r="Q152" s="5">
        <v>4</v>
      </c>
      <c r="R152" s="5" t="s">
        <v>277</v>
      </c>
      <c r="S152" s="5" t="s">
        <v>263</v>
      </c>
      <c r="T152" s="5" t="s">
        <v>247</v>
      </c>
      <c r="U152" s="5">
        <v>9745972422</v>
      </c>
      <c r="V152" s="8" t="s">
        <v>248</v>
      </c>
      <c r="W152" t="str">
        <f t="shared" si="16"/>
        <v/>
      </c>
      <c r="X152" t="str">
        <f t="shared" si="17"/>
        <v>Pooja Shah</v>
      </c>
      <c r="Y152" t="str">
        <f t="shared" si="15"/>
        <v>Poo010De</v>
      </c>
      <c r="Z152" t="str">
        <f t="shared" si="18"/>
        <v>pooja.shah@company.com</v>
      </c>
      <c r="AA152">
        <f t="shared" ca="1" si="21"/>
        <v>51</v>
      </c>
      <c r="AB152" t="str">
        <f t="shared" si="19"/>
        <v/>
      </c>
      <c r="AC152" t="str">
        <f t="shared" si="20"/>
        <v>Delayed</v>
      </c>
    </row>
    <row r="153" spans="1:29">
      <c r="A153" s="34" t="s">
        <v>596</v>
      </c>
      <c r="B153" s="10" t="s">
        <v>249</v>
      </c>
      <c r="C153" s="10" t="s">
        <v>347</v>
      </c>
      <c r="D153" s="10" t="s">
        <v>192</v>
      </c>
      <c r="E153" s="11">
        <v>45850</v>
      </c>
      <c r="F153" s="10" t="s">
        <v>251</v>
      </c>
      <c r="G153" s="10" t="s">
        <v>239</v>
      </c>
      <c r="H153" s="11">
        <v>35860</v>
      </c>
      <c r="I153" s="10" t="s">
        <v>241</v>
      </c>
      <c r="J153" s="10" t="s">
        <v>242</v>
      </c>
      <c r="K153" s="10" t="s">
        <v>295</v>
      </c>
      <c r="L153" s="10" t="s">
        <v>349</v>
      </c>
      <c r="M153" s="10">
        <v>2</v>
      </c>
      <c r="N153" s="10">
        <v>20</v>
      </c>
      <c r="O153" s="10">
        <v>10</v>
      </c>
      <c r="P153" s="10">
        <v>36</v>
      </c>
      <c r="Q153" s="10">
        <v>1</v>
      </c>
      <c r="R153" s="10" t="s">
        <v>245</v>
      </c>
      <c r="S153" s="10" t="s">
        <v>292</v>
      </c>
      <c r="T153" s="10" t="s">
        <v>264</v>
      </c>
      <c r="U153" s="10">
        <v>9123712257</v>
      </c>
      <c r="V153" s="12" t="s">
        <v>248</v>
      </c>
      <c r="W153" t="str">
        <f t="shared" si="16"/>
        <v>Blacklisted</v>
      </c>
      <c r="X153" t="str">
        <f t="shared" si="17"/>
        <v>Kavya Nair</v>
      </c>
      <c r="Y153" t="str">
        <f t="shared" si="15"/>
        <v>Kav008Be</v>
      </c>
      <c r="Z153" t="str">
        <f t="shared" si="18"/>
        <v>kavya.nair@company.com</v>
      </c>
      <c r="AA153">
        <f t="shared" ca="1" si="21"/>
        <v>34</v>
      </c>
      <c r="AB153" t="str">
        <f t="shared" si="19"/>
        <v/>
      </c>
      <c r="AC153" t="str">
        <f t="shared" si="20"/>
        <v>Delayed</v>
      </c>
    </row>
    <row r="154" spans="1:29">
      <c r="A154" s="33" t="s">
        <v>597</v>
      </c>
      <c r="B154" s="5" t="s">
        <v>284</v>
      </c>
      <c r="C154" s="5" t="s">
        <v>250</v>
      </c>
      <c r="D154" s="5" t="s">
        <v>29</v>
      </c>
      <c r="E154" s="5" t="s">
        <v>81</v>
      </c>
      <c r="F154" s="5" t="s">
        <v>285</v>
      </c>
      <c r="G154" s="5" t="s">
        <v>239</v>
      </c>
      <c r="H154" s="5" t="s">
        <v>598</v>
      </c>
      <c r="I154" s="5" t="s">
        <v>291</v>
      </c>
      <c r="J154" s="5" t="s">
        <v>287</v>
      </c>
      <c r="K154" s="5" t="s">
        <v>15</v>
      </c>
      <c r="L154" s="5" t="s">
        <v>253</v>
      </c>
      <c r="M154" s="5">
        <v>16</v>
      </c>
      <c r="N154" s="5">
        <v>2200</v>
      </c>
      <c r="O154" s="5">
        <v>20</v>
      </c>
      <c r="P154" s="5">
        <v>28160</v>
      </c>
      <c r="Q154" s="5">
        <v>2</v>
      </c>
      <c r="R154" s="5" t="s">
        <v>277</v>
      </c>
      <c r="S154" s="5" t="s">
        <v>312</v>
      </c>
      <c r="T154" s="5" t="s">
        <v>308</v>
      </c>
      <c r="U154" s="5">
        <v>9665525431</v>
      </c>
      <c r="V154" s="8" t="s">
        <v>248</v>
      </c>
      <c r="W154" t="str">
        <f t="shared" si="16"/>
        <v>Blacklisted</v>
      </c>
      <c r="X154" t="str">
        <f t="shared" si="17"/>
        <v>Priya Patel</v>
      </c>
      <c r="Y154" t="str">
        <f t="shared" si="15"/>
        <v>Pri002Pu</v>
      </c>
      <c r="Z154" t="str">
        <f t="shared" si="18"/>
        <v>priya.patel@company.com</v>
      </c>
      <c r="AA154">
        <f t="shared" ca="1" si="21"/>
        <v>28</v>
      </c>
      <c r="AB154">
        <f t="shared" si="19"/>
        <v>5</v>
      </c>
      <c r="AC154" t="str">
        <f t="shared" si="20"/>
        <v>On time</v>
      </c>
    </row>
    <row r="155" spans="1:29">
      <c r="A155" s="34" t="s">
        <v>599</v>
      </c>
      <c r="B155" s="10" t="s">
        <v>346</v>
      </c>
      <c r="C155" s="10" t="s">
        <v>258</v>
      </c>
      <c r="D155" s="10" t="s">
        <v>10</v>
      </c>
      <c r="E155" s="10" t="s">
        <v>120</v>
      </c>
      <c r="F155" s="10" t="s">
        <v>348</v>
      </c>
      <c r="G155" s="10" t="s">
        <v>269</v>
      </c>
      <c r="H155" s="10" t="s">
        <v>600</v>
      </c>
      <c r="I155" s="10" t="s">
        <v>291</v>
      </c>
      <c r="J155" s="10" t="s">
        <v>287</v>
      </c>
      <c r="K155" s="10" t="s">
        <v>243</v>
      </c>
      <c r="L155" s="10" t="s">
        <v>262</v>
      </c>
      <c r="M155" s="10">
        <v>15</v>
      </c>
      <c r="N155" s="10">
        <v>12000</v>
      </c>
      <c r="O155" s="10">
        <v>0</v>
      </c>
      <c r="P155" s="10">
        <v>180000</v>
      </c>
      <c r="Q155" s="10">
        <v>1</v>
      </c>
      <c r="R155" s="10" t="s">
        <v>272</v>
      </c>
      <c r="S155" s="10" t="s">
        <v>246</v>
      </c>
      <c r="T155" s="10" t="s">
        <v>350</v>
      </c>
      <c r="U155" s="10">
        <v>9682415134</v>
      </c>
      <c r="V155" s="12" t="s">
        <v>248</v>
      </c>
      <c r="W155" t="str">
        <f t="shared" si="16"/>
        <v>Blacklisted</v>
      </c>
      <c r="X155" t="str">
        <f t="shared" si="17"/>
        <v>Vikas Mehta</v>
      </c>
      <c r="Y155" t="str">
        <f t="shared" si="15"/>
        <v>Vik005Pu</v>
      </c>
      <c r="Z155" t="str">
        <f t="shared" si="18"/>
        <v>vikas.mehta@company.com</v>
      </c>
      <c r="AA155" t="str">
        <f t="shared" ca="1" si="21"/>
        <v/>
      </c>
      <c r="AB155">
        <f t="shared" si="19"/>
        <v>10</v>
      </c>
      <c r="AC155" t="str">
        <f t="shared" si="20"/>
        <v>Delayed</v>
      </c>
    </row>
    <row r="156" spans="1:29">
      <c r="A156" s="33" t="s">
        <v>601</v>
      </c>
      <c r="B156" s="5" t="s">
        <v>249</v>
      </c>
      <c r="C156" s="5" t="s">
        <v>294</v>
      </c>
      <c r="D156" s="5" t="s">
        <v>114</v>
      </c>
      <c r="E156" s="5" t="s">
        <v>124</v>
      </c>
      <c r="F156" s="5" t="s">
        <v>251</v>
      </c>
      <c r="G156" s="5" t="s">
        <v>239</v>
      </c>
      <c r="H156" s="5" t="s">
        <v>602</v>
      </c>
      <c r="I156" s="5" t="s">
        <v>260</v>
      </c>
      <c r="J156" s="5" t="s">
        <v>261</v>
      </c>
      <c r="K156" s="5" t="s">
        <v>295</v>
      </c>
      <c r="L156" s="5" t="s">
        <v>296</v>
      </c>
      <c r="M156" s="5">
        <v>14</v>
      </c>
      <c r="N156" s="5">
        <v>60</v>
      </c>
      <c r="O156" s="5">
        <v>15</v>
      </c>
      <c r="P156" s="5">
        <v>714</v>
      </c>
      <c r="Q156" s="5">
        <v>4</v>
      </c>
      <c r="R156" s="5" t="s">
        <v>277</v>
      </c>
      <c r="S156" s="5" t="s">
        <v>263</v>
      </c>
      <c r="T156" s="5" t="s">
        <v>264</v>
      </c>
      <c r="U156" s="5">
        <v>9808223872</v>
      </c>
      <c r="V156" s="8" t="s">
        <v>257</v>
      </c>
      <c r="W156" t="str">
        <f t="shared" si="16"/>
        <v>Silver</v>
      </c>
      <c r="X156" t="str">
        <f t="shared" si="17"/>
        <v>Kavya Nair</v>
      </c>
      <c r="Y156" t="str">
        <f t="shared" si="15"/>
        <v>Kav008De</v>
      </c>
      <c r="Z156" t="str">
        <f t="shared" si="18"/>
        <v>kavya.nair@company.com</v>
      </c>
      <c r="AA156" t="str">
        <f t="shared" ca="1" si="21"/>
        <v/>
      </c>
      <c r="AB156">
        <f t="shared" si="19"/>
        <v>1</v>
      </c>
      <c r="AC156" t="str">
        <f t="shared" si="20"/>
        <v>On time</v>
      </c>
    </row>
    <row r="157" spans="1:29">
      <c r="A157" s="34" t="s">
        <v>603</v>
      </c>
      <c r="B157" s="10" t="s">
        <v>235</v>
      </c>
      <c r="C157" s="10" t="s">
        <v>267</v>
      </c>
      <c r="D157" s="10" t="s">
        <v>103</v>
      </c>
      <c r="E157" s="10" t="s">
        <v>604</v>
      </c>
      <c r="F157" s="10" t="s">
        <v>318</v>
      </c>
      <c r="G157" s="10" t="s">
        <v>239</v>
      </c>
      <c r="H157" s="10" t="s">
        <v>605</v>
      </c>
      <c r="I157" s="10" t="s">
        <v>252</v>
      </c>
      <c r="J157" s="10" t="s">
        <v>242</v>
      </c>
      <c r="K157" s="10" t="s">
        <v>243</v>
      </c>
      <c r="L157" s="10" t="s">
        <v>271</v>
      </c>
      <c r="M157" s="10">
        <v>9</v>
      </c>
      <c r="N157" s="10">
        <v>1200</v>
      </c>
      <c r="O157" s="10">
        <v>5</v>
      </c>
      <c r="P157" s="10">
        <v>10260</v>
      </c>
      <c r="Q157" s="10">
        <v>5</v>
      </c>
      <c r="R157" s="10" t="s">
        <v>245</v>
      </c>
      <c r="S157" s="10" t="s">
        <v>246</v>
      </c>
      <c r="T157" s="10" t="s">
        <v>247</v>
      </c>
      <c r="U157" s="10">
        <v>9193549730</v>
      </c>
      <c r="V157" s="12" t="s">
        <v>248</v>
      </c>
      <c r="W157" t="str">
        <f t="shared" si="16"/>
        <v/>
      </c>
      <c r="X157" t="str">
        <f t="shared" si="17"/>
        <v>Pooja Shah</v>
      </c>
      <c r="Y157" t="str">
        <f t="shared" si="15"/>
        <v>Poo010Hy</v>
      </c>
      <c r="Z157" t="str">
        <f t="shared" si="18"/>
        <v>pooja.shah@company.com</v>
      </c>
      <c r="AA157" t="str">
        <f t="shared" ca="1" si="21"/>
        <v/>
      </c>
      <c r="AB157">
        <f t="shared" si="19"/>
        <v>3</v>
      </c>
      <c r="AC157" t="str">
        <f t="shared" si="20"/>
        <v>On time</v>
      </c>
    </row>
    <row r="158" spans="1:29">
      <c r="A158" s="33" t="s">
        <v>606</v>
      </c>
      <c r="B158" s="5" t="s">
        <v>346</v>
      </c>
      <c r="C158" s="5" t="s">
        <v>267</v>
      </c>
      <c r="D158" s="5" t="s">
        <v>81</v>
      </c>
      <c r="E158" s="5" t="s">
        <v>189</v>
      </c>
      <c r="F158" s="5" t="s">
        <v>348</v>
      </c>
      <c r="G158" s="5" t="s">
        <v>269</v>
      </c>
      <c r="H158" s="6">
        <v>35954</v>
      </c>
      <c r="I158" s="5" t="s">
        <v>379</v>
      </c>
      <c r="J158" s="5" t="s">
        <v>21</v>
      </c>
      <c r="K158" s="5" t="s">
        <v>243</v>
      </c>
      <c r="L158" s="5" t="s">
        <v>271</v>
      </c>
      <c r="M158" s="5">
        <v>3</v>
      </c>
      <c r="N158" s="5">
        <v>1200</v>
      </c>
      <c r="O158" s="5">
        <v>10</v>
      </c>
      <c r="P158" s="5">
        <v>3240</v>
      </c>
      <c r="Q158" s="5">
        <v>2</v>
      </c>
      <c r="R158" s="5" t="s">
        <v>272</v>
      </c>
      <c r="S158" s="5" t="s">
        <v>312</v>
      </c>
      <c r="T158" s="5" t="s">
        <v>350</v>
      </c>
      <c r="U158" s="5">
        <v>9520617130</v>
      </c>
      <c r="V158" s="8" t="s">
        <v>265</v>
      </c>
      <c r="W158" t="str">
        <f t="shared" si="16"/>
        <v>Blacklisted</v>
      </c>
      <c r="X158" t="str">
        <f t="shared" si="17"/>
        <v>Vikas Mehta</v>
      </c>
      <c r="Y158" t="str">
        <f t="shared" si="15"/>
        <v>Vik005Ko</v>
      </c>
      <c r="Z158" t="str">
        <f t="shared" si="18"/>
        <v>vikas.mehta@company.com</v>
      </c>
      <c r="AA158" t="str">
        <f t="shared" ca="1" si="21"/>
        <v/>
      </c>
      <c r="AB158">
        <f t="shared" si="19"/>
        <v>10</v>
      </c>
      <c r="AC158" t="str">
        <f t="shared" si="20"/>
        <v>Delayed</v>
      </c>
    </row>
    <row r="159" spans="1:29">
      <c r="A159" s="34" t="s">
        <v>607</v>
      </c>
      <c r="B159" s="10" t="s">
        <v>392</v>
      </c>
      <c r="C159" s="10" t="s">
        <v>294</v>
      </c>
      <c r="D159" s="11">
        <v>45934</v>
      </c>
      <c r="E159" s="11">
        <v>45995</v>
      </c>
      <c r="F159" s="10" t="s">
        <v>323</v>
      </c>
      <c r="G159" s="10" t="s">
        <v>269</v>
      </c>
      <c r="H159" s="10" t="s">
        <v>608</v>
      </c>
      <c r="I159" s="10" t="s">
        <v>252</v>
      </c>
      <c r="J159" s="10" t="s">
        <v>242</v>
      </c>
      <c r="K159" s="10" t="s">
        <v>295</v>
      </c>
      <c r="L159" s="10" t="s">
        <v>296</v>
      </c>
      <c r="M159" s="10">
        <v>2</v>
      </c>
      <c r="N159" s="10">
        <v>60</v>
      </c>
      <c r="O159" s="10">
        <v>10</v>
      </c>
      <c r="P159" s="10">
        <v>108</v>
      </c>
      <c r="Q159" s="10">
        <v>2</v>
      </c>
      <c r="R159" s="10" t="s">
        <v>277</v>
      </c>
      <c r="S159" s="10" t="s">
        <v>246</v>
      </c>
      <c r="T159" s="10" t="s">
        <v>395</v>
      </c>
      <c r="U159" s="10">
        <v>9264578122</v>
      </c>
      <c r="V159" s="12" t="s">
        <v>257</v>
      </c>
      <c r="W159" t="str">
        <f t="shared" si="16"/>
        <v>Blacklisted</v>
      </c>
      <c r="X159" t="str">
        <f t="shared" si="17"/>
        <v>Amit Sharma</v>
      </c>
      <c r="Y159" t="str">
        <f t="shared" si="15"/>
        <v>Ami001Hy</v>
      </c>
      <c r="Z159" t="str">
        <f t="shared" si="18"/>
        <v>amit.sharma@company.com</v>
      </c>
      <c r="AA159">
        <f t="shared" ca="1" si="21"/>
        <v>28</v>
      </c>
      <c r="AB159" t="str">
        <f t="shared" si="19"/>
        <v/>
      </c>
      <c r="AC159" t="str">
        <f t="shared" si="20"/>
        <v>Delayed</v>
      </c>
    </row>
    <row r="160" spans="1:29">
      <c r="A160" s="33" t="s">
        <v>609</v>
      </c>
      <c r="B160" s="5" t="s">
        <v>266</v>
      </c>
      <c r="C160" s="5" t="s">
        <v>280</v>
      </c>
      <c r="D160" s="5" t="s">
        <v>16</v>
      </c>
      <c r="E160" s="5" t="s">
        <v>610</v>
      </c>
      <c r="F160" s="5" t="s">
        <v>268</v>
      </c>
      <c r="G160" s="5" t="s">
        <v>269</v>
      </c>
      <c r="H160" s="6">
        <v>36473</v>
      </c>
      <c r="I160" s="5" t="s">
        <v>260</v>
      </c>
      <c r="J160" s="5" t="s">
        <v>261</v>
      </c>
      <c r="K160" s="5" t="s">
        <v>15</v>
      </c>
      <c r="L160" s="5" t="s">
        <v>282</v>
      </c>
      <c r="M160" s="5">
        <v>9</v>
      </c>
      <c r="N160" s="5">
        <v>3500</v>
      </c>
      <c r="O160" s="5">
        <v>20</v>
      </c>
      <c r="P160" s="5">
        <v>25200</v>
      </c>
      <c r="Q160" s="5">
        <v>1</v>
      </c>
      <c r="R160" s="5" t="s">
        <v>245</v>
      </c>
      <c r="S160" s="5" t="s">
        <v>255</v>
      </c>
      <c r="T160" s="5" t="s">
        <v>273</v>
      </c>
      <c r="U160" s="5">
        <v>9275071213</v>
      </c>
      <c r="V160" s="8" t="s">
        <v>257</v>
      </c>
      <c r="W160" t="str">
        <f t="shared" si="16"/>
        <v>Blacklisted</v>
      </c>
      <c r="X160" t="str">
        <f t="shared" si="17"/>
        <v>Mohit Verma</v>
      </c>
      <c r="Y160" t="str">
        <f t="shared" si="15"/>
        <v>Moh009De</v>
      </c>
      <c r="Z160" t="str">
        <f t="shared" si="18"/>
        <v>mohit.verma@company.com</v>
      </c>
      <c r="AA160" t="str">
        <f t="shared" ca="1" si="21"/>
        <v/>
      </c>
      <c r="AB160">
        <f t="shared" si="19"/>
        <v>10</v>
      </c>
      <c r="AC160" t="str">
        <f t="shared" si="20"/>
        <v>Delayed</v>
      </c>
    </row>
    <row r="161" spans="1:29">
      <c r="A161" s="34" t="s">
        <v>611</v>
      </c>
      <c r="B161" s="10" t="s">
        <v>346</v>
      </c>
      <c r="C161" s="10" t="s">
        <v>236</v>
      </c>
      <c r="D161" s="10" t="s">
        <v>11</v>
      </c>
      <c r="E161" s="10" t="s">
        <v>44</v>
      </c>
      <c r="F161" s="10" t="s">
        <v>348</v>
      </c>
      <c r="G161" s="10" t="s">
        <v>269</v>
      </c>
      <c r="H161" s="11">
        <v>34892</v>
      </c>
      <c r="I161" s="10" t="s">
        <v>342</v>
      </c>
      <c r="J161" s="10" t="s">
        <v>261</v>
      </c>
      <c r="K161" s="10" t="s">
        <v>243</v>
      </c>
      <c r="L161" s="10" t="s">
        <v>244</v>
      </c>
      <c r="M161" s="10">
        <v>4</v>
      </c>
      <c r="N161" s="10">
        <v>55000</v>
      </c>
      <c r="O161" s="10">
        <v>5</v>
      </c>
      <c r="P161" s="10">
        <v>209000</v>
      </c>
      <c r="Q161" s="10">
        <v>2</v>
      </c>
      <c r="R161" s="10" t="s">
        <v>254</v>
      </c>
      <c r="S161" s="10" t="s">
        <v>312</v>
      </c>
      <c r="T161" s="10" t="s">
        <v>350</v>
      </c>
      <c r="U161" s="10">
        <v>9715222543</v>
      </c>
      <c r="V161" s="12" t="s">
        <v>248</v>
      </c>
      <c r="W161" t="str">
        <f t="shared" si="16"/>
        <v>Blacklisted</v>
      </c>
      <c r="X161" t="str">
        <f t="shared" si="17"/>
        <v>Vikas Mehta</v>
      </c>
      <c r="Y161" t="str">
        <f t="shared" si="15"/>
        <v>Vik005Ja</v>
      </c>
      <c r="Z161" t="str">
        <f t="shared" si="18"/>
        <v>vikas.mehta@company.com</v>
      </c>
      <c r="AA161">
        <f t="shared" ca="1" si="21"/>
        <v>26</v>
      </c>
      <c r="AB161">
        <f t="shared" si="19"/>
        <v>3</v>
      </c>
      <c r="AC161" t="str">
        <f t="shared" si="20"/>
        <v>On time</v>
      </c>
    </row>
    <row r="162" spans="1:29">
      <c r="A162" s="33" t="s">
        <v>612</v>
      </c>
      <c r="B162" s="5" t="s">
        <v>392</v>
      </c>
      <c r="C162" s="5" t="s">
        <v>330</v>
      </c>
      <c r="D162" s="5" t="s">
        <v>167</v>
      </c>
      <c r="E162" s="6">
        <v>45664</v>
      </c>
      <c r="F162" s="5" t="s">
        <v>323</v>
      </c>
      <c r="G162" s="5" t="s">
        <v>269</v>
      </c>
      <c r="H162" s="5" t="s">
        <v>613</v>
      </c>
      <c r="I162" s="5" t="s">
        <v>260</v>
      </c>
      <c r="J162" s="5" t="s">
        <v>261</v>
      </c>
      <c r="K162" s="5" t="s">
        <v>243</v>
      </c>
      <c r="L162" s="5" t="s">
        <v>333</v>
      </c>
      <c r="M162" s="5">
        <v>11</v>
      </c>
      <c r="N162" s="5">
        <v>700</v>
      </c>
      <c r="O162" s="5">
        <v>20</v>
      </c>
      <c r="P162" s="5">
        <v>6160</v>
      </c>
      <c r="Q162" s="5">
        <v>4</v>
      </c>
      <c r="R162" s="5" t="s">
        <v>254</v>
      </c>
      <c r="S162" s="5" t="s">
        <v>312</v>
      </c>
      <c r="T162" s="5" t="s">
        <v>395</v>
      </c>
      <c r="U162" s="5">
        <v>9942010833</v>
      </c>
      <c r="V162" s="8" t="s">
        <v>265</v>
      </c>
      <c r="W162" t="str">
        <f t="shared" si="16"/>
        <v>Blacklisted</v>
      </c>
      <c r="X162" t="str">
        <f t="shared" si="17"/>
        <v>Amit Sharma</v>
      </c>
      <c r="Y162" t="str">
        <f t="shared" si="15"/>
        <v>Ami001De</v>
      </c>
      <c r="Z162" t="str">
        <f t="shared" si="18"/>
        <v>amit.sharma@company.com</v>
      </c>
      <c r="AA162">
        <f t="shared" ca="1" si="21"/>
        <v>31</v>
      </c>
      <c r="AB162" t="str">
        <f t="shared" si="19"/>
        <v/>
      </c>
      <c r="AC162" t="str">
        <f t="shared" si="20"/>
        <v>Delayed</v>
      </c>
    </row>
    <row r="163" spans="1:29">
      <c r="A163" s="34" t="s">
        <v>614</v>
      </c>
      <c r="B163" s="10" t="s">
        <v>321</v>
      </c>
      <c r="C163" s="10" t="s">
        <v>267</v>
      </c>
      <c r="D163" s="10" t="s">
        <v>85</v>
      </c>
      <c r="E163" s="10" t="s">
        <v>192</v>
      </c>
      <c r="F163" s="10" t="s">
        <v>408</v>
      </c>
      <c r="G163" s="10" t="s">
        <v>239</v>
      </c>
      <c r="H163" s="10" t="s">
        <v>615</v>
      </c>
      <c r="I163" s="10" t="s">
        <v>379</v>
      </c>
      <c r="J163" s="10" t="s">
        <v>21</v>
      </c>
      <c r="K163" s="10" t="s">
        <v>243</v>
      </c>
      <c r="L163" s="10" t="s">
        <v>271</v>
      </c>
      <c r="M163" s="10">
        <v>16</v>
      </c>
      <c r="N163" s="10">
        <v>1200</v>
      </c>
      <c r="O163" s="10">
        <v>5</v>
      </c>
      <c r="P163" s="10">
        <v>18240</v>
      </c>
      <c r="Q163" s="10">
        <v>1</v>
      </c>
      <c r="R163" s="10" t="s">
        <v>272</v>
      </c>
      <c r="S163" s="10" t="s">
        <v>255</v>
      </c>
      <c r="T163" s="10" t="s">
        <v>326</v>
      </c>
      <c r="U163" s="10">
        <v>9347718932</v>
      </c>
      <c r="V163" s="12" t="s">
        <v>248</v>
      </c>
      <c r="W163" t="str">
        <f t="shared" si="16"/>
        <v>Blacklisted</v>
      </c>
      <c r="X163" t="str">
        <f t="shared" si="17"/>
        <v>Anita Gupta</v>
      </c>
      <c r="Y163" t="str">
        <f t="shared" si="15"/>
        <v>Ani004Ko</v>
      </c>
      <c r="Z163" t="str">
        <f t="shared" si="18"/>
        <v>anita.gupta@company.com</v>
      </c>
      <c r="AA163" t="str">
        <f t="shared" ca="1" si="21"/>
        <v/>
      </c>
      <c r="AB163">
        <f t="shared" si="19"/>
        <v>10</v>
      </c>
      <c r="AC163" t="str">
        <f t="shared" si="20"/>
        <v>Delayed</v>
      </c>
    </row>
    <row r="164" spans="1:29">
      <c r="A164" s="33" t="s">
        <v>616</v>
      </c>
      <c r="B164" s="5" t="s">
        <v>321</v>
      </c>
      <c r="C164" s="5" t="s">
        <v>267</v>
      </c>
      <c r="D164" s="5" t="s">
        <v>36</v>
      </c>
      <c r="E164" s="5" t="s">
        <v>61</v>
      </c>
      <c r="F164" s="5" t="s">
        <v>408</v>
      </c>
      <c r="G164" s="5" t="s">
        <v>239</v>
      </c>
      <c r="H164" s="5" t="s">
        <v>617</v>
      </c>
      <c r="I164" s="5" t="s">
        <v>291</v>
      </c>
      <c r="J164" s="5" t="s">
        <v>287</v>
      </c>
      <c r="K164" s="5" t="s">
        <v>243</v>
      </c>
      <c r="L164" s="5" t="s">
        <v>271</v>
      </c>
      <c r="M164" s="5">
        <v>1</v>
      </c>
      <c r="N164" s="5">
        <v>1200</v>
      </c>
      <c r="O164" s="5">
        <v>5</v>
      </c>
      <c r="P164" s="5">
        <v>1140</v>
      </c>
      <c r="Q164" s="5">
        <v>4</v>
      </c>
      <c r="R164" s="5" t="s">
        <v>272</v>
      </c>
      <c r="S164" s="5" t="s">
        <v>255</v>
      </c>
      <c r="T164" s="5" t="s">
        <v>326</v>
      </c>
      <c r="U164" s="5">
        <v>9274808844</v>
      </c>
      <c r="V164" s="8" t="s">
        <v>257</v>
      </c>
      <c r="W164" t="str">
        <f t="shared" si="16"/>
        <v>Silver</v>
      </c>
      <c r="X164" t="str">
        <f t="shared" si="17"/>
        <v>Anita Gupta</v>
      </c>
      <c r="Y164" t="str">
        <f t="shared" si="15"/>
        <v>Ani004Pu</v>
      </c>
      <c r="Z164" t="str">
        <f t="shared" si="18"/>
        <v>anita.gupta@company.com</v>
      </c>
      <c r="AA164" t="str">
        <f t="shared" ca="1" si="21"/>
        <v/>
      </c>
      <c r="AB164">
        <f t="shared" si="19"/>
        <v>2</v>
      </c>
      <c r="AC164" t="str">
        <f t="shared" si="20"/>
        <v>On time</v>
      </c>
    </row>
    <row r="165" spans="1:29">
      <c r="A165" s="34" t="s">
        <v>618</v>
      </c>
      <c r="B165" s="10" t="s">
        <v>392</v>
      </c>
      <c r="C165" s="10" t="s">
        <v>294</v>
      </c>
      <c r="D165" s="11">
        <v>45758</v>
      </c>
      <c r="E165" s="10" t="s">
        <v>619</v>
      </c>
      <c r="F165" s="10" t="s">
        <v>323</v>
      </c>
      <c r="G165" s="10" t="s">
        <v>269</v>
      </c>
      <c r="H165" s="10" t="s">
        <v>620</v>
      </c>
      <c r="I165" s="10" t="s">
        <v>342</v>
      </c>
      <c r="J165" s="10" t="s">
        <v>261</v>
      </c>
      <c r="K165" s="10" t="s">
        <v>295</v>
      </c>
      <c r="L165" s="10" t="s">
        <v>296</v>
      </c>
      <c r="M165" s="10">
        <v>7</v>
      </c>
      <c r="N165" s="10">
        <v>60</v>
      </c>
      <c r="O165" s="10">
        <v>0</v>
      </c>
      <c r="P165" s="10">
        <v>420</v>
      </c>
      <c r="Q165" s="10">
        <v>2</v>
      </c>
      <c r="R165" s="10" t="s">
        <v>277</v>
      </c>
      <c r="S165" s="10" t="s">
        <v>312</v>
      </c>
      <c r="T165" s="10" t="s">
        <v>395</v>
      </c>
      <c r="U165" s="10">
        <v>9798996063</v>
      </c>
      <c r="V165" s="12" t="s">
        <v>257</v>
      </c>
      <c r="W165" t="str">
        <f t="shared" si="16"/>
        <v>Blacklisted</v>
      </c>
      <c r="X165" t="str">
        <f t="shared" si="17"/>
        <v>Amit Sharma</v>
      </c>
      <c r="Y165" t="str">
        <f t="shared" si="15"/>
        <v>Ami001Ja</v>
      </c>
      <c r="Z165" t="str">
        <f t="shared" si="18"/>
        <v>amit.sharma@company.com</v>
      </c>
      <c r="AA165" t="str">
        <f t="shared" ca="1" si="21"/>
        <v/>
      </c>
      <c r="AB165" t="str">
        <f t="shared" si="19"/>
        <v/>
      </c>
      <c r="AC165" t="str">
        <f t="shared" si="20"/>
        <v>Delayed</v>
      </c>
    </row>
    <row r="166" spans="1:29">
      <c r="A166" s="33" t="s">
        <v>621</v>
      </c>
      <c r="B166" s="5" t="s">
        <v>321</v>
      </c>
      <c r="C166" s="5" t="s">
        <v>250</v>
      </c>
      <c r="D166" s="6">
        <v>45717</v>
      </c>
      <c r="E166" s="6">
        <v>45839</v>
      </c>
      <c r="F166" s="5" t="s">
        <v>408</v>
      </c>
      <c r="G166" s="5" t="s">
        <v>239</v>
      </c>
      <c r="H166" s="5" t="s">
        <v>622</v>
      </c>
      <c r="I166" s="5" t="s">
        <v>291</v>
      </c>
      <c r="J166" s="5" t="s">
        <v>287</v>
      </c>
      <c r="K166" s="5" t="s">
        <v>15</v>
      </c>
      <c r="L166" s="5" t="s">
        <v>253</v>
      </c>
      <c r="M166" s="5">
        <v>14</v>
      </c>
      <c r="N166" s="5">
        <v>2200</v>
      </c>
      <c r="O166" s="5">
        <v>0</v>
      </c>
      <c r="P166" s="5">
        <v>30800</v>
      </c>
      <c r="Q166" s="5">
        <v>2</v>
      </c>
      <c r="R166" s="5" t="s">
        <v>277</v>
      </c>
      <c r="S166" s="5" t="s">
        <v>255</v>
      </c>
      <c r="T166" s="5" t="s">
        <v>326</v>
      </c>
      <c r="U166" s="5">
        <v>9145200936</v>
      </c>
      <c r="V166" s="8" t="s">
        <v>265</v>
      </c>
      <c r="W166" t="str">
        <f t="shared" si="16"/>
        <v>Blacklisted</v>
      </c>
      <c r="X166" t="str">
        <f t="shared" si="17"/>
        <v>Anita Gupta</v>
      </c>
      <c r="Y166" t="str">
        <f t="shared" si="15"/>
        <v>Ani004Pu</v>
      </c>
      <c r="Z166" t="str">
        <f t="shared" si="18"/>
        <v>anita.gupta@company.com</v>
      </c>
      <c r="AA166" t="str">
        <f t="shared" ca="1" si="21"/>
        <v/>
      </c>
      <c r="AB166" t="str">
        <f t="shared" si="19"/>
        <v/>
      </c>
      <c r="AC166" t="str">
        <f t="shared" si="20"/>
        <v>Delayed</v>
      </c>
    </row>
    <row r="167" spans="1:29">
      <c r="A167" s="34" t="s">
        <v>623</v>
      </c>
      <c r="B167" s="10" t="s">
        <v>321</v>
      </c>
      <c r="C167" s="10" t="s">
        <v>280</v>
      </c>
      <c r="D167" s="10" t="s">
        <v>80</v>
      </c>
      <c r="E167" s="10" t="s">
        <v>167</v>
      </c>
      <c r="F167" s="10" t="s">
        <v>408</v>
      </c>
      <c r="G167" s="10" t="s">
        <v>239</v>
      </c>
      <c r="H167" s="10" t="s">
        <v>624</v>
      </c>
      <c r="I167" s="10" t="s">
        <v>306</v>
      </c>
      <c r="J167" s="10" t="s">
        <v>287</v>
      </c>
      <c r="K167" s="10" t="s">
        <v>15</v>
      </c>
      <c r="L167" s="10" t="s">
        <v>282</v>
      </c>
      <c r="M167" s="10">
        <v>15</v>
      </c>
      <c r="N167" s="10">
        <v>3500</v>
      </c>
      <c r="O167" s="10">
        <v>15</v>
      </c>
      <c r="P167" s="10">
        <v>44625</v>
      </c>
      <c r="Q167" s="10">
        <v>2</v>
      </c>
      <c r="R167" s="10" t="s">
        <v>277</v>
      </c>
      <c r="S167" s="10" t="s">
        <v>246</v>
      </c>
      <c r="T167" s="10" t="s">
        <v>326</v>
      </c>
      <c r="U167" s="10">
        <v>9697654418</v>
      </c>
      <c r="V167" s="12" t="s">
        <v>248</v>
      </c>
      <c r="W167" t="str">
        <f t="shared" si="16"/>
        <v>Blacklisted</v>
      </c>
      <c r="X167" t="str">
        <f t="shared" si="17"/>
        <v>Anita Gupta</v>
      </c>
      <c r="Y167" t="str">
        <f t="shared" si="15"/>
        <v>Ani004Ah</v>
      </c>
      <c r="Z167" t="str">
        <f t="shared" si="18"/>
        <v>anita.gupta@company.com</v>
      </c>
      <c r="AA167" t="str">
        <f t="shared" ca="1" si="21"/>
        <v/>
      </c>
      <c r="AB167">
        <f t="shared" si="19"/>
        <v>8</v>
      </c>
      <c r="AC167" t="str">
        <f t="shared" si="20"/>
        <v>Delayed</v>
      </c>
    </row>
    <row r="168" spans="1:29">
      <c r="A168" s="33" t="s">
        <v>625</v>
      </c>
      <c r="B168" s="5" t="s">
        <v>299</v>
      </c>
      <c r="C168" s="5" t="s">
        <v>280</v>
      </c>
      <c r="D168" s="5" t="s">
        <v>151</v>
      </c>
      <c r="E168" s="6">
        <v>45812</v>
      </c>
      <c r="F168" s="5" t="s">
        <v>301</v>
      </c>
      <c r="G168" s="5" t="s">
        <v>269</v>
      </c>
      <c r="H168" s="6">
        <v>31721</v>
      </c>
      <c r="I168" s="5" t="s">
        <v>379</v>
      </c>
      <c r="J168" s="5" t="s">
        <v>21</v>
      </c>
      <c r="K168" s="5" t="s">
        <v>15</v>
      </c>
      <c r="L168" s="5" t="s">
        <v>282</v>
      </c>
      <c r="M168" s="5">
        <v>19</v>
      </c>
      <c r="N168" s="5">
        <v>3500</v>
      </c>
      <c r="O168" s="5">
        <v>5</v>
      </c>
      <c r="P168" s="5">
        <v>63175</v>
      </c>
      <c r="Q168" s="5">
        <v>2</v>
      </c>
      <c r="R168" s="5" t="s">
        <v>254</v>
      </c>
      <c r="S168" s="5" t="s">
        <v>292</v>
      </c>
      <c r="T168" s="5" t="s">
        <v>302</v>
      </c>
      <c r="U168" s="5">
        <v>9457923119</v>
      </c>
      <c r="V168" s="8" t="s">
        <v>265</v>
      </c>
      <c r="W168" t="str">
        <f t="shared" si="16"/>
        <v>Blacklisted</v>
      </c>
      <c r="X168" t="str">
        <f t="shared" si="17"/>
        <v>Rohit Singh</v>
      </c>
      <c r="Y168" t="str">
        <f t="shared" si="15"/>
        <v>Roh003Ko</v>
      </c>
      <c r="Z168" t="str">
        <f t="shared" si="18"/>
        <v>rohit.singh@company.com</v>
      </c>
      <c r="AA168" t="str">
        <f t="shared" ca="1" si="21"/>
        <v/>
      </c>
      <c r="AB168" t="str">
        <f t="shared" si="19"/>
        <v/>
      </c>
      <c r="AC168" t="str">
        <f t="shared" si="20"/>
        <v>Delayed</v>
      </c>
    </row>
    <row r="169" spans="1:29">
      <c r="A169" s="34" t="s">
        <v>626</v>
      </c>
      <c r="B169" s="10" t="s">
        <v>392</v>
      </c>
      <c r="C169" s="10" t="s">
        <v>236</v>
      </c>
      <c r="D169" s="11">
        <v>45815</v>
      </c>
      <c r="E169" s="11">
        <v>45937</v>
      </c>
      <c r="F169" s="10" t="s">
        <v>323</v>
      </c>
      <c r="G169" s="10" t="s">
        <v>269</v>
      </c>
      <c r="H169" s="10" t="s">
        <v>627</v>
      </c>
      <c r="I169" s="10" t="s">
        <v>241</v>
      </c>
      <c r="J169" s="10" t="s">
        <v>242</v>
      </c>
      <c r="K169" s="10" t="s">
        <v>243</v>
      </c>
      <c r="L169" s="10" t="s">
        <v>244</v>
      </c>
      <c r="M169" s="10">
        <v>12</v>
      </c>
      <c r="N169" s="10">
        <v>55000</v>
      </c>
      <c r="O169" s="10">
        <v>5</v>
      </c>
      <c r="P169" s="10">
        <v>627000</v>
      </c>
      <c r="Q169" s="10">
        <v>4</v>
      </c>
      <c r="R169" s="10" t="s">
        <v>272</v>
      </c>
      <c r="S169" s="10" t="s">
        <v>246</v>
      </c>
      <c r="T169" s="10" t="s">
        <v>395</v>
      </c>
      <c r="U169" s="10">
        <v>9236111271</v>
      </c>
      <c r="V169" s="12" t="s">
        <v>265</v>
      </c>
      <c r="W169" t="str">
        <f t="shared" si="16"/>
        <v>Blacklisted</v>
      </c>
      <c r="X169" t="str">
        <f t="shared" si="17"/>
        <v>Amit Sharma</v>
      </c>
      <c r="Y169" t="str">
        <f t="shared" si="15"/>
        <v>Ami001Be</v>
      </c>
      <c r="Z169" t="str">
        <f t="shared" si="18"/>
        <v>amit.sharma@company.com</v>
      </c>
      <c r="AA169">
        <f t="shared" ca="1" si="21"/>
        <v>39</v>
      </c>
      <c r="AB169" t="str">
        <f t="shared" si="19"/>
        <v/>
      </c>
      <c r="AC169" t="str">
        <f t="shared" si="20"/>
        <v>Delayed</v>
      </c>
    </row>
    <row r="170" spans="1:29">
      <c r="A170" s="33" t="s">
        <v>628</v>
      </c>
      <c r="B170" s="5" t="s">
        <v>235</v>
      </c>
      <c r="C170" s="5" t="s">
        <v>267</v>
      </c>
      <c r="D170" s="5" t="s">
        <v>63</v>
      </c>
      <c r="E170" s="5" t="s">
        <v>149</v>
      </c>
      <c r="F170" s="5" t="s">
        <v>318</v>
      </c>
      <c r="G170" s="5" t="s">
        <v>239</v>
      </c>
      <c r="H170" s="5" t="s">
        <v>629</v>
      </c>
      <c r="I170" s="5" t="s">
        <v>286</v>
      </c>
      <c r="J170" s="5" t="s">
        <v>287</v>
      </c>
      <c r="K170" s="5" t="s">
        <v>243</v>
      </c>
      <c r="L170" s="5" t="s">
        <v>271</v>
      </c>
      <c r="M170" s="5">
        <v>6</v>
      </c>
      <c r="N170" s="5">
        <v>1200</v>
      </c>
      <c r="O170" s="5">
        <v>10</v>
      </c>
      <c r="P170" s="5">
        <v>6480</v>
      </c>
      <c r="Q170" s="5">
        <v>5</v>
      </c>
      <c r="R170" s="5" t="s">
        <v>245</v>
      </c>
      <c r="S170" s="5" t="s">
        <v>292</v>
      </c>
      <c r="T170" s="5" t="s">
        <v>247</v>
      </c>
      <c r="U170" s="5">
        <v>9402569141</v>
      </c>
      <c r="V170" s="8" t="s">
        <v>265</v>
      </c>
      <c r="W170" t="str">
        <f t="shared" si="16"/>
        <v>Blacklisted</v>
      </c>
      <c r="X170" t="str">
        <f t="shared" si="17"/>
        <v>Pooja Shah</v>
      </c>
      <c r="Y170" t="str">
        <f t="shared" si="15"/>
        <v>Poo010Mu</v>
      </c>
      <c r="Z170" t="str">
        <f t="shared" si="18"/>
        <v>pooja.shah@company.com</v>
      </c>
      <c r="AA170" t="str">
        <f t="shared" ca="1" si="21"/>
        <v/>
      </c>
      <c r="AB170">
        <f t="shared" si="19"/>
        <v>8</v>
      </c>
      <c r="AC170" t="str">
        <f t="shared" si="20"/>
        <v>Delayed</v>
      </c>
    </row>
    <row r="171" spans="1:29">
      <c r="A171" s="34" t="s">
        <v>630</v>
      </c>
      <c r="B171" s="10" t="s">
        <v>358</v>
      </c>
      <c r="C171" s="10" t="s">
        <v>322</v>
      </c>
      <c r="D171" s="10" t="s">
        <v>83</v>
      </c>
      <c r="E171" s="10" t="s">
        <v>356</v>
      </c>
      <c r="F171" s="10" t="s">
        <v>359</v>
      </c>
      <c r="G171" s="10" t="s">
        <v>239</v>
      </c>
      <c r="H171" s="10" t="s">
        <v>631</v>
      </c>
      <c r="I171" s="10" t="s">
        <v>252</v>
      </c>
      <c r="J171" s="10" t="s">
        <v>242</v>
      </c>
      <c r="K171" s="10" t="s">
        <v>15</v>
      </c>
      <c r="L171" s="10" t="s">
        <v>325</v>
      </c>
      <c r="M171" s="10">
        <v>1</v>
      </c>
      <c r="N171" s="10">
        <v>8500</v>
      </c>
      <c r="O171" s="10">
        <v>0</v>
      </c>
      <c r="P171" s="10">
        <v>8500</v>
      </c>
      <c r="Q171" s="10">
        <v>1</v>
      </c>
      <c r="R171" s="10" t="s">
        <v>277</v>
      </c>
      <c r="S171" s="10" t="s">
        <v>312</v>
      </c>
      <c r="T171" s="10" t="s">
        <v>360</v>
      </c>
      <c r="U171" s="10">
        <v>9138184056</v>
      </c>
      <c r="V171" s="12" t="s">
        <v>265</v>
      </c>
      <c r="W171" t="str">
        <f t="shared" si="16"/>
        <v>Blacklisted</v>
      </c>
      <c r="X171" t="str">
        <f t="shared" si="17"/>
        <v>Sneha Joshi</v>
      </c>
      <c r="Y171" t="str">
        <f t="shared" si="15"/>
        <v>Sne006Hy</v>
      </c>
      <c r="Z171" t="str">
        <f t="shared" si="18"/>
        <v>sneha.joshi@company.com</v>
      </c>
      <c r="AA171" t="str">
        <f t="shared" ca="1" si="21"/>
        <v/>
      </c>
      <c r="AB171">
        <f t="shared" si="19"/>
        <v>1</v>
      </c>
      <c r="AC171" t="str">
        <f t="shared" si="20"/>
        <v>On time</v>
      </c>
    </row>
    <row r="172" spans="1:29">
      <c r="A172" s="33" t="s">
        <v>632</v>
      </c>
      <c r="B172" s="5" t="s">
        <v>299</v>
      </c>
      <c r="C172" s="5" t="s">
        <v>236</v>
      </c>
      <c r="D172" s="6">
        <v>46026</v>
      </c>
      <c r="E172" s="6">
        <v>46207</v>
      </c>
      <c r="F172" s="5" t="s">
        <v>301</v>
      </c>
      <c r="G172" s="5" t="s">
        <v>269</v>
      </c>
      <c r="H172" s="6">
        <v>31841</v>
      </c>
      <c r="I172" s="5" t="s">
        <v>306</v>
      </c>
      <c r="J172" s="5" t="s">
        <v>287</v>
      </c>
      <c r="K172" s="5" t="s">
        <v>243</v>
      </c>
      <c r="L172" s="5" t="s">
        <v>244</v>
      </c>
      <c r="M172" s="5">
        <v>20</v>
      </c>
      <c r="N172" s="5">
        <v>55000</v>
      </c>
      <c r="O172" s="5">
        <v>10</v>
      </c>
      <c r="P172" s="5">
        <v>990000</v>
      </c>
      <c r="Q172" s="5">
        <v>5</v>
      </c>
      <c r="R172" s="5" t="s">
        <v>245</v>
      </c>
      <c r="S172" s="5" t="s">
        <v>312</v>
      </c>
      <c r="T172" s="5" t="s">
        <v>302</v>
      </c>
      <c r="U172" s="5">
        <v>9609598700</v>
      </c>
      <c r="V172" s="8" t="s">
        <v>257</v>
      </c>
      <c r="W172" t="str">
        <f t="shared" si="16"/>
        <v>Gold</v>
      </c>
      <c r="X172" t="str">
        <f t="shared" si="17"/>
        <v>Rohit Singh</v>
      </c>
      <c r="Y172" t="str">
        <f t="shared" si="15"/>
        <v>Roh003Ah</v>
      </c>
      <c r="Z172" t="str">
        <f t="shared" si="18"/>
        <v>rohit.singh@company.com</v>
      </c>
      <c r="AA172" t="str">
        <f t="shared" ca="1" si="21"/>
        <v/>
      </c>
      <c r="AB172" t="str">
        <f t="shared" si="19"/>
        <v/>
      </c>
      <c r="AC172" t="str">
        <f t="shared" si="20"/>
        <v>Delayed</v>
      </c>
    </row>
    <row r="173" spans="1:29">
      <c r="A173" s="34" t="s">
        <v>633</v>
      </c>
      <c r="B173" s="10" t="s">
        <v>346</v>
      </c>
      <c r="C173" s="10" t="s">
        <v>267</v>
      </c>
      <c r="D173" s="10" t="s">
        <v>182</v>
      </c>
      <c r="E173" s="10" t="s">
        <v>191</v>
      </c>
      <c r="F173" s="10" t="s">
        <v>348</v>
      </c>
      <c r="G173" s="10" t="s">
        <v>269</v>
      </c>
      <c r="H173" s="11">
        <v>37299</v>
      </c>
      <c r="I173" s="10" t="s">
        <v>306</v>
      </c>
      <c r="J173" s="10" t="s">
        <v>287</v>
      </c>
      <c r="K173" s="10" t="s">
        <v>243</v>
      </c>
      <c r="L173" s="10" t="s">
        <v>271</v>
      </c>
      <c r="M173" s="10">
        <v>8</v>
      </c>
      <c r="N173" s="10">
        <v>1200</v>
      </c>
      <c r="O173" s="10">
        <v>15</v>
      </c>
      <c r="P173" s="10">
        <v>8160</v>
      </c>
      <c r="Q173" s="10">
        <v>2</v>
      </c>
      <c r="R173" s="10" t="s">
        <v>277</v>
      </c>
      <c r="S173" s="10" t="s">
        <v>292</v>
      </c>
      <c r="T173" s="10" t="s">
        <v>350</v>
      </c>
      <c r="U173" s="10">
        <v>9385894399</v>
      </c>
      <c r="V173" s="12" t="s">
        <v>265</v>
      </c>
      <c r="W173" t="str">
        <f t="shared" si="16"/>
        <v>Blacklisted</v>
      </c>
      <c r="X173" t="str">
        <f t="shared" si="17"/>
        <v>Vikas Mehta</v>
      </c>
      <c r="Y173" t="str">
        <f t="shared" si="15"/>
        <v>Vik005Ah</v>
      </c>
      <c r="Z173" t="str">
        <f t="shared" si="18"/>
        <v>vikas.mehta@company.com</v>
      </c>
      <c r="AA173">
        <f t="shared" ca="1" si="21"/>
        <v>39</v>
      </c>
      <c r="AB173">
        <f t="shared" si="19"/>
        <v>1</v>
      </c>
      <c r="AC173" t="str">
        <f t="shared" si="20"/>
        <v>On time</v>
      </c>
    </row>
    <row r="174" spans="1:29">
      <c r="A174" s="33" t="s">
        <v>634</v>
      </c>
      <c r="B174" s="5" t="s">
        <v>249</v>
      </c>
      <c r="C174" s="5" t="s">
        <v>280</v>
      </c>
      <c r="D174" s="6">
        <v>45810</v>
      </c>
      <c r="E174" s="5" t="s">
        <v>55</v>
      </c>
      <c r="F174" s="5" t="s">
        <v>251</v>
      </c>
      <c r="G174" s="5" t="s">
        <v>239</v>
      </c>
      <c r="H174" s="5" t="s">
        <v>635</v>
      </c>
      <c r="I174" s="5" t="s">
        <v>342</v>
      </c>
      <c r="J174" s="5" t="s">
        <v>261</v>
      </c>
      <c r="K174" s="5" t="s">
        <v>15</v>
      </c>
      <c r="L174" s="5" t="s">
        <v>282</v>
      </c>
      <c r="M174" s="5">
        <v>19</v>
      </c>
      <c r="N174" s="5">
        <v>3500</v>
      </c>
      <c r="O174" s="5">
        <v>5</v>
      </c>
      <c r="P174" s="5">
        <v>63175</v>
      </c>
      <c r="Q174" s="5">
        <v>4</v>
      </c>
      <c r="R174" s="5" t="s">
        <v>277</v>
      </c>
      <c r="S174" s="5" t="s">
        <v>263</v>
      </c>
      <c r="T174" s="5" t="s">
        <v>264</v>
      </c>
      <c r="U174" s="5">
        <v>9329448011</v>
      </c>
      <c r="V174" s="8" t="s">
        <v>248</v>
      </c>
      <c r="W174" t="str">
        <f t="shared" si="16"/>
        <v/>
      </c>
      <c r="X174" t="str">
        <f t="shared" si="17"/>
        <v>Kavya Nair</v>
      </c>
      <c r="Y174" t="str">
        <f t="shared" si="15"/>
        <v>Kav008Ja</v>
      </c>
      <c r="Z174" t="str">
        <f t="shared" si="18"/>
        <v>kavya.nair@company.com</v>
      </c>
      <c r="AA174">
        <f t="shared" ca="1" si="21"/>
        <v>24</v>
      </c>
      <c r="AB174" t="str">
        <f t="shared" si="19"/>
        <v/>
      </c>
      <c r="AC174" t="str">
        <f t="shared" si="20"/>
        <v>Delayed</v>
      </c>
    </row>
    <row r="175" spans="1:29">
      <c r="A175" s="34" t="s">
        <v>636</v>
      </c>
      <c r="B175" s="10" t="s">
        <v>346</v>
      </c>
      <c r="C175" s="10" t="s">
        <v>362</v>
      </c>
      <c r="D175" s="10" t="s">
        <v>165</v>
      </c>
      <c r="E175" s="10" t="s">
        <v>511</v>
      </c>
      <c r="F175" s="10" t="s">
        <v>348</v>
      </c>
      <c r="G175" s="10" t="s">
        <v>269</v>
      </c>
      <c r="H175" s="10" t="s">
        <v>637</v>
      </c>
      <c r="I175" s="10" t="s">
        <v>342</v>
      </c>
      <c r="J175" s="10" t="s">
        <v>261</v>
      </c>
      <c r="K175" s="10" t="s">
        <v>295</v>
      </c>
      <c r="L175" s="10" t="s">
        <v>363</v>
      </c>
      <c r="M175" s="10">
        <v>6</v>
      </c>
      <c r="N175" s="10">
        <v>45</v>
      </c>
      <c r="O175" s="10">
        <v>20</v>
      </c>
      <c r="P175" s="10">
        <v>216</v>
      </c>
      <c r="Q175" s="10">
        <v>1</v>
      </c>
      <c r="R175" s="10" t="s">
        <v>272</v>
      </c>
      <c r="S175" s="10" t="s">
        <v>263</v>
      </c>
      <c r="T175" s="10" t="s">
        <v>638</v>
      </c>
      <c r="U175" s="10">
        <v>9889544104</v>
      </c>
      <c r="V175" s="12" t="s">
        <v>248</v>
      </c>
      <c r="W175" t="str">
        <f t="shared" si="16"/>
        <v>Blacklisted</v>
      </c>
      <c r="X175" t="str">
        <f t="shared" si="17"/>
        <v>Vikas Mehta</v>
      </c>
      <c r="Y175" t="str">
        <f t="shared" si="15"/>
        <v>Vik005Ja</v>
      </c>
      <c r="Z175" t="str">
        <f t="shared" si="18"/>
        <v>invalid email</v>
      </c>
      <c r="AA175" t="str">
        <f t="shared" ca="1" si="21"/>
        <v/>
      </c>
      <c r="AB175">
        <f t="shared" si="19"/>
        <v>2</v>
      </c>
      <c r="AC175" t="str">
        <f t="shared" si="20"/>
        <v>On time</v>
      </c>
    </row>
    <row r="176" spans="1:29">
      <c r="A176" s="33" t="s">
        <v>639</v>
      </c>
      <c r="B176" s="5" t="s">
        <v>358</v>
      </c>
      <c r="C176" s="5" t="s">
        <v>362</v>
      </c>
      <c r="D176" s="5" t="s">
        <v>25</v>
      </c>
      <c r="E176" s="5" t="s">
        <v>140</v>
      </c>
      <c r="F176" s="5" t="s">
        <v>359</v>
      </c>
      <c r="G176" s="5" t="s">
        <v>239</v>
      </c>
      <c r="H176" s="6">
        <v>32328</v>
      </c>
      <c r="I176" s="5" t="s">
        <v>291</v>
      </c>
      <c r="J176" s="5" t="s">
        <v>287</v>
      </c>
      <c r="K176" s="5" t="s">
        <v>295</v>
      </c>
      <c r="L176" s="5" t="s">
        <v>363</v>
      </c>
      <c r="M176" s="5">
        <v>17</v>
      </c>
      <c r="N176" s="5">
        <v>45</v>
      </c>
      <c r="O176" s="5">
        <v>15</v>
      </c>
      <c r="P176" s="5">
        <v>650.25</v>
      </c>
      <c r="Q176" s="5">
        <v>5</v>
      </c>
      <c r="R176" s="5" t="s">
        <v>254</v>
      </c>
      <c r="S176" s="5" t="s">
        <v>292</v>
      </c>
      <c r="T176" s="5" t="s">
        <v>360</v>
      </c>
      <c r="U176" s="5">
        <v>9101861045</v>
      </c>
      <c r="V176" s="8" t="s">
        <v>248</v>
      </c>
      <c r="W176" t="str">
        <f t="shared" si="16"/>
        <v/>
      </c>
      <c r="X176" t="str">
        <f t="shared" si="17"/>
        <v>Sneha Joshi</v>
      </c>
      <c r="Y176" t="str">
        <f t="shared" si="15"/>
        <v>Sne006Pu</v>
      </c>
      <c r="Z176" t="str">
        <f t="shared" si="18"/>
        <v>sneha.joshi@company.com</v>
      </c>
      <c r="AA176" t="str">
        <f t="shared" ca="1" si="21"/>
        <v/>
      </c>
      <c r="AB176">
        <f t="shared" si="19"/>
        <v>11</v>
      </c>
      <c r="AC176" t="str">
        <f t="shared" si="20"/>
        <v>Delayed</v>
      </c>
    </row>
    <row r="177" spans="1:29">
      <c r="A177" s="34" t="s">
        <v>640</v>
      </c>
      <c r="B177" s="10" t="s">
        <v>249</v>
      </c>
      <c r="C177" s="10" t="s">
        <v>347</v>
      </c>
      <c r="D177" s="11">
        <v>45754</v>
      </c>
      <c r="E177" s="10" t="s">
        <v>641</v>
      </c>
      <c r="F177" s="10" t="s">
        <v>251</v>
      </c>
      <c r="G177" s="10" t="s">
        <v>239</v>
      </c>
      <c r="H177" s="10" t="s">
        <v>642</v>
      </c>
      <c r="I177" s="10" t="s">
        <v>291</v>
      </c>
      <c r="J177" s="10" t="s">
        <v>287</v>
      </c>
      <c r="K177" s="10" t="s">
        <v>295</v>
      </c>
      <c r="L177" s="10" t="s">
        <v>349</v>
      </c>
      <c r="M177" s="10">
        <v>19</v>
      </c>
      <c r="N177" s="10">
        <v>20</v>
      </c>
      <c r="O177" s="10">
        <v>5</v>
      </c>
      <c r="P177" s="10">
        <v>361</v>
      </c>
      <c r="Q177" s="10">
        <v>4</v>
      </c>
      <c r="R177" s="10" t="s">
        <v>254</v>
      </c>
      <c r="S177" s="10" t="s">
        <v>255</v>
      </c>
      <c r="T177" s="10" t="s">
        <v>264</v>
      </c>
      <c r="U177" s="10">
        <v>9364712105</v>
      </c>
      <c r="V177" s="12" t="s">
        <v>248</v>
      </c>
      <c r="W177" t="str">
        <f t="shared" si="16"/>
        <v/>
      </c>
      <c r="X177" t="str">
        <f t="shared" si="17"/>
        <v>Kavya Nair</v>
      </c>
      <c r="Y177" t="str">
        <f t="shared" si="15"/>
        <v>Kav008Pu</v>
      </c>
      <c r="Z177" t="str">
        <f t="shared" si="18"/>
        <v>kavya.nair@company.com</v>
      </c>
      <c r="AA177">
        <f t="shared" ca="1" si="21"/>
        <v>38</v>
      </c>
      <c r="AB177" t="str">
        <f t="shared" si="19"/>
        <v/>
      </c>
      <c r="AC177" t="str">
        <f t="shared" si="20"/>
        <v>Delayed</v>
      </c>
    </row>
    <row r="178" spans="1:29">
      <c r="A178" s="33" t="s">
        <v>643</v>
      </c>
      <c r="B178" s="5" t="s">
        <v>358</v>
      </c>
      <c r="C178" s="5" t="s">
        <v>347</v>
      </c>
      <c r="D178" s="6">
        <v>45700</v>
      </c>
      <c r="E178" s="6">
        <v>45728</v>
      </c>
      <c r="F178" s="5" t="s">
        <v>359</v>
      </c>
      <c r="G178" s="5" t="s">
        <v>239</v>
      </c>
      <c r="H178" s="5" t="s">
        <v>644</v>
      </c>
      <c r="I178" s="5" t="s">
        <v>306</v>
      </c>
      <c r="J178" s="5" t="s">
        <v>287</v>
      </c>
      <c r="K178" s="5" t="s">
        <v>295</v>
      </c>
      <c r="L178" s="5" t="s">
        <v>349</v>
      </c>
      <c r="M178" s="5">
        <v>11</v>
      </c>
      <c r="N178" s="5">
        <v>20</v>
      </c>
      <c r="O178" s="5">
        <v>0</v>
      </c>
      <c r="P178" s="5">
        <v>220</v>
      </c>
      <c r="Q178" s="5">
        <v>3</v>
      </c>
      <c r="R178" s="5" t="s">
        <v>245</v>
      </c>
      <c r="S178" s="5" t="s">
        <v>263</v>
      </c>
      <c r="T178" s="5" t="s">
        <v>360</v>
      </c>
      <c r="U178" s="5">
        <v>9950206376</v>
      </c>
      <c r="V178" s="8" t="s">
        <v>257</v>
      </c>
      <c r="W178" t="str">
        <f t="shared" si="16"/>
        <v>Silver</v>
      </c>
      <c r="X178" t="str">
        <f t="shared" si="17"/>
        <v>Sneha Joshi</v>
      </c>
      <c r="Y178" t="str">
        <f t="shared" si="15"/>
        <v>Sne006Ah</v>
      </c>
      <c r="Z178" t="str">
        <f t="shared" si="18"/>
        <v>sneha.joshi@company.com</v>
      </c>
      <c r="AA178" t="str">
        <f t="shared" ca="1" si="21"/>
        <v/>
      </c>
      <c r="AB178" t="str">
        <f t="shared" si="19"/>
        <v/>
      </c>
      <c r="AC178" t="str">
        <f t="shared" si="20"/>
        <v>Delayed</v>
      </c>
    </row>
    <row r="179" spans="1:29">
      <c r="A179" s="34" t="s">
        <v>645</v>
      </c>
      <c r="B179" s="10" t="s">
        <v>321</v>
      </c>
      <c r="C179" s="10" t="s">
        <v>294</v>
      </c>
      <c r="D179" s="10" t="s">
        <v>24</v>
      </c>
      <c r="E179" s="10" t="s">
        <v>99</v>
      </c>
      <c r="F179" s="10" t="s">
        <v>408</v>
      </c>
      <c r="G179" s="10" t="s">
        <v>239</v>
      </c>
      <c r="H179" s="11">
        <v>34221</v>
      </c>
      <c r="I179" s="10" t="s">
        <v>260</v>
      </c>
      <c r="J179" s="10" t="s">
        <v>261</v>
      </c>
      <c r="K179" s="10" t="s">
        <v>295</v>
      </c>
      <c r="L179" s="10" t="s">
        <v>296</v>
      </c>
      <c r="M179" s="10">
        <v>12</v>
      </c>
      <c r="N179" s="10">
        <v>60</v>
      </c>
      <c r="O179" s="10">
        <v>0</v>
      </c>
      <c r="P179" s="10">
        <v>720</v>
      </c>
      <c r="Q179" s="10">
        <v>2</v>
      </c>
      <c r="R179" s="10" t="s">
        <v>245</v>
      </c>
      <c r="S179" s="10" t="s">
        <v>263</v>
      </c>
      <c r="T179" s="10" t="s">
        <v>326</v>
      </c>
      <c r="U179" s="10">
        <v>9235822094</v>
      </c>
      <c r="V179" s="12" t="s">
        <v>257</v>
      </c>
      <c r="W179" t="str">
        <f t="shared" si="16"/>
        <v>Blacklisted</v>
      </c>
      <c r="X179" t="str">
        <f t="shared" si="17"/>
        <v>Anita Gupta</v>
      </c>
      <c r="Y179" t="str">
        <f t="shared" si="15"/>
        <v>Ani004De</v>
      </c>
      <c r="Z179" t="str">
        <f t="shared" si="18"/>
        <v>anita.gupta@company.com</v>
      </c>
      <c r="AA179" t="str">
        <f t="shared" ca="1" si="21"/>
        <v/>
      </c>
      <c r="AB179">
        <f t="shared" si="19"/>
        <v>7</v>
      </c>
      <c r="AC179" t="str">
        <f t="shared" si="20"/>
        <v>Delayed</v>
      </c>
    </row>
    <row r="180" spans="1:29">
      <c r="A180" s="33" t="s">
        <v>646</v>
      </c>
      <c r="B180" s="5" t="s">
        <v>346</v>
      </c>
      <c r="C180" s="5" t="s">
        <v>362</v>
      </c>
      <c r="D180" s="6">
        <v>45911</v>
      </c>
      <c r="E180" s="5" t="s">
        <v>619</v>
      </c>
      <c r="F180" s="5" t="s">
        <v>285</v>
      </c>
      <c r="G180" s="5" t="s">
        <v>269</v>
      </c>
      <c r="H180" s="5" t="s">
        <v>647</v>
      </c>
      <c r="I180" s="5" t="s">
        <v>379</v>
      </c>
      <c r="J180" s="5" t="s">
        <v>21</v>
      </c>
      <c r="K180" s="5" t="s">
        <v>295</v>
      </c>
      <c r="L180" s="5" t="s">
        <v>363</v>
      </c>
      <c r="M180" s="5">
        <v>14</v>
      </c>
      <c r="N180" s="5">
        <v>45</v>
      </c>
      <c r="O180" s="5">
        <v>15</v>
      </c>
      <c r="P180" s="5">
        <v>535.5</v>
      </c>
      <c r="Q180" s="5">
        <v>5</v>
      </c>
      <c r="R180" s="5" t="s">
        <v>277</v>
      </c>
      <c r="S180" s="5" t="s">
        <v>292</v>
      </c>
      <c r="T180" s="5" t="s">
        <v>350</v>
      </c>
      <c r="U180" s="5">
        <v>9311021344</v>
      </c>
      <c r="V180" s="8" t="s">
        <v>248</v>
      </c>
      <c r="W180" t="str">
        <f t="shared" si="16"/>
        <v/>
      </c>
      <c r="X180" t="str">
        <f t="shared" si="17"/>
        <v>Priya Patel</v>
      </c>
      <c r="Y180" t="str">
        <f t="shared" ref="Y180:Y243" si="22">LEFT(F180,3)&amp;MID(B180,2,3)&amp;LEFT(I180,2)</f>
        <v>Pri005Ko</v>
      </c>
      <c r="Z180" t="str">
        <f t="shared" si="18"/>
        <v>vikas.mehta@company.com</v>
      </c>
      <c r="AA180">
        <f t="shared" ca="1" si="21"/>
        <v>33</v>
      </c>
      <c r="AB180" t="str">
        <f t="shared" si="19"/>
        <v/>
      </c>
      <c r="AC180" t="str">
        <f t="shared" si="20"/>
        <v>Delayed</v>
      </c>
    </row>
    <row r="181" spans="1:29">
      <c r="A181" s="34" t="s">
        <v>648</v>
      </c>
      <c r="B181" s="10" t="s">
        <v>249</v>
      </c>
      <c r="C181" s="10" t="s">
        <v>330</v>
      </c>
      <c r="D181" s="11">
        <v>45840</v>
      </c>
      <c r="E181" s="10" t="s">
        <v>75</v>
      </c>
      <c r="F181" s="10" t="s">
        <v>251</v>
      </c>
      <c r="G181" s="10" t="s">
        <v>239</v>
      </c>
      <c r="H181" s="10" t="s">
        <v>649</v>
      </c>
      <c r="I181" s="10" t="s">
        <v>252</v>
      </c>
      <c r="J181" s="10" t="s">
        <v>242</v>
      </c>
      <c r="K181" s="10" t="s">
        <v>243</v>
      </c>
      <c r="L181" s="10" t="s">
        <v>333</v>
      </c>
      <c r="M181" s="10">
        <v>15</v>
      </c>
      <c r="N181" s="10">
        <v>700</v>
      </c>
      <c r="O181" s="10">
        <v>10</v>
      </c>
      <c r="P181" s="10">
        <v>9450</v>
      </c>
      <c r="Q181" s="10">
        <v>3</v>
      </c>
      <c r="R181" s="10" t="s">
        <v>245</v>
      </c>
      <c r="S181" s="10" t="s">
        <v>263</v>
      </c>
      <c r="T181" s="10" t="s">
        <v>264</v>
      </c>
      <c r="U181" s="10">
        <v>9891358505</v>
      </c>
      <c r="V181" s="12" t="s">
        <v>248</v>
      </c>
      <c r="W181" t="str">
        <f t="shared" si="16"/>
        <v/>
      </c>
      <c r="X181" t="str">
        <f t="shared" si="17"/>
        <v>Kavya Nair</v>
      </c>
      <c r="Y181" t="str">
        <f t="shared" si="22"/>
        <v>Kav008Hy</v>
      </c>
      <c r="Z181" t="str">
        <f t="shared" si="18"/>
        <v>kavya.nair@company.com</v>
      </c>
      <c r="AA181" t="str">
        <f t="shared" ca="1" si="21"/>
        <v/>
      </c>
      <c r="AB181" t="str">
        <f t="shared" si="19"/>
        <v/>
      </c>
      <c r="AC181" t="str">
        <f t="shared" si="20"/>
        <v>Delayed</v>
      </c>
    </row>
    <row r="182" spans="1:29">
      <c r="A182" s="33" t="s">
        <v>650</v>
      </c>
      <c r="B182" s="5" t="s">
        <v>284</v>
      </c>
      <c r="C182" s="5" t="s">
        <v>322</v>
      </c>
      <c r="D182" s="5" t="s">
        <v>155</v>
      </c>
      <c r="E182" s="5" t="s">
        <v>197</v>
      </c>
      <c r="F182" s="5" t="s">
        <v>285</v>
      </c>
      <c r="G182" s="5" t="s">
        <v>239</v>
      </c>
      <c r="H182" s="6">
        <v>29564</v>
      </c>
      <c r="I182" s="5" t="s">
        <v>306</v>
      </c>
      <c r="J182" s="5" t="s">
        <v>287</v>
      </c>
      <c r="K182" s="5" t="s">
        <v>15</v>
      </c>
      <c r="L182" s="5" t="s">
        <v>325</v>
      </c>
      <c r="M182" s="5">
        <v>19</v>
      </c>
      <c r="N182" s="5">
        <v>8500</v>
      </c>
      <c r="O182" s="5">
        <v>15</v>
      </c>
      <c r="P182" s="5">
        <v>137275</v>
      </c>
      <c r="Q182" s="5">
        <v>2</v>
      </c>
      <c r="R182" s="5" t="s">
        <v>254</v>
      </c>
      <c r="S182" s="5" t="s">
        <v>255</v>
      </c>
      <c r="T182" s="5" t="s">
        <v>308</v>
      </c>
      <c r="U182" s="5">
        <v>9910085332</v>
      </c>
      <c r="V182" s="8" t="s">
        <v>265</v>
      </c>
      <c r="W182" t="str">
        <f t="shared" si="16"/>
        <v>Blacklisted</v>
      </c>
      <c r="X182" t="str">
        <f t="shared" si="17"/>
        <v>Priya Patel</v>
      </c>
      <c r="Y182" t="str">
        <f t="shared" si="22"/>
        <v>Pri002Ah</v>
      </c>
      <c r="Z182" t="str">
        <f t="shared" si="18"/>
        <v>priya.patel@company.com</v>
      </c>
      <c r="AA182" t="str">
        <f t="shared" ca="1" si="21"/>
        <v/>
      </c>
      <c r="AB182">
        <f t="shared" si="19"/>
        <v>4</v>
      </c>
      <c r="AC182" t="str">
        <f t="shared" si="20"/>
        <v>On time</v>
      </c>
    </row>
    <row r="183" spans="1:29">
      <c r="A183" s="34" t="s">
        <v>651</v>
      </c>
      <c r="B183" s="10" t="s">
        <v>358</v>
      </c>
      <c r="C183" s="10" t="s">
        <v>294</v>
      </c>
      <c r="D183" s="11">
        <v>45757</v>
      </c>
      <c r="E183" s="11">
        <v>45818</v>
      </c>
      <c r="F183" s="10" t="s">
        <v>359</v>
      </c>
      <c r="G183" s="10" t="s">
        <v>239</v>
      </c>
      <c r="H183" s="11">
        <v>32328</v>
      </c>
      <c r="I183" s="10" t="s">
        <v>342</v>
      </c>
      <c r="J183" s="10" t="s">
        <v>261</v>
      </c>
      <c r="K183" s="10" t="s">
        <v>295</v>
      </c>
      <c r="L183" s="10" t="s">
        <v>296</v>
      </c>
      <c r="M183" s="10">
        <v>19</v>
      </c>
      <c r="N183" s="10">
        <v>60</v>
      </c>
      <c r="O183" s="10">
        <v>20</v>
      </c>
      <c r="P183" s="10">
        <v>912</v>
      </c>
      <c r="Q183" s="10">
        <v>4</v>
      </c>
      <c r="R183" s="10" t="s">
        <v>272</v>
      </c>
      <c r="S183" s="10" t="s">
        <v>263</v>
      </c>
      <c r="T183" s="10" t="s">
        <v>360</v>
      </c>
      <c r="U183" s="10">
        <v>9756908023</v>
      </c>
      <c r="V183" s="12" t="s">
        <v>248</v>
      </c>
      <c r="W183" t="str">
        <f t="shared" si="16"/>
        <v/>
      </c>
      <c r="X183" t="str">
        <f t="shared" si="17"/>
        <v>Sneha Joshi</v>
      </c>
      <c r="Y183" t="str">
        <f t="shared" si="22"/>
        <v>Sne006Ja</v>
      </c>
      <c r="Z183" t="str">
        <f t="shared" si="18"/>
        <v>sneha.joshi@company.com</v>
      </c>
      <c r="AA183">
        <f t="shared" ca="1" si="21"/>
        <v>45</v>
      </c>
      <c r="AB183" t="str">
        <f t="shared" si="19"/>
        <v/>
      </c>
      <c r="AC183" t="str">
        <f t="shared" si="20"/>
        <v>Delayed</v>
      </c>
    </row>
    <row r="184" spans="1:29">
      <c r="A184" s="33" t="s">
        <v>652</v>
      </c>
      <c r="B184" s="5" t="s">
        <v>284</v>
      </c>
      <c r="C184" s="5" t="s">
        <v>362</v>
      </c>
      <c r="D184" s="5" t="s">
        <v>34</v>
      </c>
      <c r="E184" s="5" t="s">
        <v>155</v>
      </c>
      <c r="F184" s="5" t="s">
        <v>285</v>
      </c>
      <c r="G184" s="5" t="s">
        <v>239</v>
      </c>
      <c r="H184" s="5" t="s">
        <v>653</v>
      </c>
      <c r="I184" s="5" t="s">
        <v>241</v>
      </c>
      <c r="J184" s="5" t="s">
        <v>242</v>
      </c>
      <c r="K184" s="5" t="s">
        <v>295</v>
      </c>
      <c r="L184" s="5" t="s">
        <v>363</v>
      </c>
      <c r="M184" s="5">
        <v>10</v>
      </c>
      <c r="N184" s="5">
        <v>45</v>
      </c>
      <c r="O184" s="5">
        <v>15</v>
      </c>
      <c r="P184" s="5">
        <v>382.5</v>
      </c>
      <c r="Q184" s="5">
        <v>4</v>
      </c>
      <c r="R184" s="5" t="s">
        <v>254</v>
      </c>
      <c r="S184" s="5" t="s">
        <v>312</v>
      </c>
      <c r="T184" s="5" t="s">
        <v>308</v>
      </c>
      <c r="U184" s="5">
        <v>9645913247</v>
      </c>
      <c r="V184" s="8" t="s">
        <v>257</v>
      </c>
      <c r="W184" t="str">
        <f t="shared" si="16"/>
        <v>Silver</v>
      </c>
      <c r="X184" t="str">
        <f t="shared" si="17"/>
        <v>Priya Patel</v>
      </c>
      <c r="Y184" t="str">
        <f t="shared" si="22"/>
        <v>Pri002Be</v>
      </c>
      <c r="Z184" t="str">
        <f t="shared" si="18"/>
        <v>priya.patel@company.com</v>
      </c>
      <c r="AA184">
        <f t="shared" ca="1" si="21"/>
        <v>38</v>
      </c>
      <c r="AB184">
        <f t="shared" si="19"/>
        <v>11</v>
      </c>
      <c r="AC184" t="str">
        <f t="shared" si="20"/>
        <v>Delayed</v>
      </c>
    </row>
    <row r="185" spans="1:29">
      <c r="A185" s="34" t="s">
        <v>654</v>
      </c>
      <c r="B185" s="10" t="s">
        <v>266</v>
      </c>
      <c r="C185" s="10" t="s">
        <v>250</v>
      </c>
      <c r="D185" s="10" t="s">
        <v>28</v>
      </c>
      <c r="E185" s="10" t="s">
        <v>655</v>
      </c>
      <c r="F185" s="10" t="s">
        <v>268</v>
      </c>
      <c r="G185" s="10" t="s">
        <v>269</v>
      </c>
      <c r="H185" s="11">
        <v>29657</v>
      </c>
      <c r="I185" s="10" t="s">
        <v>260</v>
      </c>
      <c r="J185" s="10" t="s">
        <v>261</v>
      </c>
      <c r="K185" s="10" t="s">
        <v>15</v>
      </c>
      <c r="L185" s="10" t="s">
        <v>253</v>
      </c>
      <c r="M185" s="10">
        <v>7</v>
      </c>
      <c r="N185" s="10">
        <v>2200</v>
      </c>
      <c r="O185" s="10">
        <v>20</v>
      </c>
      <c r="P185" s="10">
        <v>12320</v>
      </c>
      <c r="Q185" s="10">
        <v>5</v>
      </c>
      <c r="R185" s="10" t="s">
        <v>277</v>
      </c>
      <c r="S185" s="10" t="s">
        <v>263</v>
      </c>
      <c r="T185" s="10" t="s">
        <v>273</v>
      </c>
      <c r="U185" s="10">
        <v>9806914795</v>
      </c>
      <c r="V185" s="12" t="s">
        <v>248</v>
      </c>
      <c r="W185" t="str">
        <f t="shared" si="16"/>
        <v/>
      </c>
      <c r="X185" t="str">
        <f t="shared" si="17"/>
        <v>Mohit Verma</v>
      </c>
      <c r="Y185" t="str">
        <f t="shared" si="22"/>
        <v>Moh009De</v>
      </c>
      <c r="Z185" t="str">
        <f t="shared" si="18"/>
        <v>mohit.verma@company.com</v>
      </c>
      <c r="AA185" t="str">
        <f t="shared" ca="1" si="21"/>
        <v/>
      </c>
      <c r="AB185">
        <f t="shared" si="19"/>
        <v>9</v>
      </c>
      <c r="AC185" t="str">
        <f t="shared" si="20"/>
        <v>Delayed</v>
      </c>
    </row>
    <row r="186" spans="1:29">
      <c r="A186" s="33" t="s">
        <v>656</v>
      </c>
      <c r="B186" s="5" t="s">
        <v>284</v>
      </c>
      <c r="C186" s="5" t="s">
        <v>322</v>
      </c>
      <c r="D186" s="5" t="s">
        <v>110</v>
      </c>
      <c r="E186" s="6">
        <v>45752</v>
      </c>
      <c r="F186" s="5" t="s">
        <v>285</v>
      </c>
      <c r="G186" s="5" t="s">
        <v>239</v>
      </c>
      <c r="H186" s="6">
        <v>30988</v>
      </c>
      <c r="I186" s="5" t="s">
        <v>379</v>
      </c>
      <c r="J186" s="5" t="s">
        <v>21</v>
      </c>
      <c r="K186" s="5" t="s">
        <v>15</v>
      </c>
      <c r="L186" s="5" t="s">
        <v>325</v>
      </c>
      <c r="M186" s="5">
        <v>20</v>
      </c>
      <c r="N186" s="5">
        <v>8500</v>
      </c>
      <c r="O186" s="5">
        <v>20</v>
      </c>
      <c r="P186" s="5">
        <v>136000</v>
      </c>
      <c r="Q186" s="5">
        <v>4</v>
      </c>
      <c r="R186" s="5" t="s">
        <v>245</v>
      </c>
      <c r="S186" s="5" t="s">
        <v>255</v>
      </c>
      <c r="T186" s="5" t="s">
        <v>308</v>
      </c>
      <c r="U186" s="5">
        <v>9276222829</v>
      </c>
      <c r="V186" s="8" t="s">
        <v>257</v>
      </c>
      <c r="W186" t="str">
        <f t="shared" si="16"/>
        <v>Gold</v>
      </c>
      <c r="X186" t="str">
        <f t="shared" si="17"/>
        <v>Priya Patel</v>
      </c>
      <c r="Y186" t="str">
        <f t="shared" si="22"/>
        <v>Pri002Ko</v>
      </c>
      <c r="Z186" t="str">
        <f t="shared" si="18"/>
        <v>priya.patel@company.com</v>
      </c>
      <c r="AA186">
        <f t="shared" ca="1" si="21"/>
        <v>45</v>
      </c>
      <c r="AB186" t="str">
        <f t="shared" si="19"/>
        <v/>
      </c>
      <c r="AC186" t="str">
        <f t="shared" si="20"/>
        <v>Delayed</v>
      </c>
    </row>
    <row r="187" spans="1:29">
      <c r="A187" s="34" t="s">
        <v>657</v>
      </c>
      <c r="B187" s="10" t="s">
        <v>358</v>
      </c>
      <c r="C187" s="10" t="s">
        <v>250</v>
      </c>
      <c r="D187" s="10" t="s">
        <v>106</v>
      </c>
      <c r="E187" s="10" t="s">
        <v>128</v>
      </c>
      <c r="F187" s="10" t="s">
        <v>359</v>
      </c>
      <c r="G187" s="10" t="s">
        <v>239</v>
      </c>
      <c r="H187" s="11">
        <v>33431</v>
      </c>
      <c r="I187" s="10" t="s">
        <v>252</v>
      </c>
      <c r="J187" s="10" t="s">
        <v>242</v>
      </c>
      <c r="K187" s="10" t="s">
        <v>15</v>
      </c>
      <c r="L187" s="10" t="s">
        <v>253</v>
      </c>
      <c r="M187" s="10">
        <v>10</v>
      </c>
      <c r="N187" s="10">
        <v>2200</v>
      </c>
      <c r="O187" s="10">
        <v>5</v>
      </c>
      <c r="P187" s="10">
        <v>20900</v>
      </c>
      <c r="Q187" s="10">
        <v>2</v>
      </c>
      <c r="R187" s="10" t="s">
        <v>245</v>
      </c>
      <c r="S187" s="10" t="s">
        <v>263</v>
      </c>
      <c r="T187" s="10" t="s">
        <v>360</v>
      </c>
      <c r="U187" s="10">
        <v>9533835528</v>
      </c>
      <c r="V187" s="12" t="s">
        <v>257</v>
      </c>
      <c r="W187" t="str">
        <f t="shared" si="16"/>
        <v>Blacklisted</v>
      </c>
      <c r="X187" t="str">
        <f t="shared" si="17"/>
        <v>Sneha Joshi</v>
      </c>
      <c r="Y187" t="str">
        <f t="shared" si="22"/>
        <v>Sne006Hy</v>
      </c>
      <c r="Z187" t="str">
        <f t="shared" si="18"/>
        <v>sneha.joshi@company.com</v>
      </c>
      <c r="AA187">
        <f t="shared" ca="1" si="21"/>
        <v>41</v>
      </c>
      <c r="AB187">
        <f t="shared" si="19"/>
        <v>2</v>
      </c>
      <c r="AC187" t="str">
        <f t="shared" si="20"/>
        <v>On time</v>
      </c>
    </row>
    <row r="188" spans="1:29">
      <c r="A188" s="33" t="s">
        <v>658</v>
      </c>
      <c r="B188" s="5" t="s">
        <v>299</v>
      </c>
      <c r="C188" s="5" t="s">
        <v>294</v>
      </c>
      <c r="D188" s="5" t="s">
        <v>52</v>
      </c>
      <c r="E188" s="5" t="s">
        <v>159</v>
      </c>
      <c r="F188" s="5" t="s">
        <v>301</v>
      </c>
      <c r="G188" s="5" t="s">
        <v>269</v>
      </c>
      <c r="H188" s="5" t="s">
        <v>659</v>
      </c>
      <c r="I188" s="5" t="s">
        <v>291</v>
      </c>
      <c r="J188" s="5" t="s">
        <v>287</v>
      </c>
      <c r="K188" s="5" t="s">
        <v>295</v>
      </c>
      <c r="L188" s="5" t="s">
        <v>296</v>
      </c>
      <c r="M188" s="5">
        <v>15</v>
      </c>
      <c r="N188" s="5">
        <v>60</v>
      </c>
      <c r="O188" s="5">
        <v>20</v>
      </c>
      <c r="P188" s="5">
        <v>720</v>
      </c>
      <c r="Q188" s="5">
        <v>1</v>
      </c>
      <c r="R188" s="5" t="s">
        <v>272</v>
      </c>
      <c r="S188" s="5" t="s">
        <v>255</v>
      </c>
      <c r="T188" s="5" t="s">
        <v>302</v>
      </c>
      <c r="U188" s="5">
        <v>9654885820</v>
      </c>
      <c r="V188" s="8" t="s">
        <v>257</v>
      </c>
      <c r="W188" t="str">
        <f t="shared" si="16"/>
        <v>Blacklisted</v>
      </c>
      <c r="X188" t="str">
        <f t="shared" si="17"/>
        <v>Rohit Singh</v>
      </c>
      <c r="Y188" t="str">
        <f t="shared" si="22"/>
        <v>Roh003Pu</v>
      </c>
      <c r="Z188" t="str">
        <f t="shared" si="18"/>
        <v>rohit.singh@company.com</v>
      </c>
      <c r="AA188">
        <f t="shared" ca="1" si="21"/>
        <v>35</v>
      </c>
      <c r="AB188">
        <f t="shared" si="19"/>
        <v>10</v>
      </c>
      <c r="AC188" t="str">
        <f t="shared" si="20"/>
        <v>Delayed</v>
      </c>
    </row>
    <row r="189" spans="1:29">
      <c r="A189" s="34" t="s">
        <v>660</v>
      </c>
      <c r="B189" s="10" t="s">
        <v>346</v>
      </c>
      <c r="C189" s="10" t="s">
        <v>280</v>
      </c>
      <c r="D189" s="10" t="s">
        <v>134</v>
      </c>
      <c r="E189" s="10" t="s">
        <v>661</v>
      </c>
      <c r="F189" s="10" t="s">
        <v>348</v>
      </c>
      <c r="G189" s="10" t="s">
        <v>269</v>
      </c>
      <c r="H189" s="10" t="s">
        <v>662</v>
      </c>
      <c r="I189" s="10" t="s">
        <v>252</v>
      </c>
      <c r="J189" s="10" t="s">
        <v>242</v>
      </c>
      <c r="K189" s="10" t="s">
        <v>15</v>
      </c>
      <c r="L189" s="10" t="s">
        <v>282</v>
      </c>
      <c r="M189" s="10">
        <v>18</v>
      </c>
      <c r="N189" s="10">
        <v>3500</v>
      </c>
      <c r="O189" s="10">
        <v>5</v>
      </c>
      <c r="P189" s="10">
        <v>59850</v>
      </c>
      <c r="Q189" s="10">
        <v>1</v>
      </c>
      <c r="R189" s="10" t="s">
        <v>272</v>
      </c>
      <c r="S189" s="10" t="s">
        <v>263</v>
      </c>
      <c r="T189" s="10" t="s">
        <v>350</v>
      </c>
      <c r="U189" s="10">
        <v>9456029544</v>
      </c>
      <c r="V189" s="12" t="s">
        <v>265</v>
      </c>
      <c r="W189" t="str">
        <f t="shared" si="16"/>
        <v>Blacklisted</v>
      </c>
      <c r="X189" t="str">
        <f t="shared" si="17"/>
        <v>Vikas Mehta</v>
      </c>
      <c r="Y189" t="str">
        <f t="shared" si="22"/>
        <v>Vik005Hy</v>
      </c>
      <c r="Z189" t="str">
        <f t="shared" si="18"/>
        <v>vikas.mehta@company.com</v>
      </c>
      <c r="AA189" t="str">
        <f t="shared" ca="1" si="21"/>
        <v/>
      </c>
      <c r="AB189">
        <f t="shared" si="19"/>
        <v>4</v>
      </c>
      <c r="AC189" t="str">
        <f t="shared" si="20"/>
        <v>On time</v>
      </c>
    </row>
    <row r="190" spans="1:29">
      <c r="A190" s="33" t="s">
        <v>663</v>
      </c>
      <c r="B190" s="5" t="s">
        <v>392</v>
      </c>
      <c r="C190" s="5" t="s">
        <v>258</v>
      </c>
      <c r="D190" s="6">
        <v>46361</v>
      </c>
      <c r="E190" s="5" t="s">
        <v>664</v>
      </c>
      <c r="F190" s="5" t="s">
        <v>323</v>
      </c>
      <c r="G190" s="5" t="s">
        <v>269</v>
      </c>
      <c r="H190" s="6">
        <v>31909</v>
      </c>
      <c r="I190" s="5" t="s">
        <v>291</v>
      </c>
      <c r="J190" s="5" t="s">
        <v>287</v>
      </c>
      <c r="K190" s="5" t="s">
        <v>243</v>
      </c>
      <c r="L190" s="5" t="s">
        <v>262</v>
      </c>
      <c r="M190" s="5">
        <v>6</v>
      </c>
      <c r="N190" s="5">
        <v>12000</v>
      </c>
      <c r="O190" s="5">
        <v>5</v>
      </c>
      <c r="P190" s="5">
        <v>68400</v>
      </c>
      <c r="Q190" s="5">
        <v>1</v>
      </c>
      <c r="R190" s="5" t="s">
        <v>245</v>
      </c>
      <c r="S190" s="5" t="s">
        <v>263</v>
      </c>
      <c r="T190" s="5" t="s">
        <v>395</v>
      </c>
      <c r="U190" s="5">
        <v>9914571493</v>
      </c>
      <c r="V190" s="8" t="s">
        <v>265</v>
      </c>
      <c r="W190" t="str">
        <f t="shared" si="16"/>
        <v>Blacklisted</v>
      </c>
      <c r="X190" t="str">
        <f t="shared" si="17"/>
        <v>Amit Sharma</v>
      </c>
      <c r="Y190" t="str">
        <f t="shared" si="22"/>
        <v>Ami001Pu</v>
      </c>
      <c r="Z190" t="str">
        <f t="shared" si="18"/>
        <v>amit.sharma@company.com</v>
      </c>
      <c r="AA190" t="str">
        <f t="shared" ca="1" si="21"/>
        <v/>
      </c>
      <c r="AB190" t="str">
        <f t="shared" si="19"/>
        <v/>
      </c>
      <c r="AC190" t="str">
        <f t="shared" si="20"/>
        <v>Delayed</v>
      </c>
    </row>
    <row r="191" spans="1:29">
      <c r="A191" s="34" t="s">
        <v>665</v>
      </c>
      <c r="B191" s="10" t="s">
        <v>392</v>
      </c>
      <c r="C191" s="10" t="s">
        <v>347</v>
      </c>
      <c r="D191" s="10" t="s">
        <v>24</v>
      </c>
      <c r="E191" s="10" t="s">
        <v>459</v>
      </c>
      <c r="F191" s="10" t="s">
        <v>323</v>
      </c>
      <c r="G191" s="10" t="s">
        <v>269</v>
      </c>
      <c r="H191" s="10" t="s">
        <v>666</v>
      </c>
      <c r="I191" s="10" t="s">
        <v>241</v>
      </c>
      <c r="J191" s="10" t="s">
        <v>242</v>
      </c>
      <c r="K191" s="10" t="s">
        <v>295</v>
      </c>
      <c r="L191" s="10" t="s">
        <v>349</v>
      </c>
      <c r="M191" s="10">
        <v>19</v>
      </c>
      <c r="N191" s="10">
        <v>20</v>
      </c>
      <c r="O191" s="10">
        <v>10</v>
      </c>
      <c r="P191" s="10">
        <v>342</v>
      </c>
      <c r="Q191" s="10">
        <v>2</v>
      </c>
      <c r="R191" s="10" t="s">
        <v>245</v>
      </c>
      <c r="S191" s="10" t="s">
        <v>255</v>
      </c>
      <c r="T191" s="10" t="s">
        <v>395</v>
      </c>
      <c r="U191" s="10">
        <v>9270726986</v>
      </c>
      <c r="V191" s="12" t="s">
        <v>248</v>
      </c>
      <c r="W191" t="str">
        <f t="shared" si="16"/>
        <v>Blacklisted</v>
      </c>
      <c r="X191" t="str">
        <f t="shared" si="17"/>
        <v>Amit Sharma</v>
      </c>
      <c r="Y191" t="str">
        <f t="shared" si="22"/>
        <v>Ami001Be</v>
      </c>
      <c r="Z191" t="str">
        <f t="shared" si="18"/>
        <v>amit.sharma@company.com</v>
      </c>
      <c r="AA191">
        <f t="shared" ca="1" si="21"/>
        <v>39</v>
      </c>
      <c r="AB191">
        <f t="shared" si="19"/>
        <v>2</v>
      </c>
      <c r="AC191" t="str">
        <f t="shared" si="20"/>
        <v>On time</v>
      </c>
    </row>
    <row r="192" spans="1:29">
      <c r="A192" s="33" t="s">
        <v>667</v>
      </c>
      <c r="B192" s="5" t="s">
        <v>346</v>
      </c>
      <c r="C192" s="5" t="s">
        <v>250</v>
      </c>
      <c r="D192" s="5" t="s">
        <v>16</v>
      </c>
      <c r="E192" s="5" t="s">
        <v>436</v>
      </c>
      <c r="F192" s="5" t="s">
        <v>348</v>
      </c>
      <c r="G192" s="5" t="s">
        <v>269</v>
      </c>
      <c r="H192" s="5" t="s">
        <v>668</v>
      </c>
      <c r="I192" s="5" t="s">
        <v>291</v>
      </c>
      <c r="J192" s="5" t="s">
        <v>287</v>
      </c>
      <c r="K192" s="5" t="s">
        <v>15</v>
      </c>
      <c r="L192" s="5" t="s">
        <v>253</v>
      </c>
      <c r="M192" s="5">
        <v>7</v>
      </c>
      <c r="N192" s="5">
        <v>2200</v>
      </c>
      <c r="O192" s="5">
        <v>0</v>
      </c>
      <c r="P192" s="5">
        <v>15400</v>
      </c>
      <c r="Q192" s="5">
        <v>1</v>
      </c>
      <c r="R192" s="5" t="s">
        <v>272</v>
      </c>
      <c r="S192" s="5" t="s">
        <v>292</v>
      </c>
      <c r="T192" s="5" t="s">
        <v>350</v>
      </c>
      <c r="U192" s="5">
        <v>9570080664</v>
      </c>
      <c r="V192" s="8" t="s">
        <v>265</v>
      </c>
      <c r="W192" t="str">
        <f t="shared" si="16"/>
        <v>Blacklisted</v>
      </c>
      <c r="X192" t="str">
        <f t="shared" si="17"/>
        <v>Vikas Mehta</v>
      </c>
      <c r="Y192" t="str">
        <f t="shared" si="22"/>
        <v>Vik005Pu</v>
      </c>
      <c r="Z192" t="str">
        <f t="shared" si="18"/>
        <v>vikas.mehta@company.com</v>
      </c>
      <c r="AA192" t="str">
        <f t="shared" ca="1" si="21"/>
        <v/>
      </c>
      <c r="AB192">
        <f t="shared" si="19"/>
        <v>7</v>
      </c>
      <c r="AC192" t="str">
        <f t="shared" si="20"/>
        <v>Delayed</v>
      </c>
    </row>
    <row r="193" spans="1:29">
      <c r="A193" s="34" t="s">
        <v>669</v>
      </c>
      <c r="B193" s="10" t="s">
        <v>392</v>
      </c>
      <c r="C193" s="10" t="s">
        <v>258</v>
      </c>
      <c r="D193" s="10" t="s">
        <v>51</v>
      </c>
      <c r="E193" s="10" t="s">
        <v>670</v>
      </c>
      <c r="F193" s="10" t="s">
        <v>323</v>
      </c>
      <c r="G193" s="10" t="s">
        <v>269</v>
      </c>
      <c r="H193" s="10" t="s">
        <v>671</v>
      </c>
      <c r="I193" s="10" t="s">
        <v>342</v>
      </c>
      <c r="J193" s="10" t="s">
        <v>261</v>
      </c>
      <c r="K193" s="10" t="s">
        <v>243</v>
      </c>
      <c r="L193" s="10" t="s">
        <v>262</v>
      </c>
      <c r="M193" s="10">
        <v>3</v>
      </c>
      <c r="N193" s="10">
        <v>12000</v>
      </c>
      <c r="O193" s="10">
        <v>5</v>
      </c>
      <c r="P193" s="10">
        <v>34200</v>
      </c>
      <c r="Q193" s="10">
        <v>3</v>
      </c>
      <c r="R193" s="10" t="s">
        <v>272</v>
      </c>
      <c r="S193" s="10" t="s">
        <v>246</v>
      </c>
      <c r="T193" s="10" t="s">
        <v>395</v>
      </c>
      <c r="U193" s="10">
        <v>9109009524</v>
      </c>
      <c r="V193" s="12" t="s">
        <v>265</v>
      </c>
      <c r="W193" t="str">
        <f t="shared" si="16"/>
        <v>Blacklisted</v>
      </c>
      <c r="X193" t="str">
        <f t="shared" si="17"/>
        <v>Amit Sharma</v>
      </c>
      <c r="Y193" t="str">
        <f t="shared" si="22"/>
        <v>Ami001Ja</v>
      </c>
      <c r="Z193" t="str">
        <f t="shared" si="18"/>
        <v>amit.sharma@company.com</v>
      </c>
      <c r="AA193" t="str">
        <f t="shared" ca="1" si="21"/>
        <v/>
      </c>
      <c r="AB193">
        <f t="shared" si="19"/>
        <v>4</v>
      </c>
      <c r="AC193" t="str">
        <f t="shared" si="20"/>
        <v>On time</v>
      </c>
    </row>
    <row r="194" spans="1:29">
      <c r="A194" s="33" t="s">
        <v>672</v>
      </c>
      <c r="B194" s="5" t="s">
        <v>321</v>
      </c>
      <c r="C194" s="5" t="s">
        <v>250</v>
      </c>
      <c r="D194" s="5" t="s">
        <v>126</v>
      </c>
      <c r="E194" s="6">
        <v>45758</v>
      </c>
      <c r="F194" s="5" t="s">
        <v>408</v>
      </c>
      <c r="G194" s="5" t="s">
        <v>239</v>
      </c>
      <c r="H194" s="5" t="s">
        <v>673</v>
      </c>
      <c r="I194" s="5" t="s">
        <v>342</v>
      </c>
      <c r="J194" s="5" t="s">
        <v>261</v>
      </c>
      <c r="K194" s="5" t="s">
        <v>15</v>
      </c>
      <c r="L194" s="5" t="s">
        <v>253</v>
      </c>
      <c r="M194" s="5">
        <v>16</v>
      </c>
      <c r="N194" s="5">
        <v>2200</v>
      </c>
      <c r="O194" s="5">
        <v>0</v>
      </c>
      <c r="P194" s="5">
        <v>35200</v>
      </c>
      <c r="Q194" s="5">
        <v>5</v>
      </c>
      <c r="R194" s="5" t="s">
        <v>272</v>
      </c>
      <c r="S194" s="5" t="s">
        <v>255</v>
      </c>
      <c r="T194" s="5" t="s">
        <v>326</v>
      </c>
      <c r="U194" s="5">
        <v>9701276770</v>
      </c>
      <c r="V194" s="8" t="s">
        <v>248</v>
      </c>
      <c r="W194" t="str">
        <f t="shared" si="16"/>
        <v/>
      </c>
      <c r="X194" t="str">
        <f t="shared" si="17"/>
        <v>Anita Gupta</v>
      </c>
      <c r="Y194" t="str">
        <f t="shared" si="22"/>
        <v>Ani004Ja</v>
      </c>
      <c r="Z194" t="str">
        <f t="shared" si="18"/>
        <v>anita.gupta@company.com</v>
      </c>
      <c r="AA194" t="str">
        <f t="shared" ca="1" si="21"/>
        <v/>
      </c>
      <c r="AB194" t="str">
        <f t="shared" si="19"/>
        <v/>
      </c>
      <c r="AC194" t="str">
        <f t="shared" si="20"/>
        <v>Delayed</v>
      </c>
    </row>
    <row r="195" spans="1:29">
      <c r="A195" s="34" t="s">
        <v>674</v>
      </c>
      <c r="B195" s="10" t="s">
        <v>358</v>
      </c>
      <c r="C195" s="10" t="s">
        <v>250</v>
      </c>
      <c r="D195" s="10" t="s">
        <v>42</v>
      </c>
      <c r="E195" s="10" t="s">
        <v>64</v>
      </c>
      <c r="F195" s="10" t="s">
        <v>359</v>
      </c>
      <c r="G195" s="10" t="s">
        <v>239</v>
      </c>
      <c r="H195" s="11">
        <v>32605</v>
      </c>
      <c r="I195" s="10" t="s">
        <v>260</v>
      </c>
      <c r="J195" s="10" t="s">
        <v>261</v>
      </c>
      <c r="K195" s="10" t="s">
        <v>15</v>
      </c>
      <c r="L195" s="10" t="s">
        <v>253</v>
      </c>
      <c r="M195" s="10">
        <v>8</v>
      </c>
      <c r="N195" s="10">
        <v>2200</v>
      </c>
      <c r="O195" s="10">
        <v>5</v>
      </c>
      <c r="P195" s="10">
        <v>16720</v>
      </c>
      <c r="Q195" s="10">
        <v>2</v>
      </c>
      <c r="R195" s="10" t="s">
        <v>277</v>
      </c>
      <c r="S195" s="10" t="s">
        <v>312</v>
      </c>
      <c r="T195" s="10" t="s">
        <v>360</v>
      </c>
      <c r="U195" s="10">
        <v>9298278507</v>
      </c>
      <c r="V195" s="12" t="s">
        <v>257</v>
      </c>
      <c r="W195" t="str">
        <f t="shared" ref="W195:W258" si="23">IF(OR(Q195&lt;=2,V195="Cancelled"),"Blacklisted",IF(AND(P195&gt;100000,Q195&gt;=4,O195&lt;=10%,V195="Completed"),"Platinum",IF(AND(P195&gt;=50000,Q195&gt;=3,V195="Completed"),"Gold",IF(AND(P195&lt;50000,V195="Completed"),"Silver",""))))</f>
        <v>Blacklisted</v>
      </c>
      <c r="X195" t="str">
        <f t="shared" ref="X195:X258" si="24">PROPER(TRIM(F195))</f>
        <v>Sneha Joshi</v>
      </c>
      <c r="Y195" t="str">
        <f t="shared" si="22"/>
        <v>Sne006De</v>
      </c>
      <c r="Z195" t="str">
        <f t="shared" ref="Z195:Z258" si="25">IF(ISNUMBER(SEARCH("@",T195)),LOWER(TRIM(T195)),"invalid email")</f>
        <v>sneha.joshi@company.com</v>
      </c>
      <c r="AA195" t="str">
        <f t="shared" ca="1" si="21"/>
        <v/>
      </c>
      <c r="AB195">
        <f t="shared" ref="AB195:AB258" si="26">IF(OR(D195="",E195=""),"",IFERROR(DATE(MID(E195,7,4),MID(E195,4,2),LEFT(E195,2))-DATE(MID(D195,7,4),MID(D195,4,2),LEFT(D195,2)),""))</f>
        <v>2</v>
      </c>
      <c r="AC195" t="str">
        <f t="shared" ref="AC195:AC258" si="27">IF(E195="","Pending",IF(AB195&lt;=5,"On time","Delayed"))</f>
        <v>On time</v>
      </c>
    </row>
    <row r="196" spans="1:29">
      <c r="A196" s="33" t="s">
        <v>675</v>
      </c>
      <c r="B196" s="5" t="s">
        <v>358</v>
      </c>
      <c r="C196" s="5" t="s">
        <v>250</v>
      </c>
      <c r="D196" s="6">
        <v>45973</v>
      </c>
      <c r="E196" s="5" t="s">
        <v>30</v>
      </c>
      <c r="F196" s="5" t="s">
        <v>359</v>
      </c>
      <c r="G196" s="5" t="s">
        <v>239</v>
      </c>
      <c r="H196" s="6">
        <v>36041</v>
      </c>
      <c r="I196" s="5" t="s">
        <v>306</v>
      </c>
      <c r="J196" s="5" t="s">
        <v>287</v>
      </c>
      <c r="K196" s="5" t="s">
        <v>15</v>
      </c>
      <c r="L196" s="5" t="s">
        <v>253</v>
      </c>
      <c r="M196" s="5">
        <v>10</v>
      </c>
      <c r="N196" s="5">
        <v>2200</v>
      </c>
      <c r="O196" s="5">
        <v>10</v>
      </c>
      <c r="P196" s="5">
        <v>19800</v>
      </c>
      <c r="Q196" s="5">
        <v>5</v>
      </c>
      <c r="R196" s="5" t="s">
        <v>245</v>
      </c>
      <c r="S196" s="5" t="s">
        <v>292</v>
      </c>
      <c r="T196" s="5" t="s">
        <v>360</v>
      </c>
      <c r="U196" s="5">
        <v>9895908093</v>
      </c>
      <c r="V196" s="8" t="s">
        <v>248</v>
      </c>
      <c r="W196" t="str">
        <f t="shared" si="23"/>
        <v/>
      </c>
      <c r="X196" t="str">
        <f t="shared" si="24"/>
        <v>Sneha Joshi</v>
      </c>
      <c r="Y196" t="str">
        <f t="shared" si="22"/>
        <v>Sne006Ah</v>
      </c>
      <c r="Z196" t="str">
        <f t="shared" si="25"/>
        <v>sneha.joshi@company.com</v>
      </c>
      <c r="AA196">
        <f t="shared" ref="AA196:AA259" ca="1" si="28">IF(H195="","",IFERROR(DATEDIF(IF(ISNUMBER(H195),H195,DATE(VALUE(RIGHT(H195,4)),VALUE(MID(H195,3,2)),VALUE(LEFT(H195,2)))),TODAY(),"Y"),""))</f>
        <v>37</v>
      </c>
      <c r="AB196" t="str">
        <f t="shared" si="26"/>
        <v/>
      </c>
      <c r="AC196" t="str">
        <f t="shared" si="27"/>
        <v>Delayed</v>
      </c>
    </row>
    <row r="197" spans="1:29">
      <c r="A197" s="34" t="s">
        <v>676</v>
      </c>
      <c r="B197" s="10" t="s">
        <v>275</v>
      </c>
      <c r="C197" s="10" t="s">
        <v>347</v>
      </c>
      <c r="D197" s="10" t="s">
        <v>178</v>
      </c>
      <c r="E197" s="11">
        <v>45905</v>
      </c>
      <c r="F197" s="10" t="s">
        <v>328</v>
      </c>
      <c r="G197" s="10" t="s">
        <v>269</v>
      </c>
      <c r="H197" s="10" t="s">
        <v>677</v>
      </c>
      <c r="I197" s="10" t="s">
        <v>260</v>
      </c>
      <c r="J197" s="10" t="s">
        <v>261</v>
      </c>
      <c r="K197" s="10" t="s">
        <v>295</v>
      </c>
      <c r="L197" s="10" t="s">
        <v>349</v>
      </c>
      <c r="M197" s="10">
        <v>7</v>
      </c>
      <c r="N197" s="10">
        <v>20</v>
      </c>
      <c r="O197" s="10">
        <v>10</v>
      </c>
      <c r="P197" s="10">
        <v>126</v>
      </c>
      <c r="Q197" s="10">
        <v>4</v>
      </c>
      <c r="R197" s="10" t="s">
        <v>272</v>
      </c>
      <c r="S197" s="10" t="s">
        <v>246</v>
      </c>
      <c r="T197" s="10" t="s">
        <v>278</v>
      </c>
      <c r="U197" s="10">
        <v>9734108795</v>
      </c>
      <c r="V197" s="12" t="s">
        <v>257</v>
      </c>
      <c r="W197" t="str">
        <f t="shared" si="23"/>
        <v>Silver</v>
      </c>
      <c r="X197" t="str">
        <f t="shared" si="24"/>
        <v>Arjun Rao</v>
      </c>
      <c r="Y197" t="str">
        <f t="shared" si="22"/>
        <v>Arj007De</v>
      </c>
      <c r="Z197" t="str">
        <f t="shared" si="25"/>
        <v>arjun.rao@company.com</v>
      </c>
      <c r="AA197">
        <f t="shared" ca="1" si="28"/>
        <v>28</v>
      </c>
      <c r="AB197" t="str">
        <f t="shared" si="26"/>
        <v/>
      </c>
      <c r="AC197" t="str">
        <f t="shared" si="27"/>
        <v>Delayed</v>
      </c>
    </row>
    <row r="198" spans="1:29">
      <c r="A198" s="33" t="s">
        <v>678</v>
      </c>
      <c r="B198" s="5" t="s">
        <v>346</v>
      </c>
      <c r="C198" s="5" t="s">
        <v>322</v>
      </c>
      <c r="D198" s="6">
        <v>46327</v>
      </c>
      <c r="E198" s="5" t="s">
        <v>23</v>
      </c>
      <c r="F198" s="5" t="s">
        <v>348</v>
      </c>
      <c r="G198" s="5" t="s">
        <v>269</v>
      </c>
      <c r="H198" s="5" t="s">
        <v>679</v>
      </c>
      <c r="I198" s="5" t="s">
        <v>252</v>
      </c>
      <c r="J198" s="5" t="s">
        <v>242</v>
      </c>
      <c r="K198" s="5" t="s">
        <v>15</v>
      </c>
      <c r="L198" s="5" t="s">
        <v>325</v>
      </c>
      <c r="M198" s="5">
        <v>19</v>
      </c>
      <c r="N198" s="5">
        <v>8500</v>
      </c>
      <c r="O198" s="5">
        <v>20</v>
      </c>
      <c r="P198" s="5">
        <v>129200</v>
      </c>
      <c r="Q198" s="5">
        <v>3</v>
      </c>
      <c r="R198" s="5" t="s">
        <v>245</v>
      </c>
      <c r="S198" s="5" t="s">
        <v>246</v>
      </c>
      <c r="T198" s="5" t="s">
        <v>350</v>
      </c>
      <c r="U198" s="5">
        <v>9799597413</v>
      </c>
      <c r="V198" s="8" t="s">
        <v>248</v>
      </c>
      <c r="W198" t="str">
        <f t="shared" si="23"/>
        <v/>
      </c>
      <c r="X198" t="str">
        <f t="shared" si="24"/>
        <v>Vikas Mehta</v>
      </c>
      <c r="Y198" t="str">
        <f t="shared" si="22"/>
        <v>Vik005Hy</v>
      </c>
      <c r="Z198" t="str">
        <f t="shared" si="25"/>
        <v>vikas.mehta@company.com</v>
      </c>
      <c r="AA198" t="str">
        <f t="shared" ca="1" si="28"/>
        <v/>
      </c>
      <c r="AB198" t="str">
        <f t="shared" si="26"/>
        <v/>
      </c>
      <c r="AC198" t="str">
        <f t="shared" si="27"/>
        <v>Delayed</v>
      </c>
    </row>
    <row r="199" spans="1:29">
      <c r="A199" s="34" t="s">
        <v>680</v>
      </c>
      <c r="B199" s="10" t="s">
        <v>284</v>
      </c>
      <c r="C199" s="10" t="s">
        <v>294</v>
      </c>
      <c r="D199" s="11">
        <v>45660</v>
      </c>
      <c r="E199" s="11">
        <v>45811</v>
      </c>
      <c r="F199" s="10" t="s">
        <v>285</v>
      </c>
      <c r="G199" s="10" t="s">
        <v>239</v>
      </c>
      <c r="H199" s="10" t="s">
        <v>681</v>
      </c>
      <c r="I199" s="10" t="s">
        <v>291</v>
      </c>
      <c r="J199" s="10" t="s">
        <v>287</v>
      </c>
      <c r="K199" s="10" t="s">
        <v>295</v>
      </c>
      <c r="L199" s="10" t="s">
        <v>296</v>
      </c>
      <c r="M199" s="10">
        <v>16</v>
      </c>
      <c r="N199" s="10">
        <v>60</v>
      </c>
      <c r="O199" s="10">
        <v>0</v>
      </c>
      <c r="P199" s="10">
        <v>960</v>
      </c>
      <c r="Q199" s="10">
        <v>2</v>
      </c>
      <c r="R199" s="10" t="s">
        <v>245</v>
      </c>
      <c r="S199" s="10" t="s">
        <v>292</v>
      </c>
      <c r="T199" s="10" t="s">
        <v>308</v>
      </c>
      <c r="U199" s="10">
        <v>9688987266</v>
      </c>
      <c r="V199" s="12" t="s">
        <v>257</v>
      </c>
      <c r="W199" t="str">
        <f t="shared" si="23"/>
        <v>Blacklisted</v>
      </c>
      <c r="X199" t="str">
        <f t="shared" si="24"/>
        <v>Priya Patel</v>
      </c>
      <c r="Y199" t="str">
        <f t="shared" si="22"/>
        <v>Pri002Pu</v>
      </c>
      <c r="Z199" t="str">
        <f t="shared" si="25"/>
        <v>priya.patel@company.com</v>
      </c>
      <c r="AA199" t="str">
        <f t="shared" ca="1" si="28"/>
        <v/>
      </c>
      <c r="AB199" t="str">
        <f t="shared" si="26"/>
        <v/>
      </c>
      <c r="AC199" t="str">
        <f t="shared" si="27"/>
        <v>Delayed</v>
      </c>
    </row>
    <row r="200" spans="1:29">
      <c r="A200" s="33" t="s">
        <v>682</v>
      </c>
      <c r="B200" s="5" t="s">
        <v>346</v>
      </c>
      <c r="C200" s="5" t="s">
        <v>280</v>
      </c>
      <c r="D200" s="5" t="s">
        <v>33</v>
      </c>
      <c r="E200" s="5" t="s">
        <v>166</v>
      </c>
      <c r="F200" s="5" t="s">
        <v>348</v>
      </c>
      <c r="G200" s="5" t="s">
        <v>269</v>
      </c>
      <c r="H200" s="5" t="s">
        <v>683</v>
      </c>
      <c r="I200" s="5" t="s">
        <v>241</v>
      </c>
      <c r="J200" s="5" t="s">
        <v>242</v>
      </c>
      <c r="K200" s="5" t="s">
        <v>684</v>
      </c>
      <c r="L200" s="5" t="s">
        <v>282</v>
      </c>
      <c r="M200" s="5">
        <v>18</v>
      </c>
      <c r="N200" s="5">
        <v>3500</v>
      </c>
      <c r="O200" s="5">
        <v>5</v>
      </c>
      <c r="P200" s="5">
        <v>59850</v>
      </c>
      <c r="Q200" s="5">
        <v>1</v>
      </c>
      <c r="R200" s="5" t="s">
        <v>277</v>
      </c>
      <c r="S200" s="5" t="s">
        <v>292</v>
      </c>
      <c r="T200" s="5" t="s">
        <v>350</v>
      </c>
      <c r="U200" s="5">
        <v>9867169037</v>
      </c>
      <c r="V200" s="8" t="s">
        <v>248</v>
      </c>
      <c r="W200" t="str">
        <f t="shared" si="23"/>
        <v>Blacklisted</v>
      </c>
      <c r="X200" t="str">
        <f t="shared" si="24"/>
        <v>Vikas Mehta</v>
      </c>
      <c r="Y200" t="str">
        <f t="shared" si="22"/>
        <v>Vik005Be</v>
      </c>
      <c r="Z200" t="str">
        <f t="shared" si="25"/>
        <v>vikas.mehta@company.com</v>
      </c>
      <c r="AA200" t="str">
        <f t="shared" ca="1" si="28"/>
        <v/>
      </c>
      <c r="AB200">
        <f t="shared" si="26"/>
        <v>12</v>
      </c>
      <c r="AC200" t="str">
        <f t="shared" si="27"/>
        <v>Delayed</v>
      </c>
    </row>
    <row r="201" spans="1:29">
      <c r="A201" s="34" t="s">
        <v>685</v>
      </c>
      <c r="B201" s="10" t="s">
        <v>284</v>
      </c>
      <c r="C201" s="10" t="s">
        <v>236</v>
      </c>
      <c r="D201" s="10" t="s">
        <v>86</v>
      </c>
      <c r="E201" s="11">
        <v>45660</v>
      </c>
      <c r="F201" s="10" t="s">
        <v>285</v>
      </c>
      <c r="G201" s="10" t="s">
        <v>239</v>
      </c>
      <c r="H201" s="10" t="s">
        <v>686</v>
      </c>
      <c r="I201" s="10" t="s">
        <v>342</v>
      </c>
      <c r="J201" s="10" t="s">
        <v>261</v>
      </c>
      <c r="K201" s="10" t="s">
        <v>243</v>
      </c>
      <c r="L201" s="10" t="s">
        <v>244</v>
      </c>
      <c r="M201" s="10">
        <v>16</v>
      </c>
      <c r="N201" s="10">
        <v>55000</v>
      </c>
      <c r="O201" s="10">
        <v>0</v>
      </c>
      <c r="P201" s="10">
        <v>880000</v>
      </c>
      <c r="Q201" s="10">
        <v>1</v>
      </c>
      <c r="R201" s="10" t="s">
        <v>272</v>
      </c>
      <c r="S201" s="10" t="s">
        <v>246</v>
      </c>
      <c r="T201" s="10" t="s">
        <v>308</v>
      </c>
      <c r="U201" s="10">
        <v>9485547425</v>
      </c>
      <c r="V201" s="12" t="s">
        <v>265</v>
      </c>
      <c r="W201" t="str">
        <f t="shared" si="23"/>
        <v>Blacklisted</v>
      </c>
      <c r="X201" t="str">
        <f t="shared" si="24"/>
        <v>Priya Patel</v>
      </c>
      <c r="Y201" t="str">
        <f t="shared" si="22"/>
        <v>Pri002Ja</v>
      </c>
      <c r="Z201" t="str">
        <f t="shared" si="25"/>
        <v>priya.patel@company.com</v>
      </c>
      <c r="AA201" t="str">
        <f t="shared" ca="1" si="28"/>
        <v/>
      </c>
      <c r="AB201" t="str">
        <f t="shared" si="26"/>
        <v/>
      </c>
      <c r="AC201" t="str">
        <f t="shared" si="27"/>
        <v>Delayed</v>
      </c>
    </row>
    <row r="202" spans="1:29">
      <c r="A202" s="33" t="s">
        <v>687</v>
      </c>
      <c r="B202" s="5" t="s">
        <v>346</v>
      </c>
      <c r="C202" s="5" t="s">
        <v>267</v>
      </c>
      <c r="D202" s="6">
        <v>45810</v>
      </c>
      <c r="E202" s="6">
        <v>45902</v>
      </c>
      <c r="F202" s="5" t="s">
        <v>348</v>
      </c>
      <c r="G202" s="5" t="s">
        <v>269</v>
      </c>
      <c r="H202" s="6">
        <v>34742</v>
      </c>
      <c r="I202" s="5" t="s">
        <v>306</v>
      </c>
      <c r="J202" s="5" t="s">
        <v>287</v>
      </c>
      <c r="K202" s="5" t="s">
        <v>243</v>
      </c>
      <c r="L202" s="5" t="s">
        <v>271</v>
      </c>
      <c r="M202" s="5">
        <v>18</v>
      </c>
      <c r="N202" s="5">
        <v>1200</v>
      </c>
      <c r="O202" s="5">
        <v>15</v>
      </c>
      <c r="P202" s="5">
        <v>18360</v>
      </c>
      <c r="Q202" s="5">
        <v>2</v>
      </c>
      <c r="R202" s="5" t="s">
        <v>245</v>
      </c>
      <c r="S202" s="5" t="s">
        <v>255</v>
      </c>
      <c r="T202" s="5" t="s">
        <v>350</v>
      </c>
      <c r="U202" s="5">
        <v>9889733076</v>
      </c>
      <c r="V202" s="8" t="s">
        <v>265</v>
      </c>
      <c r="W202" t="str">
        <f t="shared" si="23"/>
        <v>Blacklisted</v>
      </c>
      <c r="X202" t="str">
        <f t="shared" si="24"/>
        <v>Vikas Mehta</v>
      </c>
      <c r="Y202" t="str">
        <f t="shared" si="22"/>
        <v>Vik005Ah</v>
      </c>
      <c r="Z202" t="str">
        <f t="shared" si="25"/>
        <v>vikas.mehta@company.com</v>
      </c>
      <c r="AA202" t="str">
        <f t="shared" ca="1" si="28"/>
        <v/>
      </c>
      <c r="AB202" t="str">
        <f t="shared" si="26"/>
        <v/>
      </c>
      <c r="AC202" t="str">
        <f t="shared" si="27"/>
        <v>Delayed</v>
      </c>
    </row>
    <row r="203" spans="1:29">
      <c r="A203" s="34" t="s">
        <v>688</v>
      </c>
      <c r="B203" s="10" t="s">
        <v>266</v>
      </c>
      <c r="C203" s="10" t="s">
        <v>362</v>
      </c>
      <c r="D203" s="10" t="s">
        <v>133</v>
      </c>
      <c r="E203" s="10" t="s">
        <v>689</v>
      </c>
      <c r="F203" s="10" t="s">
        <v>268</v>
      </c>
      <c r="G203" s="10" t="s">
        <v>269</v>
      </c>
      <c r="H203" s="11">
        <v>31327</v>
      </c>
      <c r="I203" s="10" t="s">
        <v>252</v>
      </c>
      <c r="J203" s="10" t="s">
        <v>242</v>
      </c>
      <c r="K203" s="10" t="s">
        <v>295</v>
      </c>
      <c r="L203" s="10" t="s">
        <v>363</v>
      </c>
      <c r="M203" s="10">
        <v>2</v>
      </c>
      <c r="N203" s="10">
        <v>45</v>
      </c>
      <c r="O203" s="10">
        <v>15</v>
      </c>
      <c r="P203" s="10">
        <v>76.5</v>
      </c>
      <c r="Q203" s="10">
        <v>5</v>
      </c>
      <c r="R203" s="10" t="s">
        <v>254</v>
      </c>
      <c r="S203" s="10" t="s">
        <v>246</v>
      </c>
      <c r="T203" s="10" t="s">
        <v>273</v>
      </c>
      <c r="U203" s="10">
        <v>9145434449</v>
      </c>
      <c r="V203" s="12" t="s">
        <v>265</v>
      </c>
      <c r="W203" t="str">
        <f t="shared" si="23"/>
        <v>Blacklisted</v>
      </c>
      <c r="X203" t="str">
        <f t="shared" si="24"/>
        <v>Mohit Verma</v>
      </c>
      <c r="Y203" t="str">
        <f t="shared" si="22"/>
        <v>Moh009Hy</v>
      </c>
      <c r="Z203" t="str">
        <f t="shared" si="25"/>
        <v>mohit.verma@company.com</v>
      </c>
      <c r="AA203">
        <f t="shared" ca="1" si="28"/>
        <v>31</v>
      </c>
      <c r="AB203">
        <f t="shared" si="26"/>
        <v>3</v>
      </c>
      <c r="AC203" t="str">
        <f t="shared" si="27"/>
        <v>On time</v>
      </c>
    </row>
    <row r="204" spans="1:29">
      <c r="A204" s="33" t="s">
        <v>690</v>
      </c>
      <c r="B204" s="5" t="s">
        <v>235</v>
      </c>
      <c r="C204" s="5" t="s">
        <v>322</v>
      </c>
      <c r="D204" s="6">
        <v>46174</v>
      </c>
      <c r="E204" s="6">
        <v>46357</v>
      </c>
      <c r="F204" s="5" t="s">
        <v>318</v>
      </c>
      <c r="G204" s="5" t="s">
        <v>239</v>
      </c>
      <c r="H204" s="5" t="s">
        <v>691</v>
      </c>
      <c r="I204" s="5" t="s">
        <v>241</v>
      </c>
      <c r="J204" s="5" t="s">
        <v>242</v>
      </c>
      <c r="K204" s="5" t="s">
        <v>15</v>
      </c>
      <c r="L204" s="5" t="s">
        <v>325</v>
      </c>
      <c r="M204" s="5">
        <v>20</v>
      </c>
      <c r="N204" s="5">
        <v>8500</v>
      </c>
      <c r="O204" s="5">
        <v>0</v>
      </c>
      <c r="P204" s="5">
        <v>170000</v>
      </c>
      <c r="Q204" s="5">
        <v>4</v>
      </c>
      <c r="R204" s="5" t="s">
        <v>245</v>
      </c>
      <c r="S204" s="5" t="s">
        <v>246</v>
      </c>
      <c r="T204" s="5" t="s">
        <v>247</v>
      </c>
      <c r="U204" s="5">
        <v>9598942148</v>
      </c>
      <c r="V204" s="8" t="s">
        <v>265</v>
      </c>
      <c r="W204" t="str">
        <f t="shared" si="23"/>
        <v>Blacklisted</v>
      </c>
      <c r="X204" t="str">
        <f t="shared" si="24"/>
        <v>Pooja Shah</v>
      </c>
      <c r="Y204" t="str">
        <f t="shared" si="22"/>
        <v>Poo010Be</v>
      </c>
      <c r="Z204" t="str">
        <f t="shared" si="25"/>
        <v>pooja.shah@company.com</v>
      </c>
      <c r="AA204">
        <f t="shared" ca="1" si="28"/>
        <v>41</v>
      </c>
      <c r="AB204" t="str">
        <f t="shared" si="26"/>
        <v/>
      </c>
      <c r="AC204" t="str">
        <f t="shared" si="27"/>
        <v>Delayed</v>
      </c>
    </row>
    <row r="205" spans="1:29">
      <c r="A205" s="34" t="s">
        <v>692</v>
      </c>
      <c r="B205" s="10" t="s">
        <v>299</v>
      </c>
      <c r="C205" s="10" t="s">
        <v>280</v>
      </c>
      <c r="D205" s="11">
        <v>46237</v>
      </c>
      <c r="E205" s="11">
        <v>46268</v>
      </c>
      <c r="F205" s="10" t="s">
        <v>301</v>
      </c>
      <c r="G205" s="10" t="s">
        <v>269</v>
      </c>
      <c r="H205" s="10" t="s">
        <v>464</v>
      </c>
      <c r="I205" s="10" t="s">
        <v>342</v>
      </c>
      <c r="J205" s="10" t="s">
        <v>261</v>
      </c>
      <c r="K205" s="10" t="s">
        <v>15</v>
      </c>
      <c r="L205" s="10" t="s">
        <v>282</v>
      </c>
      <c r="M205" s="10">
        <v>6</v>
      </c>
      <c r="N205" s="10">
        <v>3500</v>
      </c>
      <c r="O205" s="10">
        <v>5</v>
      </c>
      <c r="P205" s="10">
        <v>19950</v>
      </c>
      <c r="Q205" s="10">
        <v>1</v>
      </c>
      <c r="R205" s="10" t="s">
        <v>254</v>
      </c>
      <c r="S205" s="10" t="s">
        <v>312</v>
      </c>
      <c r="T205" s="10" t="s">
        <v>302</v>
      </c>
      <c r="U205" s="10">
        <v>9599252705</v>
      </c>
      <c r="V205" s="12" t="s">
        <v>257</v>
      </c>
      <c r="W205" t="str">
        <f t="shared" si="23"/>
        <v>Blacklisted</v>
      </c>
      <c r="X205" t="str">
        <f t="shared" si="24"/>
        <v>Rohit Singh</v>
      </c>
      <c r="Y205" t="str">
        <f t="shared" si="22"/>
        <v>Roh003Ja</v>
      </c>
      <c r="Z205" t="str">
        <f t="shared" si="25"/>
        <v>rohit.singh@company.com</v>
      </c>
      <c r="AA205" t="str">
        <f t="shared" ca="1" si="28"/>
        <v/>
      </c>
      <c r="AB205" t="str">
        <f t="shared" si="26"/>
        <v/>
      </c>
      <c r="AC205" t="str">
        <f t="shared" si="27"/>
        <v>Delayed</v>
      </c>
    </row>
    <row r="206" spans="1:29">
      <c r="A206" s="33" t="s">
        <v>693</v>
      </c>
      <c r="B206" s="5" t="s">
        <v>321</v>
      </c>
      <c r="C206" s="5" t="s">
        <v>362</v>
      </c>
      <c r="D206" s="6">
        <v>45787</v>
      </c>
      <c r="E206" s="6">
        <v>45910</v>
      </c>
      <c r="F206" s="5" t="s">
        <v>408</v>
      </c>
      <c r="G206" s="5" t="s">
        <v>239</v>
      </c>
      <c r="H206" s="5" t="s">
        <v>694</v>
      </c>
      <c r="I206" s="5" t="s">
        <v>291</v>
      </c>
      <c r="J206" s="5" t="s">
        <v>287</v>
      </c>
      <c r="K206" s="5" t="s">
        <v>295</v>
      </c>
      <c r="L206" s="5" t="s">
        <v>363</v>
      </c>
      <c r="M206" s="5">
        <v>8</v>
      </c>
      <c r="N206" s="5">
        <v>45</v>
      </c>
      <c r="O206" s="5">
        <v>5</v>
      </c>
      <c r="P206" s="5">
        <v>342</v>
      </c>
      <c r="Q206" s="5">
        <v>2</v>
      </c>
      <c r="R206" s="5" t="s">
        <v>254</v>
      </c>
      <c r="S206" s="5" t="s">
        <v>263</v>
      </c>
      <c r="T206" s="5" t="s">
        <v>326</v>
      </c>
      <c r="U206" s="5">
        <v>9626843681</v>
      </c>
      <c r="V206" s="8" t="s">
        <v>248</v>
      </c>
      <c r="W206" t="str">
        <f t="shared" si="23"/>
        <v>Blacklisted</v>
      </c>
      <c r="X206" t="str">
        <f t="shared" si="24"/>
        <v>Anita Gupta</v>
      </c>
      <c r="Y206" t="str">
        <f t="shared" si="22"/>
        <v>Ani004Pu</v>
      </c>
      <c r="Z206" t="str">
        <f t="shared" si="25"/>
        <v>anita.gupta@company.com</v>
      </c>
      <c r="AA206" t="str">
        <f t="shared" ca="1" si="28"/>
        <v/>
      </c>
      <c r="AB206" t="str">
        <f t="shared" si="26"/>
        <v/>
      </c>
      <c r="AC206" t="str">
        <f t="shared" si="27"/>
        <v>Delayed</v>
      </c>
    </row>
    <row r="207" spans="1:29">
      <c r="A207" s="34" t="s">
        <v>695</v>
      </c>
      <c r="B207" s="10" t="s">
        <v>392</v>
      </c>
      <c r="C207" s="10" t="s">
        <v>250</v>
      </c>
      <c r="D207" s="11">
        <v>45811</v>
      </c>
      <c r="E207" s="11">
        <v>45994</v>
      </c>
      <c r="F207" s="10" t="s">
        <v>323</v>
      </c>
      <c r="G207" s="10" t="s">
        <v>269</v>
      </c>
      <c r="H207" s="11">
        <v>29261</v>
      </c>
      <c r="I207" s="10" t="s">
        <v>286</v>
      </c>
      <c r="J207" s="10" t="s">
        <v>287</v>
      </c>
      <c r="K207" s="10" t="s">
        <v>15</v>
      </c>
      <c r="L207" s="10" t="s">
        <v>253</v>
      </c>
      <c r="M207" s="10">
        <v>18</v>
      </c>
      <c r="N207" s="10">
        <v>2200</v>
      </c>
      <c r="O207" s="10">
        <v>15</v>
      </c>
      <c r="P207" s="10">
        <v>33660</v>
      </c>
      <c r="Q207" s="10">
        <v>4</v>
      </c>
      <c r="R207" s="10" t="s">
        <v>272</v>
      </c>
      <c r="S207" s="10" t="s">
        <v>246</v>
      </c>
      <c r="T207" s="10" t="s">
        <v>395</v>
      </c>
      <c r="U207" s="10">
        <v>9934933215</v>
      </c>
      <c r="V207" s="12" t="s">
        <v>248</v>
      </c>
      <c r="W207" t="str">
        <f t="shared" si="23"/>
        <v/>
      </c>
      <c r="X207" t="str">
        <f t="shared" si="24"/>
        <v>Amit Sharma</v>
      </c>
      <c r="Y207" t="str">
        <f t="shared" si="22"/>
        <v>Ami001Mu</v>
      </c>
      <c r="Z207" t="str">
        <f t="shared" si="25"/>
        <v>amit.sharma@company.com</v>
      </c>
      <c r="AA207" t="str">
        <f t="shared" ca="1" si="28"/>
        <v/>
      </c>
      <c r="AB207" t="str">
        <f t="shared" si="26"/>
        <v/>
      </c>
      <c r="AC207" t="str">
        <f t="shared" si="27"/>
        <v>Delayed</v>
      </c>
    </row>
    <row r="208" spans="1:29">
      <c r="A208" s="33" t="s">
        <v>696</v>
      </c>
      <c r="B208" s="5" t="s">
        <v>346</v>
      </c>
      <c r="C208" s="5" t="s">
        <v>330</v>
      </c>
      <c r="D208" s="6">
        <v>46177</v>
      </c>
      <c r="E208" s="5" t="s">
        <v>33</v>
      </c>
      <c r="F208" s="5" t="s">
        <v>348</v>
      </c>
      <c r="G208" s="5" t="s">
        <v>269</v>
      </c>
      <c r="H208" s="5" t="s">
        <v>697</v>
      </c>
      <c r="I208" s="5" t="s">
        <v>252</v>
      </c>
      <c r="J208" s="5" t="s">
        <v>242</v>
      </c>
      <c r="K208" s="5" t="s">
        <v>243</v>
      </c>
      <c r="L208" s="5" t="s">
        <v>333</v>
      </c>
      <c r="M208" s="5">
        <v>18</v>
      </c>
      <c r="N208" s="5">
        <v>700</v>
      </c>
      <c r="O208" s="5">
        <v>15</v>
      </c>
      <c r="P208" s="5">
        <v>10710</v>
      </c>
      <c r="Q208" s="5">
        <v>3</v>
      </c>
      <c r="R208" s="5" t="s">
        <v>272</v>
      </c>
      <c r="S208" s="5" t="s">
        <v>312</v>
      </c>
      <c r="T208" s="5" t="s">
        <v>350</v>
      </c>
      <c r="U208" s="5">
        <v>9508025585</v>
      </c>
      <c r="V208" s="8" t="s">
        <v>265</v>
      </c>
      <c r="W208" t="str">
        <f t="shared" si="23"/>
        <v>Blacklisted</v>
      </c>
      <c r="X208" t="str">
        <f t="shared" si="24"/>
        <v>Vikas Mehta</v>
      </c>
      <c r="Y208" t="str">
        <f t="shared" si="22"/>
        <v>Vik005Hy</v>
      </c>
      <c r="Z208" t="str">
        <f t="shared" si="25"/>
        <v>vikas.mehta@company.com</v>
      </c>
      <c r="AA208">
        <f t="shared" ca="1" si="28"/>
        <v>46</v>
      </c>
      <c r="AB208" t="str">
        <f t="shared" si="26"/>
        <v/>
      </c>
      <c r="AC208" t="str">
        <f t="shared" si="27"/>
        <v>Delayed</v>
      </c>
    </row>
    <row r="209" spans="1:29">
      <c r="A209" s="34" t="s">
        <v>698</v>
      </c>
      <c r="B209" s="10" t="s">
        <v>392</v>
      </c>
      <c r="C209" s="10" t="s">
        <v>236</v>
      </c>
      <c r="D209" s="10" t="s">
        <v>54</v>
      </c>
      <c r="E209" s="10" t="s">
        <v>699</v>
      </c>
      <c r="F209" s="10" t="s">
        <v>323</v>
      </c>
      <c r="G209" s="10" t="s">
        <v>269</v>
      </c>
      <c r="H209" s="10" t="s">
        <v>700</v>
      </c>
      <c r="I209" s="10" t="s">
        <v>291</v>
      </c>
      <c r="J209" s="10" t="s">
        <v>287</v>
      </c>
      <c r="K209" s="10" t="s">
        <v>243</v>
      </c>
      <c r="L209" s="10" t="s">
        <v>244</v>
      </c>
      <c r="M209" s="10">
        <v>12</v>
      </c>
      <c r="N209" s="10">
        <v>55000</v>
      </c>
      <c r="O209" s="10">
        <v>0</v>
      </c>
      <c r="P209" s="10">
        <v>660000</v>
      </c>
      <c r="Q209" s="10">
        <v>2</v>
      </c>
      <c r="R209" s="10" t="s">
        <v>277</v>
      </c>
      <c r="S209" s="10" t="s">
        <v>263</v>
      </c>
      <c r="T209" s="10" t="s">
        <v>395</v>
      </c>
      <c r="U209" s="10">
        <v>9364681052</v>
      </c>
      <c r="V209" s="12" t="s">
        <v>265</v>
      </c>
      <c r="W209" t="str">
        <f t="shared" si="23"/>
        <v>Blacklisted</v>
      </c>
      <c r="X209" t="str">
        <f t="shared" si="24"/>
        <v>Amit Sharma</v>
      </c>
      <c r="Y209" t="str">
        <f t="shared" si="22"/>
        <v>Ami001Pu</v>
      </c>
      <c r="Z209" t="str">
        <f t="shared" si="25"/>
        <v>amit.sharma@company.com</v>
      </c>
      <c r="AA209" t="str">
        <f t="shared" ca="1" si="28"/>
        <v/>
      </c>
      <c r="AB209">
        <f t="shared" si="26"/>
        <v>3</v>
      </c>
      <c r="AC209" t="str">
        <f t="shared" si="27"/>
        <v>On time</v>
      </c>
    </row>
    <row r="210" spans="1:29">
      <c r="A210" s="33" t="s">
        <v>701</v>
      </c>
      <c r="B210" s="5" t="s">
        <v>249</v>
      </c>
      <c r="C210" s="5" t="s">
        <v>258</v>
      </c>
      <c r="D210" s="5" t="s">
        <v>38</v>
      </c>
      <c r="E210" s="5" t="s">
        <v>702</v>
      </c>
      <c r="F210" s="5" t="s">
        <v>251</v>
      </c>
      <c r="G210" s="5" t="s">
        <v>239</v>
      </c>
      <c r="H210" s="6">
        <v>35105</v>
      </c>
      <c r="I210" s="5" t="s">
        <v>286</v>
      </c>
      <c r="J210" s="5" t="s">
        <v>287</v>
      </c>
      <c r="K210" s="5" t="s">
        <v>243</v>
      </c>
      <c r="L210" s="5" t="s">
        <v>262</v>
      </c>
      <c r="M210" s="5">
        <v>7</v>
      </c>
      <c r="N210" s="5">
        <v>12000</v>
      </c>
      <c r="O210" s="5">
        <v>5</v>
      </c>
      <c r="P210" s="5">
        <v>79800</v>
      </c>
      <c r="Q210" s="5">
        <v>3</v>
      </c>
      <c r="R210" s="5" t="s">
        <v>272</v>
      </c>
      <c r="S210" s="5" t="s">
        <v>312</v>
      </c>
      <c r="T210" s="5" t="s">
        <v>264</v>
      </c>
      <c r="U210" s="5">
        <v>9117102884</v>
      </c>
      <c r="V210" s="8" t="s">
        <v>248</v>
      </c>
      <c r="W210" t="str">
        <f t="shared" si="23"/>
        <v/>
      </c>
      <c r="X210" t="str">
        <f t="shared" si="24"/>
        <v>Kavya Nair</v>
      </c>
      <c r="Y210" t="str">
        <f t="shared" si="22"/>
        <v>Kav008Mu</v>
      </c>
      <c r="Z210" t="str">
        <f t="shared" si="25"/>
        <v>kavya.nair@company.com</v>
      </c>
      <c r="AA210" t="str">
        <f t="shared" ca="1" si="28"/>
        <v/>
      </c>
      <c r="AB210">
        <f t="shared" si="26"/>
        <v>9</v>
      </c>
      <c r="AC210" t="str">
        <f t="shared" si="27"/>
        <v>Delayed</v>
      </c>
    </row>
    <row r="211" spans="1:29">
      <c r="A211" s="34" t="s">
        <v>703</v>
      </c>
      <c r="B211" s="10" t="s">
        <v>358</v>
      </c>
      <c r="C211" s="10" t="s">
        <v>258</v>
      </c>
      <c r="D211" s="10" t="s">
        <v>104</v>
      </c>
      <c r="E211" s="10" t="s">
        <v>300</v>
      </c>
      <c r="F211" s="10" t="s">
        <v>359</v>
      </c>
      <c r="G211" s="10" t="s">
        <v>239</v>
      </c>
      <c r="H211" s="10" t="s">
        <v>704</v>
      </c>
      <c r="I211" s="10" t="s">
        <v>286</v>
      </c>
      <c r="J211" s="10" t="s">
        <v>287</v>
      </c>
      <c r="K211" s="10" t="s">
        <v>243</v>
      </c>
      <c r="L211" s="10" t="s">
        <v>262</v>
      </c>
      <c r="M211" s="10">
        <v>8</v>
      </c>
      <c r="N211" s="10">
        <v>12000</v>
      </c>
      <c r="O211" s="10">
        <v>15</v>
      </c>
      <c r="P211" s="10">
        <v>81600</v>
      </c>
      <c r="Q211" s="10">
        <v>4</v>
      </c>
      <c r="R211" s="10" t="s">
        <v>272</v>
      </c>
      <c r="S211" s="10" t="s">
        <v>263</v>
      </c>
      <c r="T211" s="10" t="s">
        <v>360</v>
      </c>
      <c r="U211" s="10">
        <v>9819453185</v>
      </c>
      <c r="V211" s="12" t="s">
        <v>257</v>
      </c>
      <c r="W211" t="str">
        <f t="shared" si="23"/>
        <v>Gold</v>
      </c>
      <c r="X211" t="str">
        <f t="shared" si="24"/>
        <v>Sneha Joshi</v>
      </c>
      <c r="Y211" t="str">
        <f t="shared" si="22"/>
        <v>Sne006Mu</v>
      </c>
      <c r="Z211" t="str">
        <f t="shared" si="25"/>
        <v>sneha.joshi@company.com</v>
      </c>
      <c r="AA211">
        <f t="shared" ca="1" si="28"/>
        <v>30</v>
      </c>
      <c r="AB211">
        <f t="shared" si="26"/>
        <v>2</v>
      </c>
      <c r="AC211" t="str">
        <f t="shared" si="27"/>
        <v>On time</v>
      </c>
    </row>
    <row r="212" spans="1:29">
      <c r="A212" s="33" t="s">
        <v>705</v>
      </c>
      <c r="B212" s="5" t="s">
        <v>392</v>
      </c>
      <c r="C212" s="5" t="s">
        <v>280</v>
      </c>
      <c r="D212" s="5" t="s">
        <v>73</v>
      </c>
      <c r="E212" s="5" t="s">
        <v>172</v>
      </c>
      <c r="F212" s="5" t="s">
        <v>323</v>
      </c>
      <c r="G212" s="5" t="s">
        <v>269</v>
      </c>
      <c r="H212" s="6">
        <v>32032</v>
      </c>
      <c r="I212" s="5" t="s">
        <v>286</v>
      </c>
      <c r="J212" s="5" t="s">
        <v>287</v>
      </c>
      <c r="K212" s="5" t="s">
        <v>15</v>
      </c>
      <c r="L212" s="5" t="s">
        <v>282</v>
      </c>
      <c r="M212" s="5">
        <v>19</v>
      </c>
      <c r="N212" s="5">
        <v>3500</v>
      </c>
      <c r="O212" s="5">
        <v>5</v>
      </c>
      <c r="P212" s="5">
        <v>63175</v>
      </c>
      <c r="Q212" s="5">
        <v>3</v>
      </c>
      <c r="R212" s="5" t="s">
        <v>272</v>
      </c>
      <c r="S212" s="5" t="s">
        <v>246</v>
      </c>
      <c r="T212" s="5" t="s">
        <v>395</v>
      </c>
      <c r="U212" s="5">
        <v>9511806701</v>
      </c>
      <c r="V212" s="8" t="s">
        <v>248</v>
      </c>
      <c r="W212" t="str">
        <f t="shared" si="23"/>
        <v/>
      </c>
      <c r="X212" t="str">
        <f t="shared" si="24"/>
        <v>Amit Sharma</v>
      </c>
      <c r="Y212" t="str">
        <f t="shared" si="22"/>
        <v>Ami001Mu</v>
      </c>
      <c r="Z212" t="str">
        <f t="shared" si="25"/>
        <v>amit.sharma@company.com</v>
      </c>
      <c r="AA212" t="str">
        <f t="shared" ca="1" si="28"/>
        <v/>
      </c>
      <c r="AB212">
        <f t="shared" si="26"/>
        <v>9</v>
      </c>
      <c r="AC212" t="str">
        <f t="shared" si="27"/>
        <v>Delayed</v>
      </c>
    </row>
    <row r="213" spans="1:29">
      <c r="A213" s="34" t="s">
        <v>706</v>
      </c>
      <c r="B213" s="10" t="s">
        <v>358</v>
      </c>
      <c r="C213" s="10" t="s">
        <v>362</v>
      </c>
      <c r="D213" s="11">
        <v>45810</v>
      </c>
      <c r="E213" s="10" t="s">
        <v>42</v>
      </c>
      <c r="F213" s="10" t="s">
        <v>359</v>
      </c>
      <c r="G213" s="10" t="s">
        <v>239</v>
      </c>
      <c r="H213" s="10" t="s">
        <v>707</v>
      </c>
      <c r="I213" s="10" t="s">
        <v>306</v>
      </c>
      <c r="J213" s="10" t="s">
        <v>287</v>
      </c>
      <c r="K213" s="10" t="s">
        <v>295</v>
      </c>
      <c r="L213" s="10" t="s">
        <v>363</v>
      </c>
      <c r="M213" s="10">
        <v>7</v>
      </c>
      <c r="N213" s="10">
        <v>45</v>
      </c>
      <c r="O213" s="10">
        <v>5</v>
      </c>
      <c r="P213" s="10">
        <v>299.25</v>
      </c>
      <c r="Q213" s="10">
        <v>3</v>
      </c>
      <c r="R213" s="10" t="s">
        <v>272</v>
      </c>
      <c r="S213" s="10" t="s">
        <v>255</v>
      </c>
      <c r="T213" s="10" t="s">
        <v>360</v>
      </c>
      <c r="U213" s="10">
        <v>9875249891</v>
      </c>
      <c r="V213" s="12" t="s">
        <v>265</v>
      </c>
      <c r="W213" t="str">
        <f t="shared" si="23"/>
        <v>Blacklisted</v>
      </c>
      <c r="X213" t="str">
        <f t="shared" si="24"/>
        <v>Sneha Joshi</v>
      </c>
      <c r="Y213" t="str">
        <f t="shared" si="22"/>
        <v>Sne006Ah</v>
      </c>
      <c r="Z213" t="str">
        <f t="shared" si="25"/>
        <v>sneha.joshi@company.com</v>
      </c>
      <c r="AA213">
        <f t="shared" ca="1" si="28"/>
        <v>39</v>
      </c>
      <c r="AB213" t="str">
        <f t="shared" si="26"/>
        <v/>
      </c>
      <c r="AC213" t="str">
        <f t="shared" si="27"/>
        <v>Delayed</v>
      </c>
    </row>
    <row r="214" spans="1:29">
      <c r="A214" s="33" t="s">
        <v>708</v>
      </c>
      <c r="B214" s="5" t="s">
        <v>249</v>
      </c>
      <c r="C214" s="5" t="s">
        <v>294</v>
      </c>
      <c r="D214" s="6">
        <v>45694</v>
      </c>
      <c r="E214" s="6">
        <v>45875</v>
      </c>
      <c r="F214" s="5" t="s">
        <v>251</v>
      </c>
      <c r="G214" s="5" t="s">
        <v>239</v>
      </c>
      <c r="H214" s="6">
        <v>33489</v>
      </c>
      <c r="I214" s="5" t="s">
        <v>252</v>
      </c>
      <c r="J214" s="5" t="s">
        <v>242</v>
      </c>
      <c r="K214" s="5" t="s">
        <v>295</v>
      </c>
      <c r="L214" s="5" t="s">
        <v>296</v>
      </c>
      <c r="M214" s="5">
        <v>3</v>
      </c>
      <c r="N214" s="5">
        <v>60</v>
      </c>
      <c r="O214" s="5">
        <v>15</v>
      </c>
      <c r="P214" s="5">
        <v>153</v>
      </c>
      <c r="Q214" s="5">
        <v>3</v>
      </c>
      <c r="R214" s="5" t="s">
        <v>245</v>
      </c>
      <c r="S214" s="5" t="s">
        <v>263</v>
      </c>
      <c r="T214" s="5" t="s">
        <v>264</v>
      </c>
      <c r="U214" s="5">
        <v>9438232503</v>
      </c>
      <c r="V214" s="8" t="s">
        <v>265</v>
      </c>
      <c r="W214" t="str">
        <f t="shared" si="23"/>
        <v>Blacklisted</v>
      </c>
      <c r="X214" t="str">
        <f t="shared" si="24"/>
        <v>Kavya Nair</v>
      </c>
      <c r="Y214" t="str">
        <f t="shared" si="22"/>
        <v>Kav008Hy</v>
      </c>
      <c r="Z214" t="str">
        <f t="shared" si="25"/>
        <v>kavya.nair@company.com</v>
      </c>
      <c r="AA214" t="str">
        <f t="shared" ca="1" si="28"/>
        <v/>
      </c>
      <c r="AB214" t="str">
        <f t="shared" si="26"/>
        <v/>
      </c>
      <c r="AC214" t="str">
        <f t="shared" si="27"/>
        <v>Delayed</v>
      </c>
    </row>
    <row r="215" spans="1:29">
      <c r="A215" s="34" t="s">
        <v>709</v>
      </c>
      <c r="B215" s="10" t="s">
        <v>235</v>
      </c>
      <c r="C215" s="10" t="s">
        <v>362</v>
      </c>
      <c r="D215" s="10" t="s">
        <v>111</v>
      </c>
      <c r="E215" s="11">
        <v>46117</v>
      </c>
      <c r="F215" s="10" t="s">
        <v>318</v>
      </c>
      <c r="G215" s="10" t="s">
        <v>239</v>
      </c>
      <c r="H215" s="10" t="s">
        <v>710</v>
      </c>
      <c r="I215" s="10" t="s">
        <v>291</v>
      </c>
      <c r="J215" s="10" t="s">
        <v>287</v>
      </c>
      <c r="K215" s="10" t="s">
        <v>295</v>
      </c>
      <c r="L215" s="10" t="s">
        <v>363</v>
      </c>
      <c r="M215" s="10">
        <v>19</v>
      </c>
      <c r="N215" s="10">
        <v>45</v>
      </c>
      <c r="O215" s="10">
        <v>0</v>
      </c>
      <c r="P215" s="10">
        <v>855</v>
      </c>
      <c r="Q215" s="10">
        <v>2</v>
      </c>
      <c r="R215" s="10" t="s">
        <v>254</v>
      </c>
      <c r="S215" s="10" t="s">
        <v>246</v>
      </c>
      <c r="T215" s="10" t="s">
        <v>247</v>
      </c>
      <c r="U215" s="10">
        <v>9449953754</v>
      </c>
      <c r="V215" s="12" t="s">
        <v>257</v>
      </c>
      <c r="W215" t="str">
        <f t="shared" si="23"/>
        <v>Blacklisted</v>
      </c>
      <c r="X215" t="str">
        <f t="shared" si="24"/>
        <v>Pooja Shah</v>
      </c>
      <c r="Y215" t="str">
        <f t="shared" si="22"/>
        <v>Poo010Pu</v>
      </c>
      <c r="Z215" t="str">
        <f t="shared" si="25"/>
        <v>pooja.shah@company.com</v>
      </c>
      <c r="AA215">
        <f t="shared" ca="1" si="28"/>
        <v>35</v>
      </c>
      <c r="AB215" t="str">
        <f t="shared" si="26"/>
        <v/>
      </c>
      <c r="AC215" t="str">
        <f t="shared" si="27"/>
        <v>Delayed</v>
      </c>
    </row>
    <row r="216" spans="1:29">
      <c r="A216" s="33" t="s">
        <v>711</v>
      </c>
      <c r="B216" s="5" t="s">
        <v>284</v>
      </c>
      <c r="C216" s="5" t="s">
        <v>258</v>
      </c>
      <c r="D216" s="6">
        <v>46176</v>
      </c>
      <c r="E216" s="5" t="s">
        <v>44</v>
      </c>
      <c r="F216" s="5" t="s">
        <v>285</v>
      </c>
      <c r="G216" s="5" t="s">
        <v>239</v>
      </c>
      <c r="H216" s="6">
        <v>34795</v>
      </c>
      <c r="I216" s="5" t="s">
        <v>241</v>
      </c>
      <c r="J216" s="5" t="s">
        <v>242</v>
      </c>
      <c r="K216" s="5" t="s">
        <v>243</v>
      </c>
      <c r="L216" s="5" t="s">
        <v>262</v>
      </c>
      <c r="M216" s="5">
        <v>10</v>
      </c>
      <c r="N216" s="5">
        <v>12000</v>
      </c>
      <c r="O216" s="5">
        <v>5</v>
      </c>
      <c r="P216" s="5">
        <v>114000</v>
      </c>
      <c r="Q216" s="5">
        <v>1</v>
      </c>
      <c r="R216" s="5" t="s">
        <v>272</v>
      </c>
      <c r="S216" s="5" t="s">
        <v>292</v>
      </c>
      <c r="T216" s="5" t="s">
        <v>308</v>
      </c>
      <c r="U216" s="5">
        <v>9833801891</v>
      </c>
      <c r="V216" s="8" t="s">
        <v>265</v>
      </c>
      <c r="W216" t="str">
        <f t="shared" si="23"/>
        <v>Blacklisted</v>
      </c>
      <c r="X216" t="str">
        <f t="shared" si="24"/>
        <v>Priya Patel</v>
      </c>
      <c r="Y216" t="str">
        <f t="shared" si="22"/>
        <v>Pri002Be</v>
      </c>
      <c r="Z216" t="str">
        <f t="shared" si="25"/>
        <v>priya.patel@company.com</v>
      </c>
      <c r="AA216" t="str">
        <f t="shared" ca="1" si="28"/>
        <v/>
      </c>
      <c r="AB216" t="str">
        <f t="shared" si="26"/>
        <v/>
      </c>
      <c r="AC216" t="str">
        <f t="shared" si="27"/>
        <v>Delayed</v>
      </c>
    </row>
    <row r="217" spans="1:29">
      <c r="A217" s="34" t="s">
        <v>712</v>
      </c>
      <c r="B217" s="10" t="s">
        <v>249</v>
      </c>
      <c r="C217" s="10" t="s">
        <v>267</v>
      </c>
      <c r="D217" s="10" t="s">
        <v>175</v>
      </c>
      <c r="E217" s="11">
        <v>45994</v>
      </c>
      <c r="F217" s="10" t="s">
        <v>251</v>
      </c>
      <c r="G217" s="10" t="s">
        <v>239</v>
      </c>
      <c r="H217" s="10" t="s">
        <v>713</v>
      </c>
      <c r="I217" s="10" t="s">
        <v>379</v>
      </c>
      <c r="J217" s="10" t="s">
        <v>21</v>
      </c>
      <c r="K217" s="10" t="s">
        <v>243</v>
      </c>
      <c r="L217" s="10" t="s">
        <v>271</v>
      </c>
      <c r="M217" s="10">
        <v>4</v>
      </c>
      <c r="N217" s="10">
        <v>1200</v>
      </c>
      <c r="O217" s="10">
        <v>0</v>
      </c>
      <c r="P217" s="10">
        <v>4800</v>
      </c>
      <c r="Q217" s="10">
        <v>4</v>
      </c>
      <c r="R217" s="10" t="s">
        <v>254</v>
      </c>
      <c r="S217" s="10" t="s">
        <v>246</v>
      </c>
      <c r="T217" s="10" t="s">
        <v>264</v>
      </c>
      <c r="U217" s="10">
        <v>9183949273</v>
      </c>
      <c r="V217" s="12" t="s">
        <v>257</v>
      </c>
      <c r="W217" t="str">
        <f t="shared" si="23"/>
        <v>Silver</v>
      </c>
      <c r="X217" t="str">
        <f t="shared" si="24"/>
        <v>Kavya Nair</v>
      </c>
      <c r="Y217" t="str">
        <f t="shared" si="22"/>
        <v>Kav008Ko</v>
      </c>
      <c r="Z217" t="str">
        <f t="shared" si="25"/>
        <v>kavya.nair@company.com</v>
      </c>
      <c r="AA217">
        <f t="shared" ca="1" si="28"/>
        <v>31</v>
      </c>
      <c r="AB217" t="str">
        <f t="shared" si="26"/>
        <v/>
      </c>
      <c r="AC217" t="str">
        <f t="shared" si="27"/>
        <v>Delayed</v>
      </c>
    </row>
    <row r="218" spans="1:29">
      <c r="A218" s="33" t="s">
        <v>714</v>
      </c>
      <c r="B218" s="5" t="s">
        <v>346</v>
      </c>
      <c r="C218" s="5" t="s">
        <v>322</v>
      </c>
      <c r="D218" s="5" t="s">
        <v>205</v>
      </c>
      <c r="E218" s="6">
        <v>45849</v>
      </c>
      <c r="F218" s="5" t="s">
        <v>348</v>
      </c>
      <c r="G218" s="5" t="s">
        <v>269</v>
      </c>
      <c r="H218" s="6">
        <v>31330</v>
      </c>
      <c r="I218" s="5" t="s">
        <v>241</v>
      </c>
      <c r="J218" s="5" t="s">
        <v>242</v>
      </c>
      <c r="K218" s="5" t="s">
        <v>15</v>
      </c>
      <c r="L218" s="5" t="s">
        <v>325</v>
      </c>
      <c r="M218" s="5">
        <v>2</v>
      </c>
      <c r="N218" s="5">
        <v>8500</v>
      </c>
      <c r="O218" s="5">
        <v>20</v>
      </c>
      <c r="P218" s="5">
        <v>13600</v>
      </c>
      <c r="Q218" s="5">
        <v>3</v>
      </c>
      <c r="R218" s="5" t="s">
        <v>272</v>
      </c>
      <c r="S218" s="5" t="s">
        <v>312</v>
      </c>
      <c r="T218" s="5" t="s">
        <v>350</v>
      </c>
      <c r="U218" s="5">
        <v>9168257367</v>
      </c>
      <c r="V218" s="8" t="s">
        <v>257</v>
      </c>
      <c r="W218" t="str">
        <f t="shared" si="23"/>
        <v>Silver</v>
      </c>
      <c r="X218" t="str">
        <f t="shared" si="24"/>
        <v>Vikas Mehta</v>
      </c>
      <c r="Y218" t="str">
        <f t="shared" si="22"/>
        <v>Vik005Be</v>
      </c>
      <c r="Z218" t="str">
        <f t="shared" si="25"/>
        <v>vikas.mehta@company.com</v>
      </c>
      <c r="AA218" t="str">
        <f t="shared" ca="1" si="28"/>
        <v/>
      </c>
      <c r="AB218" t="str">
        <f t="shared" si="26"/>
        <v/>
      </c>
      <c r="AC218" t="str">
        <f t="shared" si="27"/>
        <v>Delayed</v>
      </c>
    </row>
    <row r="219" spans="1:29">
      <c r="A219" s="34" t="s">
        <v>715</v>
      </c>
      <c r="B219" s="10" t="s">
        <v>275</v>
      </c>
      <c r="C219" s="10" t="s">
        <v>330</v>
      </c>
      <c r="D219" s="10" t="s">
        <v>194</v>
      </c>
      <c r="E219" s="11">
        <v>46236</v>
      </c>
      <c r="F219" s="10" t="s">
        <v>328</v>
      </c>
      <c r="G219" s="10" t="s">
        <v>269</v>
      </c>
      <c r="H219" s="11">
        <v>37438</v>
      </c>
      <c r="I219" s="10" t="s">
        <v>379</v>
      </c>
      <c r="J219" s="10" t="s">
        <v>21</v>
      </c>
      <c r="K219" s="10" t="s">
        <v>243</v>
      </c>
      <c r="L219" s="10" t="s">
        <v>333</v>
      </c>
      <c r="M219" s="10">
        <v>7</v>
      </c>
      <c r="N219" s="10">
        <v>700</v>
      </c>
      <c r="O219" s="10">
        <v>20</v>
      </c>
      <c r="P219" s="10">
        <v>3920</v>
      </c>
      <c r="Q219" s="10">
        <v>2</v>
      </c>
      <c r="R219" s="10" t="s">
        <v>272</v>
      </c>
      <c r="S219" s="10" t="s">
        <v>312</v>
      </c>
      <c r="T219" s="10" t="s">
        <v>278</v>
      </c>
      <c r="U219" s="10">
        <v>9580903210</v>
      </c>
      <c r="V219" s="12" t="s">
        <v>248</v>
      </c>
      <c r="W219" t="str">
        <f t="shared" si="23"/>
        <v>Blacklisted</v>
      </c>
      <c r="X219" t="str">
        <f t="shared" si="24"/>
        <v>Arjun Rao</v>
      </c>
      <c r="Y219" t="str">
        <f t="shared" si="22"/>
        <v>Arj007Ko</v>
      </c>
      <c r="Z219" t="str">
        <f t="shared" si="25"/>
        <v>arjun.rao@company.com</v>
      </c>
      <c r="AA219">
        <f t="shared" ca="1" si="28"/>
        <v>41</v>
      </c>
      <c r="AB219" t="str">
        <f t="shared" si="26"/>
        <v/>
      </c>
      <c r="AC219" t="str">
        <f t="shared" si="27"/>
        <v>Delayed</v>
      </c>
    </row>
    <row r="220" spans="1:29">
      <c r="A220" s="33" t="s">
        <v>716</v>
      </c>
      <c r="B220" s="5" t="s">
        <v>235</v>
      </c>
      <c r="C220" s="5" t="s">
        <v>347</v>
      </c>
      <c r="D220" s="5" t="s">
        <v>186</v>
      </c>
      <c r="E220" s="6">
        <v>46086</v>
      </c>
      <c r="F220" s="5" t="s">
        <v>318</v>
      </c>
      <c r="G220" s="5" t="s">
        <v>239</v>
      </c>
      <c r="H220" s="5" t="s">
        <v>717</v>
      </c>
      <c r="I220" s="5" t="s">
        <v>291</v>
      </c>
      <c r="J220" s="5" t="s">
        <v>287</v>
      </c>
      <c r="K220" s="5" t="s">
        <v>295</v>
      </c>
      <c r="L220" s="5" t="s">
        <v>349</v>
      </c>
      <c r="M220" s="5">
        <v>9</v>
      </c>
      <c r="N220" s="5">
        <v>20</v>
      </c>
      <c r="O220" s="5">
        <v>15</v>
      </c>
      <c r="P220" s="5">
        <v>153</v>
      </c>
      <c r="Q220" s="5">
        <v>3</v>
      </c>
      <c r="R220" s="5" t="s">
        <v>245</v>
      </c>
      <c r="S220" s="5" t="s">
        <v>292</v>
      </c>
      <c r="T220" s="5" t="s">
        <v>247</v>
      </c>
      <c r="U220" s="5">
        <v>9602152945</v>
      </c>
      <c r="V220" s="8" t="s">
        <v>257</v>
      </c>
      <c r="W220" t="str">
        <f t="shared" si="23"/>
        <v>Silver</v>
      </c>
      <c r="X220" t="str">
        <f t="shared" si="24"/>
        <v>Pooja Shah</v>
      </c>
      <c r="Y220" t="str">
        <f t="shared" si="22"/>
        <v>Poo010Pu</v>
      </c>
      <c r="Z220" t="str">
        <f t="shared" si="25"/>
        <v>pooja.shah@company.com</v>
      </c>
      <c r="AA220">
        <f t="shared" ca="1" si="28"/>
        <v>24</v>
      </c>
      <c r="AB220" t="str">
        <f t="shared" si="26"/>
        <v/>
      </c>
      <c r="AC220" t="str">
        <f t="shared" si="27"/>
        <v>Delayed</v>
      </c>
    </row>
    <row r="221" spans="1:29">
      <c r="A221" s="34" t="s">
        <v>718</v>
      </c>
      <c r="B221" s="10" t="s">
        <v>284</v>
      </c>
      <c r="C221" s="10" t="s">
        <v>322</v>
      </c>
      <c r="D221" s="10" t="s">
        <v>68</v>
      </c>
      <c r="E221" s="10" t="s">
        <v>91</v>
      </c>
      <c r="F221" s="10" t="s">
        <v>285</v>
      </c>
      <c r="G221" s="10" t="s">
        <v>239</v>
      </c>
      <c r="H221" s="11">
        <v>32913</v>
      </c>
      <c r="I221" s="10" t="s">
        <v>379</v>
      </c>
      <c r="J221" s="10" t="s">
        <v>21</v>
      </c>
      <c r="K221" s="10" t="s">
        <v>15</v>
      </c>
      <c r="L221" s="10" t="s">
        <v>325</v>
      </c>
      <c r="M221" s="10">
        <v>16</v>
      </c>
      <c r="N221" s="10">
        <v>8500</v>
      </c>
      <c r="O221" s="10">
        <v>0</v>
      </c>
      <c r="P221" s="10">
        <v>136000</v>
      </c>
      <c r="Q221" s="10">
        <v>4</v>
      </c>
      <c r="R221" s="10" t="s">
        <v>245</v>
      </c>
      <c r="S221" s="10" t="s">
        <v>255</v>
      </c>
      <c r="T221" s="10" t="s">
        <v>308</v>
      </c>
      <c r="U221" s="10">
        <v>9646917552</v>
      </c>
      <c r="V221" s="12" t="s">
        <v>257</v>
      </c>
      <c r="W221" t="str">
        <f t="shared" si="23"/>
        <v>Platinum</v>
      </c>
      <c r="X221" t="str">
        <f t="shared" si="24"/>
        <v>Priya Patel</v>
      </c>
      <c r="Y221" t="str">
        <f t="shared" si="22"/>
        <v>Pri002Ko</v>
      </c>
      <c r="Z221" t="str">
        <f t="shared" si="25"/>
        <v>priya.patel@company.com</v>
      </c>
      <c r="AA221" t="str">
        <f t="shared" ca="1" si="28"/>
        <v/>
      </c>
      <c r="AB221">
        <f t="shared" si="26"/>
        <v>2</v>
      </c>
      <c r="AC221" t="str">
        <f t="shared" si="27"/>
        <v>On time</v>
      </c>
    </row>
    <row r="222" spans="1:29">
      <c r="A222" s="33" t="s">
        <v>719</v>
      </c>
      <c r="B222" s="5" t="s">
        <v>358</v>
      </c>
      <c r="C222" s="5" t="s">
        <v>280</v>
      </c>
      <c r="D222" s="5" t="s">
        <v>152</v>
      </c>
      <c r="E222" s="5" t="s">
        <v>720</v>
      </c>
      <c r="F222" s="5" t="s">
        <v>359</v>
      </c>
      <c r="G222" s="5" t="s">
        <v>239</v>
      </c>
      <c r="H222" s="6">
        <v>33642</v>
      </c>
      <c r="I222" s="5" t="s">
        <v>260</v>
      </c>
      <c r="J222" s="5" t="s">
        <v>261</v>
      </c>
      <c r="K222" s="5" t="s">
        <v>15</v>
      </c>
      <c r="L222" s="5" t="s">
        <v>282</v>
      </c>
      <c r="M222" s="5">
        <v>10</v>
      </c>
      <c r="N222" s="5">
        <v>3500</v>
      </c>
      <c r="O222" s="5">
        <v>5</v>
      </c>
      <c r="P222" s="5">
        <v>33250</v>
      </c>
      <c r="Q222" s="5">
        <v>3</v>
      </c>
      <c r="R222" s="5" t="s">
        <v>245</v>
      </c>
      <c r="S222" s="5" t="s">
        <v>292</v>
      </c>
      <c r="T222" s="5" t="s">
        <v>360</v>
      </c>
      <c r="U222" s="5">
        <v>9127548552</v>
      </c>
      <c r="V222" s="8" t="s">
        <v>257</v>
      </c>
      <c r="W222" t="str">
        <f t="shared" si="23"/>
        <v>Silver</v>
      </c>
      <c r="X222" t="str">
        <f t="shared" si="24"/>
        <v>Sneha Joshi</v>
      </c>
      <c r="Y222" t="str">
        <f t="shared" si="22"/>
        <v>Sne006De</v>
      </c>
      <c r="Z222" t="str">
        <f t="shared" si="25"/>
        <v>sneha.joshi@company.com</v>
      </c>
      <c r="AA222">
        <f t="shared" ca="1" si="28"/>
        <v>36</v>
      </c>
      <c r="AB222">
        <f t="shared" si="26"/>
        <v>2</v>
      </c>
      <c r="AC222" t="str">
        <f t="shared" si="27"/>
        <v>On time</v>
      </c>
    </row>
    <row r="223" spans="1:29">
      <c r="A223" s="34" t="s">
        <v>721</v>
      </c>
      <c r="B223" s="10" t="s">
        <v>235</v>
      </c>
      <c r="C223" s="10" t="s">
        <v>258</v>
      </c>
      <c r="D223" s="10" t="s">
        <v>74</v>
      </c>
      <c r="E223" s="10" t="s">
        <v>161</v>
      </c>
      <c r="F223" s="10" t="s">
        <v>318</v>
      </c>
      <c r="G223" s="10" t="s">
        <v>239</v>
      </c>
      <c r="H223" s="11">
        <v>29466</v>
      </c>
      <c r="I223" s="10" t="s">
        <v>379</v>
      </c>
      <c r="J223" s="10" t="s">
        <v>21</v>
      </c>
      <c r="K223" s="10" t="s">
        <v>243</v>
      </c>
      <c r="L223" s="10" t="s">
        <v>262</v>
      </c>
      <c r="M223" s="10">
        <v>1</v>
      </c>
      <c r="N223" s="10">
        <v>12000</v>
      </c>
      <c r="O223" s="10">
        <v>0</v>
      </c>
      <c r="P223" s="10">
        <v>12000</v>
      </c>
      <c r="Q223" s="10">
        <v>5</v>
      </c>
      <c r="R223" s="10" t="s">
        <v>277</v>
      </c>
      <c r="S223" s="10" t="s">
        <v>292</v>
      </c>
      <c r="T223" s="10" t="s">
        <v>247</v>
      </c>
      <c r="U223" s="10">
        <v>9712805603</v>
      </c>
      <c r="V223" s="12" t="s">
        <v>248</v>
      </c>
      <c r="W223" t="str">
        <f t="shared" si="23"/>
        <v/>
      </c>
      <c r="X223" t="str">
        <f t="shared" si="24"/>
        <v>Pooja Shah</v>
      </c>
      <c r="Y223" t="str">
        <f t="shared" si="22"/>
        <v>Poo010Ko</v>
      </c>
      <c r="Z223" t="str">
        <f t="shared" si="25"/>
        <v>pooja.shah@company.com</v>
      </c>
      <c r="AA223">
        <f t="shared" ca="1" si="28"/>
        <v>34</v>
      </c>
      <c r="AB223">
        <f t="shared" si="26"/>
        <v>8</v>
      </c>
      <c r="AC223" t="str">
        <f t="shared" si="27"/>
        <v>Delayed</v>
      </c>
    </row>
    <row r="224" spans="1:29">
      <c r="A224" s="33" t="s">
        <v>722</v>
      </c>
      <c r="B224" s="5" t="s">
        <v>392</v>
      </c>
      <c r="C224" s="5" t="s">
        <v>362</v>
      </c>
      <c r="D224" s="6">
        <v>46058</v>
      </c>
      <c r="E224" s="6">
        <v>46300</v>
      </c>
      <c r="F224" s="5" t="s">
        <v>323</v>
      </c>
      <c r="G224" s="5" t="s">
        <v>269</v>
      </c>
      <c r="H224" s="5" t="s">
        <v>723</v>
      </c>
      <c r="I224" s="5" t="s">
        <v>379</v>
      </c>
      <c r="J224" s="5" t="s">
        <v>21</v>
      </c>
      <c r="K224" s="5" t="s">
        <v>295</v>
      </c>
      <c r="L224" s="5" t="s">
        <v>363</v>
      </c>
      <c r="M224" s="5">
        <v>19</v>
      </c>
      <c r="N224" s="5">
        <v>45</v>
      </c>
      <c r="O224" s="5">
        <v>15</v>
      </c>
      <c r="P224" s="5">
        <v>726.75</v>
      </c>
      <c r="Q224" s="5">
        <v>2</v>
      </c>
      <c r="R224" s="5" t="s">
        <v>277</v>
      </c>
      <c r="S224" s="5" t="s">
        <v>312</v>
      </c>
      <c r="T224" s="5" t="s">
        <v>395</v>
      </c>
      <c r="U224" s="5">
        <v>9798313682</v>
      </c>
      <c r="V224" s="8" t="s">
        <v>248</v>
      </c>
      <c r="W224" t="str">
        <f t="shared" si="23"/>
        <v>Blacklisted</v>
      </c>
      <c r="X224" t="str">
        <f t="shared" si="24"/>
        <v>Amit Sharma</v>
      </c>
      <c r="Y224" t="str">
        <f t="shared" si="22"/>
        <v>Ami001Ko</v>
      </c>
      <c r="Z224" t="str">
        <f t="shared" si="25"/>
        <v>amit.sharma@company.com</v>
      </c>
      <c r="AA224">
        <f t="shared" ca="1" si="28"/>
        <v>46</v>
      </c>
      <c r="AB224" t="str">
        <f t="shared" si="26"/>
        <v/>
      </c>
      <c r="AC224" t="str">
        <f t="shared" si="27"/>
        <v>Delayed</v>
      </c>
    </row>
    <row r="225" spans="1:29">
      <c r="A225" s="34" t="s">
        <v>724</v>
      </c>
      <c r="B225" s="10" t="s">
        <v>249</v>
      </c>
      <c r="C225" s="10" t="s">
        <v>236</v>
      </c>
      <c r="D225" s="10" t="s">
        <v>205</v>
      </c>
      <c r="E225" s="11">
        <v>45699</v>
      </c>
      <c r="F225" s="10" t="s">
        <v>251</v>
      </c>
      <c r="G225" s="10" t="s">
        <v>239</v>
      </c>
      <c r="H225" s="11">
        <v>34251</v>
      </c>
      <c r="I225" s="10" t="s">
        <v>260</v>
      </c>
      <c r="J225" s="10" t="s">
        <v>261</v>
      </c>
      <c r="K225" s="10" t="s">
        <v>243</v>
      </c>
      <c r="L225" s="10" t="s">
        <v>244</v>
      </c>
      <c r="M225" s="10">
        <v>13</v>
      </c>
      <c r="N225" s="10">
        <v>55000</v>
      </c>
      <c r="O225" s="10">
        <v>5</v>
      </c>
      <c r="P225" s="10">
        <v>679250</v>
      </c>
      <c r="Q225" s="10">
        <v>4</v>
      </c>
      <c r="R225" s="10" t="s">
        <v>272</v>
      </c>
      <c r="S225" s="10" t="s">
        <v>263</v>
      </c>
      <c r="T225" s="10" t="s">
        <v>264</v>
      </c>
      <c r="U225" s="10">
        <v>9642822397</v>
      </c>
      <c r="V225" s="12" t="s">
        <v>265</v>
      </c>
      <c r="W225" t="str">
        <f t="shared" si="23"/>
        <v>Blacklisted</v>
      </c>
      <c r="X225" t="str">
        <f t="shared" si="24"/>
        <v>Kavya Nair</v>
      </c>
      <c r="Y225" t="str">
        <f t="shared" si="22"/>
        <v>Kav008De</v>
      </c>
      <c r="Z225" t="str">
        <f t="shared" si="25"/>
        <v>kavya.nair@company.com</v>
      </c>
      <c r="AA225" t="str">
        <f t="shared" ca="1" si="28"/>
        <v/>
      </c>
      <c r="AB225" t="str">
        <f t="shared" si="26"/>
        <v/>
      </c>
      <c r="AC225" t="str">
        <f t="shared" si="27"/>
        <v>Delayed</v>
      </c>
    </row>
    <row r="226" spans="1:29">
      <c r="A226" s="33" t="s">
        <v>725</v>
      </c>
      <c r="B226" s="5" t="s">
        <v>275</v>
      </c>
      <c r="C226" s="5" t="s">
        <v>362</v>
      </c>
      <c r="D226" s="5" t="s">
        <v>93</v>
      </c>
      <c r="E226" s="5" t="s">
        <v>157</v>
      </c>
      <c r="F226" s="5" t="s">
        <v>328</v>
      </c>
      <c r="G226" s="5" t="s">
        <v>269</v>
      </c>
      <c r="H226" s="5" t="s">
        <v>726</v>
      </c>
      <c r="I226" s="5" t="s">
        <v>286</v>
      </c>
      <c r="J226" s="5" t="s">
        <v>287</v>
      </c>
      <c r="K226" s="5" t="s">
        <v>295</v>
      </c>
      <c r="L226" s="5" t="s">
        <v>363</v>
      </c>
      <c r="M226" s="5">
        <v>2</v>
      </c>
      <c r="N226" s="5">
        <v>45</v>
      </c>
      <c r="O226" s="5">
        <v>15</v>
      </c>
      <c r="P226" s="5">
        <v>76.5</v>
      </c>
      <c r="Q226" s="5">
        <v>1</v>
      </c>
      <c r="R226" s="5" t="s">
        <v>245</v>
      </c>
      <c r="S226" s="5" t="s">
        <v>292</v>
      </c>
      <c r="T226" s="5" t="s">
        <v>278</v>
      </c>
      <c r="U226" s="5">
        <v>9490067655</v>
      </c>
      <c r="V226" s="8" t="s">
        <v>257</v>
      </c>
      <c r="W226" t="str">
        <f t="shared" si="23"/>
        <v>Blacklisted</v>
      </c>
      <c r="X226" t="str">
        <f t="shared" si="24"/>
        <v>Arjun Rao</v>
      </c>
      <c r="Y226" t="str">
        <f t="shared" si="22"/>
        <v>Arj007Mu</v>
      </c>
      <c r="Z226" t="str">
        <f t="shared" si="25"/>
        <v>arjun.rao@company.com</v>
      </c>
      <c r="AA226">
        <f t="shared" ca="1" si="28"/>
        <v>33</v>
      </c>
      <c r="AB226">
        <f t="shared" si="26"/>
        <v>6</v>
      </c>
      <c r="AC226" t="str">
        <f t="shared" si="27"/>
        <v>Delayed</v>
      </c>
    </row>
    <row r="227" spans="1:29">
      <c r="A227" s="34" t="s">
        <v>727</v>
      </c>
      <c r="B227" s="10" t="s">
        <v>284</v>
      </c>
      <c r="C227" s="10" t="s">
        <v>347</v>
      </c>
      <c r="D227" s="10" t="s">
        <v>75</v>
      </c>
      <c r="E227" s="10" t="s">
        <v>728</v>
      </c>
      <c r="F227" s="10" t="s">
        <v>285</v>
      </c>
      <c r="G227" s="10" t="s">
        <v>239</v>
      </c>
      <c r="H227" s="10" t="s">
        <v>729</v>
      </c>
      <c r="I227" s="10" t="s">
        <v>252</v>
      </c>
      <c r="J227" s="10" t="s">
        <v>242</v>
      </c>
      <c r="K227" s="10" t="s">
        <v>295</v>
      </c>
      <c r="L227" s="10" t="s">
        <v>349</v>
      </c>
      <c r="M227" s="10">
        <v>8</v>
      </c>
      <c r="N227" s="10">
        <v>20</v>
      </c>
      <c r="O227" s="10">
        <v>15</v>
      </c>
      <c r="P227" s="10">
        <v>136</v>
      </c>
      <c r="Q227" s="10">
        <v>1</v>
      </c>
      <c r="R227" s="10" t="s">
        <v>272</v>
      </c>
      <c r="S227" s="10" t="s">
        <v>255</v>
      </c>
      <c r="T227" s="10" t="s">
        <v>308</v>
      </c>
      <c r="U227" s="10">
        <v>9389792144</v>
      </c>
      <c r="V227" s="12" t="s">
        <v>248</v>
      </c>
      <c r="W227" t="str">
        <f t="shared" si="23"/>
        <v>Blacklisted</v>
      </c>
      <c r="X227" t="str">
        <f t="shared" si="24"/>
        <v>Priya Patel</v>
      </c>
      <c r="Y227" t="str">
        <f t="shared" si="22"/>
        <v>Pri002Hy</v>
      </c>
      <c r="Z227" t="str">
        <f t="shared" si="25"/>
        <v>priya.patel@company.com</v>
      </c>
      <c r="AA227" t="str">
        <f t="shared" ca="1" si="28"/>
        <v/>
      </c>
      <c r="AB227">
        <f t="shared" si="26"/>
        <v>5</v>
      </c>
      <c r="AC227" t="str">
        <f t="shared" si="27"/>
        <v>On time</v>
      </c>
    </row>
    <row r="228" spans="1:29">
      <c r="A228" s="33" t="s">
        <v>730</v>
      </c>
      <c r="B228" s="5" t="s">
        <v>321</v>
      </c>
      <c r="C228" s="5" t="s">
        <v>258</v>
      </c>
      <c r="D228" s="5" t="s">
        <v>89</v>
      </c>
      <c r="E228" s="6">
        <v>45662</v>
      </c>
      <c r="F228" s="5" t="s">
        <v>408</v>
      </c>
      <c r="G228" s="5" t="s">
        <v>239</v>
      </c>
      <c r="H228" s="5" t="s">
        <v>731</v>
      </c>
      <c r="I228" s="5" t="s">
        <v>252</v>
      </c>
      <c r="J228" s="5" t="s">
        <v>242</v>
      </c>
      <c r="K228" s="5" t="s">
        <v>243</v>
      </c>
      <c r="L228" s="5" t="s">
        <v>262</v>
      </c>
      <c r="M228" s="5">
        <v>9</v>
      </c>
      <c r="N228" s="5">
        <v>12000</v>
      </c>
      <c r="O228" s="5">
        <v>5</v>
      </c>
      <c r="P228" s="5">
        <v>102600</v>
      </c>
      <c r="Q228" s="5">
        <v>2</v>
      </c>
      <c r="R228" s="5" t="s">
        <v>272</v>
      </c>
      <c r="S228" s="5" t="s">
        <v>255</v>
      </c>
      <c r="T228" s="5" t="s">
        <v>326</v>
      </c>
      <c r="U228" s="5">
        <v>9736113863</v>
      </c>
      <c r="V228" s="8" t="s">
        <v>265</v>
      </c>
      <c r="W228" t="str">
        <f t="shared" si="23"/>
        <v>Blacklisted</v>
      </c>
      <c r="X228" t="str">
        <f t="shared" si="24"/>
        <v>Anita Gupta</v>
      </c>
      <c r="Y228" t="str">
        <f t="shared" si="22"/>
        <v>Ani004Hy</v>
      </c>
      <c r="Z228" t="str">
        <f t="shared" si="25"/>
        <v>anita.gupta@company.com</v>
      </c>
      <c r="AA228" t="str">
        <f t="shared" ca="1" si="28"/>
        <v/>
      </c>
      <c r="AB228" t="str">
        <f t="shared" si="26"/>
        <v/>
      </c>
      <c r="AC228" t="str">
        <f t="shared" si="27"/>
        <v>Delayed</v>
      </c>
    </row>
    <row r="229" spans="1:29">
      <c r="A229" s="34" t="s">
        <v>732</v>
      </c>
      <c r="B229" s="10" t="s">
        <v>266</v>
      </c>
      <c r="C229" s="10" t="s">
        <v>280</v>
      </c>
      <c r="D229" s="11">
        <v>45783</v>
      </c>
      <c r="E229" s="10" t="s">
        <v>733</v>
      </c>
      <c r="F229" s="10" t="s">
        <v>268</v>
      </c>
      <c r="G229" s="10" t="s">
        <v>269</v>
      </c>
      <c r="H229" s="11">
        <v>34612</v>
      </c>
      <c r="I229" s="10" t="s">
        <v>379</v>
      </c>
      <c r="J229" s="10" t="s">
        <v>21</v>
      </c>
      <c r="K229" s="10" t="s">
        <v>15</v>
      </c>
      <c r="L229" s="10" t="s">
        <v>282</v>
      </c>
      <c r="M229" s="10">
        <v>3</v>
      </c>
      <c r="N229" s="10">
        <v>3500</v>
      </c>
      <c r="O229" s="10">
        <v>15</v>
      </c>
      <c r="P229" s="10">
        <v>8925</v>
      </c>
      <c r="Q229" s="10">
        <v>1</v>
      </c>
      <c r="R229" s="10" t="s">
        <v>254</v>
      </c>
      <c r="S229" s="10" t="s">
        <v>263</v>
      </c>
      <c r="T229" s="10" t="s">
        <v>273</v>
      </c>
      <c r="U229" s="10">
        <v>9324634732</v>
      </c>
      <c r="V229" s="12" t="s">
        <v>265</v>
      </c>
      <c r="W229" t="str">
        <f t="shared" si="23"/>
        <v>Blacklisted</v>
      </c>
      <c r="X229" t="str">
        <f t="shared" si="24"/>
        <v>Mohit Verma</v>
      </c>
      <c r="Y229" t="str">
        <f t="shared" si="22"/>
        <v>Moh009Ko</v>
      </c>
      <c r="Z229" t="str">
        <f t="shared" si="25"/>
        <v>mohit.verma@company.com</v>
      </c>
      <c r="AA229" t="str">
        <f t="shared" ca="1" si="28"/>
        <v/>
      </c>
      <c r="AB229" t="str">
        <f t="shared" si="26"/>
        <v/>
      </c>
      <c r="AC229" t="str">
        <f t="shared" si="27"/>
        <v>Delayed</v>
      </c>
    </row>
    <row r="230" spans="1:29">
      <c r="A230" s="33" t="s">
        <v>734</v>
      </c>
      <c r="B230" s="5" t="s">
        <v>284</v>
      </c>
      <c r="C230" s="5" t="s">
        <v>330</v>
      </c>
      <c r="D230" s="5" t="s">
        <v>91</v>
      </c>
      <c r="E230" s="5" t="s">
        <v>735</v>
      </c>
      <c r="F230" s="5" t="s">
        <v>285</v>
      </c>
      <c r="G230" s="5" t="s">
        <v>239</v>
      </c>
      <c r="H230" s="5" t="s">
        <v>736</v>
      </c>
      <c r="I230" s="5" t="s">
        <v>252</v>
      </c>
      <c r="J230" s="5" t="s">
        <v>242</v>
      </c>
      <c r="K230" s="5" t="s">
        <v>243</v>
      </c>
      <c r="L230" s="5" t="s">
        <v>333</v>
      </c>
      <c r="M230" s="5">
        <v>18</v>
      </c>
      <c r="N230" s="5">
        <v>700</v>
      </c>
      <c r="O230" s="5">
        <v>20</v>
      </c>
      <c r="P230" s="5">
        <v>10080</v>
      </c>
      <c r="Q230" s="5">
        <v>1</v>
      </c>
      <c r="R230" s="5" t="s">
        <v>272</v>
      </c>
      <c r="S230" s="5" t="s">
        <v>312</v>
      </c>
      <c r="T230" s="5" t="s">
        <v>308</v>
      </c>
      <c r="U230" s="5">
        <v>9529968110</v>
      </c>
      <c r="V230" s="8" t="s">
        <v>257</v>
      </c>
      <c r="W230" t="str">
        <f t="shared" si="23"/>
        <v>Blacklisted</v>
      </c>
      <c r="X230" t="str">
        <f t="shared" si="24"/>
        <v>Priya Patel</v>
      </c>
      <c r="Y230" t="str">
        <f t="shared" si="22"/>
        <v>Pri002Hy</v>
      </c>
      <c r="Z230" t="str">
        <f t="shared" si="25"/>
        <v>priya.patel@company.com</v>
      </c>
      <c r="AA230">
        <f t="shared" ca="1" si="28"/>
        <v>32</v>
      </c>
      <c r="AB230">
        <f t="shared" si="26"/>
        <v>3</v>
      </c>
      <c r="AC230" t="str">
        <f t="shared" si="27"/>
        <v>On time</v>
      </c>
    </row>
    <row r="231" spans="1:29">
      <c r="A231" s="34" t="s">
        <v>737</v>
      </c>
      <c r="B231" s="10" t="s">
        <v>266</v>
      </c>
      <c r="C231" s="10" t="s">
        <v>280</v>
      </c>
      <c r="D231" s="10" t="s">
        <v>129</v>
      </c>
      <c r="E231" s="10" t="s">
        <v>202</v>
      </c>
      <c r="F231" s="10" t="s">
        <v>268</v>
      </c>
      <c r="G231" s="10" t="s">
        <v>269</v>
      </c>
      <c r="H231" s="10" t="s">
        <v>738</v>
      </c>
      <c r="I231" s="10" t="s">
        <v>291</v>
      </c>
      <c r="J231" s="10" t="s">
        <v>287</v>
      </c>
      <c r="K231" s="10" t="s">
        <v>15</v>
      </c>
      <c r="L231" s="10" t="s">
        <v>282</v>
      </c>
      <c r="M231" s="10">
        <v>14</v>
      </c>
      <c r="N231" s="10">
        <v>3500</v>
      </c>
      <c r="O231" s="10">
        <v>5</v>
      </c>
      <c r="P231" s="10">
        <v>46550</v>
      </c>
      <c r="Q231" s="10">
        <v>1</v>
      </c>
      <c r="R231" s="10" t="s">
        <v>254</v>
      </c>
      <c r="S231" s="10" t="s">
        <v>246</v>
      </c>
      <c r="T231" s="10" t="s">
        <v>273</v>
      </c>
      <c r="U231" s="10">
        <v>9102417647</v>
      </c>
      <c r="V231" s="12" t="s">
        <v>257</v>
      </c>
      <c r="W231" t="str">
        <f t="shared" si="23"/>
        <v>Blacklisted</v>
      </c>
      <c r="X231" t="str">
        <f t="shared" si="24"/>
        <v>Mohit Verma</v>
      </c>
      <c r="Y231" t="str">
        <f t="shared" si="22"/>
        <v>Moh009Pu</v>
      </c>
      <c r="Z231" t="str">
        <f t="shared" si="25"/>
        <v>mohit.verma@company.com</v>
      </c>
      <c r="AA231" t="str">
        <f t="shared" ca="1" si="28"/>
        <v/>
      </c>
      <c r="AB231">
        <f t="shared" si="26"/>
        <v>7</v>
      </c>
      <c r="AC231" t="str">
        <f t="shared" si="27"/>
        <v>Delayed</v>
      </c>
    </row>
    <row r="232" spans="1:29">
      <c r="A232" s="33" t="s">
        <v>739</v>
      </c>
      <c r="B232" s="5" t="s">
        <v>284</v>
      </c>
      <c r="C232" s="5" t="s">
        <v>330</v>
      </c>
      <c r="D232" s="6">
        <v>45694</v>
      </c>
      <c r="E232" s="6">
        <v>45753</v>
      </c>
      <c r="F232" s="5" t="s">
        <v>285</v>
      </c>
      <c r="G232" s="5" t="s">
        <v>239</v>
      </c>
      <c r="H232" s="5" t="s">
        <v>740</v>
      </c>
      <c r="I232" s="5" t="s">
        <v>379</v>
      </c>
      <c r="J232" s="5" t="s">
        <v>21</v>
      </c>
      <c r="K232" s="5" t="s">
        <v>243</v>
      </c>
      <c r="L232" s="5" t="s">
        <v>333</v>
      </c>
      <c r="M232" s="5">
        <v>6</v>
      </c>
      <c r="N232" s="5">
        <v>700</v>
      </c>
      <c r="O232" s="5">
        <v>5</v>
      </c>
      <c r="P232" s="5">
        <v>3990</v>
      </c>
      <c r="Q232" s="5">
        <v>5</v>
      </c>
      <c r="R232" s="5" t="s">
        <v>254</v>
      </c>
      <c r="S232" s="5" t="s">
        <v>255</v>
      </c>
      <c r="T232" s="5" t="s">
        <v>308</v>
      </c>
      <c r="U232" s="5">
        <v>9630302865</v>
      </c>
      <c r="V232" s="8" t="s">
        <v>257</v>
      </c>
      <c r="W232" t="str">
        <f t="shared" si="23"/>
        <v>Silver</v>
      </c>
      <c r="X232" t="str">
        <f t="shared" si="24"/>
        <v>Priya Patel</v>
      </c>
      <c r="Y232" t="str">
        <f t="shared" si="22"/>
        <v>Pri002Ko</v>
      </c>
      <c r="Z232" t="str">
        <f t="shared" si="25"/>
        <v>priya.patel@company.com</v>
      </c>
      <c r="AA232" t="str">
        <f t="shared" ca="1" si="28"/>
        <v/>
      </c>
      <c r="AB232" t="str">
        <f t="shared" si="26"/>
        <v/>
      </c>
      <c r="AC232" t="str">
        <f t="shared" si="27"/>
        <v>Delayed</v>
      </c>
    </row>
    <row r="233" spans="1:29">
      <c r="A233" s="34" t="s">
        <v>741</v>
      </c>
      <c r="B233" s="10" t="s">
        <v>284</v>
      </c>
      <c r="C233" s="10" t="s">
        <v>280</v>
      </c>
      <c r="D233" s="11">
        <v>45967</v>
      </c>
      <c r="E233" s="10" t="s">
        <v>80</v>
      </c>
      <c r="F233" s="10" t="s">
        <v>285</v>
      </c>
      <c r="G233" s="10" t="s">
        <v>239</v>
      </c>
      <c r="H233" s="10" t="s">
        <v>742</v>
      </c>
      <c r="I233" s="10" t="s">
        <v>286</v>
      </c>
      <c r="J233" s="10" t="s">
        <v>287</v>
      </c>
      <c r="K233" s="10" t="s">
        <v>15</v>
      </c>
      <c r="L233" s="10" t="s">
        <v>282</v>
      </c>
      <c r="M233" s="10">
        <v>17</v>
      </c>
      <c r="N233" s="10">
        <v>3500</v>
      </c>
      <c r="O233" s="10">
        <v>15</v>
      </c>
      <c r="P233" s="10">
        <v>50575</v>
      </c>
      <c r="Q233" s="10">
        <v>3</v>
      </c>
      <c r="R233" s="10" t="s">
        <v>245</v>
      </c>
      <c r="S233" s="10" t="s">
        <v>263</v>
      </c>
      <c r="T233" s="10" t="s">
        <v>308</v>
      </c>
      <c r="U233" s="10">
        <v>9465353780</v>
      </c>
      <c r="V233" s="12" t="s">
        <v>248</v>
      </c>
      <c r="W233" t="str">
        <f t="shared" si="23"/>
        <v/>
      </c>
      <c r="X233" t="str">
        <f t="shared" si="24"/>
        <v>Priya Patel</v>
      </c>
      <c r="Y233" t="str">
        <f t="shared" si="22"/>
        <v>Pri002Mu</v>
      </c>
      <c r="Z233" t="str">
        <f t="shared" si="25"/>
        <v>priya.patel@company.com</v>
      </c>
      <c r="AA233" t="str">
        <f t="shared" ca="1" si="28"/>
        <v/>
      </c>
      <c r="AB233" t="str">
        <f t="shared" si="26"/>
        <v/>
      </c>
      <c r="AC233" t="str">
        <f t="shared" si="27"/>
        <v>Delayed</v>
      </c>
    </row>
    <row r="234" spans="1:29">
      <c r="A234" s="33" t="s">
        <v>743</v>
      </c>
      <c r="B234" s="5" t="s">
        <v>358</v>
      </c>
      <c r="C234" s="5" t="s">
        <v>347</v>
      </c>
      <c r="D234" s="5" t="s">
        <v>41</v>
      </c>
      <c r="E234" s="5" t="s">
        <v>129</v>
      </c>
      <c r="F234" s="5" t="s">
        <v>359</v>
      </c>
      <c r="G234" s="5" t="s">
        <v>239</v>
      </c>
      <c r="H234" s="5" t="s">
        <v>744</v>
      </c>
      <c r="I234" s="5" t="s">
        <v>379</v>
      </c>
      <c r="J234" s="5" t="s">
        <v>21</v>
      </c>
      <c r="K234" s="5" t="s">
        <v>295</v>
      </c>
      <c r="L234" s="5" t="s">
        <v>349</v>
      </c>
      <c r="M234" s="5">
        <v>7</v>
      </c>
      <c r="N234" s="5">
        <v>20</v>
      </c>
      <c r="O234" s="5">
        <v>5</v>
      </c>
      <c r="P234" s="5">
        <v>133</v>
      </c>
      <c r="Q234" s="5">
        <v>2</v>
      </c>
      <c r="R234" s="5" t="s">
        <v>277</v>
      </c>
      <c r="S234" s="5" t="s">
        <v>312</v>
      </c>
      <c r="T234" s="5" t="s">
        <v>360</v>
      </c>
      <c r="U234" s="5">
        <v>9837426414</v>
      </c>
      <c r="V234" s="8" t="s">
        <v>257</v>
      </c>
      <c r="W234" t="str">
        <f t="shared" si="23"/>
        <v>Blacklisted</v>
      </c>
      <c r="X234" t="str">
        <f t="shared" si="24"/>
        <v>Sneha Joshi</v>
      </c>
      <c r="Y234" t="str">
        <f t="shared" si="22"/>
        <v>Sne006Ko</v>
      </c>
      <c r="Z234" t="str">
        <f t="shared" si="25"/>
        <v>sneha.joshi@company.com</v>
      </c>
      <c r="AA234" t="str">
        <f t="shared" ca="1" si="28"/>
        <v/>
      </c>
      <c r="AB234">
        <f t="shared" si="26"/>
        <v>8</v>
      </c>
      <c r="AC234" t="str">
        <f t="shared" si="27"/>
        <v>Delayed</v>
      </c>
    </row>
    <row r="235" spans="1:29">
      <c r="A235" s="34" t="s">
        <v>745</v>
      </c>
      <c r="B235" s="10" t="s">
        <v>249</v>
      </c>
      <c r="C235" s="10" t="s">
        <v>250</v>
      </c>
      <c r="D235" s="10" t="s">
        <v>87</v>
      </c>
      <c r="E235" s="11">
        <v>46115</v>
      </c>
      <c r="F235" s="10" t="s">
        <v>251</v>
      </c>
      <c r="G235" s="10" t="s">
        <v>239</v>
      </c>
      <c r="H235" s="10" t="s">
        <v>746</v>
      </c>
      <c r="I235" s="10" t="s">
        <v>241</v>
      </c>
      <c r="J235" s="10" t="s">
        <v>242</v>
      </c>
      <c r="K235" s="10" t="s">
        <v>15</v>
      </c>
      <c r="L235" s="10" t="s">
        <v>253</v>
      </c>
      <c r="M235" s="10">
        <v>15</v>
      </c>
      <c r="N235" s="10">
        <v>2200</v>
      </c>
      <c r="O235" s="10">
        <v>20</v>
      </c>
      <c r="P235" s="10">
        <v>26400</v>
      </c>
      <c r="Q235" s="10">
        <v>2</v>
      </c>
      <c r="R235" s="10" t="s">
        <v>254</v>
      </c>
      <c r="S235" s="10" t="s">
        <v>246</v>
      </c>
      <c r="T235" s="10" t="s">
        <v>264</v>
      </c>
      <c r="U235" s="10">
        <v>9249918272</v>
      </c>
      <c r="V235" s="12" t="s">
        <v>257</v>
      </c>
      <c r="W235" t="str">
        <f t="shared" si="23"/>
        <v>Blacklisted</v>
      </c>
      <c r="X235" t="str">
        <f t="shared" si="24"/>
        <v>Kavya Nair</v>
      </c>
      <c r="Y235" t="str">
        <f t="shared" si="22"/>
        <v>Kav008Be</v>
      </c>
      <c r="Z235" t="str">
        <f t="shared" si="25"/>
        <v>kavya.nair@company.com</v>
      </c>
      <c r="AA235" t="str">
        <f t="shared" ca="1" si="28"/>
        <v/>
      </c>
      <c r="AB235" t="str">
        <f t="shared" si="26"/>
        <v/>
      </c>
      <c r="AC235" t="str">
        <f t="shared" si="27"/>
        <v>Delayed</v>
      </c>
    </row>
    <row r="236" spans="1:29">
      <c r="A236" s="33" t="s">
        <v>747</v>
      </c>
      <c r="B236" s="5" t="s">
        <v>266</v>
      </c>
      <c r="C236" s="5" t="s">
        <v>347</v>
      </c>
      <c r="D236" s="5" t="s">
        <v>56</v>
      </c>
      <c r="E236" s="5" t="s">
        <v>139</v>
      </c>
      <c r="F236" s="5" t="s">
        <v>268</v>
      </c>
      <c r="G236" s="5" t="s">
        <v>269</v>
      </c>
      <c r="H236" s="6">
        <v>29170</v>
      </c>
      <c r="I236" s="5" t="s">
        <v>286</v>
      </c>
      <c r="J236" s="5" t="s">
        <v>287</v>
      </c>
      <c r="K236" s="5" t="s">
        <v>295</v>
      </c>
      <c r="L236" s="5" t="s">
        <v>349</v>
      </c>
      <c r="M236" s="5">
        <v>5</v>
      </c>
      <c r="N236" s="5">
        <v>20</v>
      </c>
      <c r="O236" s="5">
        <v>0</v>
      </c>
      <c r="P236" s="5">
        <v>100</v>
      </c>
      <c r="Q236" s="5">
        <v>3</v>
      </c>
      <c r="R236" s="5" t="s">
        <v>254</v>
      </c>
      <c r="S236" s="5" t="s">
        <v>312</v>
      </c>
      <c r="T236" s="5" t="s">
        <v>273</v>
      </c>
      <c r="U236" s="5">
        <v>9265580582</v>
      </c>
      <c r="V236" s="8" t="s">
        <v>257</v>
      </c>
      <c r="W236" t="str">
        <f t="shared" si="23"/>
        <v>Silver</v>
      </c>
      <c r="X236" t="str">
        <f t="shared" si="24"/>
        <v>Mohit Verma</v>
      </c>
      <c r="Y236" t="str">
        <f t="shared" si="22"/>
        <v>Moh009Mu</v>
      </c>
      <c r="Z236" t="str">
        <f t="shared" si="25"/>
        <v>mohit.verma@company.com</v>
      </c>
      <c r="AA236" t="str">
        <f t="shared" ca="1" si="28"/>
        <v/>
      </c>
      <c r="AB236">
        <f t="shared" si="26"/>
        <v>8</v>
      </c>
      <c r="AC236" t="str">
        <f t="shared" si="27"/>
        <v>Delayed</v>
      </c>
    </row>
    <row r="237" spans="1:29">
      <c r="A237" s="34" t="s">
        <v>748</v>
      </c>
      <c r="B237" s="10" t="s">
        <v>299</v>
      </c>
      <c r="C237" s="10" t="s">
        <v>258</v>
      </c>
      <c r="D237" s="11">
        <v>45907</v>
      </c>
      <c r="E237" s="10" t="s">
        <v>29</v>
      </c>
      <c r="F237" s="10" t="s">
        <v>301</v>
      </c>
      <c r="G237" s="10" t="s">
        <v>269</v>
      </c>
      <c r="H237" s="10" t="s">
        <v>749</v>
      </c>
      <c r="I237" s="10" t="s">
        <v>260</v>
      </c>
      <c r="J237" s="10" t="s">
        <v>261</v>
      </c>
      <c r="K237" s="10" t="s">
        <v>243</v>
      </c>
      <c r="L237" s="10" t="s">
        <v>262</v>
      </c>
      <c r="M237" s="10">
        <v>8</v>
      </c>
      <c r="N237" s="10">
        <v>12000</v>
      </c>
      <c r="O237" s="10">
        <v>20</v>
      </c>
      <c r="P237" s="10">
        <v>76800</v>
      </c>
      <c r="Q237" s="10">
        <v>3</v>
      </c>
      <c r="R237" s="10" t="s">
        <v>272</v>
      </c>
      <c r="S237" s="10" t="s">
        <v>246</v>
      </c>
      <c r="T237" s="10" t="s">
        <v>302</v>
      </c>
      <c r="U237" s="10">
        <v>9751049833</v>
      </c>
      <c r="V237" s="12" t="s">
        <v>248</v>
      </c>
      <c r="W237" t="str">
        <f t="shared" si="23"/>
        <v/>
      </c>
      <c r="X237" t="str">
        <f t="shared" si="24"/>
        <v>Rohit Singh</v>
      </c>
      <c r="Y237" t="str">
        <f t="shared" si="22"/>
        <v>Roh003De</v>
      </c>
      <c r="Z237" t="str">
        <f t="shared" si="25"/>
        <v>rohit.singh@company.com</v>
      </c>
      <c r="AA237">
        <f t="shared" ca="1" si="28"/>
        <v>46</v>
      </c>
      <c r="AB237" t="str">
        <f t="shared" si="26"/>
        <v/>
      </c>
      <c r="AC237" t="str">
        <f t="shared" si="27"/>
        <v>Delayed</v>
      </c>
    </row>
    <row r="238" spans="1:29">
      <c r="A238" s="33" t="s">
        <v>750</v>
      </c>
      <c r="B238" s="5" t="s">
        <v>299</v>
      </c>
      <c r="C238" s="5" t="s">
        <v>280</v>
      </c>
      <c r="D238" s="6">
        <v>45871</v>
      </c>
      <c r="E238" s="5" t="s">
        <v>42</v>
      </c>
      <c r="F238" s="5" t="s">
        <v>301</v>
      </c>
      <c r="G238" s="5" t="s">
        <v>269</v>
      </c>
      <c r="H238" s="5" t="s">
        <v>751</v>
      </c>
      <c r="I238" s="5" t="s">
        <v>286</v>
      </c>
      <c r="J238" s="5" t="s">
        <v>287</v>
      </c>
      <c r="K238" s="5" t="s">
        <v>15</v>
      </c>
      <c r="L238" s="5" t="s">
        <v>282</v>
      </c>
      <c r="M238" s="5">
        <v>4</v>
      </c>
      <c r="N238" s="5">
        <v>3500</v>
      </c>
      <c r="O238" s="5">
        <v>20</v>
      </c>
      <c r="P238" s="5">
        <v>11200</v>
      </c>
      <c r="Q238" s="5">
        <v>1</v>
      </c>
      <c r="R238" s="5" t="s">
        <v>272</v>
      </c>
      <c r="S238" s="5" t="s">
        <v>292</v>
      </c>
      <c r="T238" s="5" t="s">
        <v>302</v>
      </c>
      <c r="U238" s="5">
        <v>9741671507</v>
      </c>
      <c r="V238" s="8" t="s">
        <v>257</v>
      </c>
      <c r="W238" t="str">
        <f t="shared" si="23"/>
        <v>Blacklisted</v>
      </c>
      <c r="X238" t="str">
        <f t="shared" si="24"/>
        <v>Rohit Singh</v>
      </c>
      <c r="Y238" t="str">
        <f t="shared" si="22"/>
        <v>Roh003Mu</v>
      </c>
      <c r="Z238" t="str">
        <f t="shared" si="25"/>
        <v>rohit.singh@company.com</v>
      </c>
      <c r="AA238" t="str">
        <f t="shared" ca="1" si="28"/>
        <v/>
      </c>
      <c r="AB238" t="str">
        <f t="shared" si="26"/>
        <v/>
      </c>
      <c r="AC238" t="str">
        <f t="shared" si="27"/>
        <v>Delayed</v>
      </c>
    </row>
    <row r="239" spans="1:29">
      <c r="A239" s="34" t="s">
        <v>752</v>
      </c>
      <c r="B239" s="10" t="s">
        <v>346</v>
      </c>
      <c r="C239" s="10" t="s">
        <v>362</v>
      </c>
      <c r="D239" s="10" t="s">
        <v>138</v>
      </c>
      <c r="E239" s="11">
        <v>45750</v>
      </c>
      <c r="F239" s="10" t="s">
        <v>348</v>
      </c>
      <c r="G239" s="10" t="s">
        <v>269</v>
      </c>
      <c r="H239" s="10" t="s">
        <v>753</v>
      </c>
      <c r="I239" s="10" t="s">
        <v>252</v>
      </c>
      <c r="J239" s="10" t="s">
        <v>242</v>
      </c>
      <c r="K239" s="10" t="s">
        <v>295</v>
      </c>
      <c r="L239" s="10" t="s">
        <v>363</v>
      </c>
      <c r="M239" s="10">
        <v>19</v>
      </c>
      <c r="N239" s="10">
        <v>45</v>
      </c>
      <c r="O239" s="10">
        <v>10</v>
      </c>
      <c r="P239" s="10">
        <v>769.5</v>
      </c>
      <c r="Q239" s="10">
        <v>1</v>
      </c>
      <c r="R239" s="10" t="s">
        <v>254</v>
      </c>
      <c r="S239" s="10" t="s">
        <v>292</v>
      </c>
      <c r="T239" s="10" t="s">
        <v>350</v>
      </c>
      <c r="U239" s="10">
        <v>9367541035</v>
      </c>
      <c r="V239" s="12" t="s">
        <v>257</v>
      </c>
      <c r="W239" t="str">
        <f t="shared" si="23"/>
        <v>Blacklisted</v>
      </c>
      <c r="X239" t="str">
        <f t="shared" si="24"/>
        <v>Vikas Mehta</v>
      </c>
      <c r="Y239" t="str">
        <f t="shared" si="22"/>
        <v>Vik005Hy</v>
      </c>
      <c r="Z239" t="str">
        <f t="shared" si="25"/>
        <v>vikas.mehta@company.com</v>
      </c>
      <c r="AA239" t="str">
        <f t="shared" ca="1" si="28"/>
        <v/>
      </c>
      <c r="AB239" t="str">
        <f t="shared" si="26"/>
        <v/>
      </c>
      <c r="AC239" t="str">
        <f t="shared" si="27"/>
        <v>Delayed</v>
      </c>
    </row>
    <row r="240" spans="1:29">
      <c r="A240" s="33" t="s">
        <v>754</v>
      </c>
      <c r="B240" s="5" t="s">
        <v>235</v>
      </c>
      <c r="C240" s="5" t="s">
        <v>362</v>
      </c>
      <c r="D240" s="5" t="s">
        <v>161</v>
      </c>
      <c r="E240" s="6">
        <v>46175</v>
      </c>
      <c r="F240" s="5" t="s">
        <v>318</v>
      </c>
      <c r="G240" s="5" t="s">
        <v>239</v>
      </c>
      <c r="H240" s="6">
        <v>28552</v>
      </c>
      <c r="I240" s="5" t="s">
        <v>291</v>
      </c>
      <c r="J240" s="5" t="s">
        <v>287</v>
      </c>
      <c r="K240" s="5" t="s">
        <v>295</v>
      </c>
      <c r="L240" s="5" t="s">
        <v>363</v>
      </c>
      <c r="M240" s="5">
        <v>10</v>
      </c>
      <c r="N240" s="5">
        <v>45</v>
      </c>
      <c r="O240" s="5">
        <v>0</v>
      </c>
      <c r="P240" s="5">
        <v>450</v>
      </c>
      <c r="Q240" s="5">
        <v>4</v>
      </c>
      <c r="R240" s="5" t="s">
        <v>277</v>
      </c>
      <c r="S240" s="5" t="s">
        <v>246</v>
      </c>
      <c r="T240" s="5" t="s">
        <v>247</v>
      </c>
      <c r="U240" s="5">
        <v>9323696971</v>
      </c>
      <c r="V240" s="8" t="s">
        <v>257</v>
      </c>
      <c r="W240" t="str">
        <f t="shared" si="23"/>
        <v>Silver</v>
      </c>
      <c r="X240" t="str">
        <f t="shared" si="24"/>
        <v>Pooja Shah</v>
      </c>
      <c r="Y240" t="str">
        <f t="shared" si="22"/>
        <v>Poo010Pu</v>
      </c>
      <c r="Z240" t="str">
        <f t="shared" si="25"/>
        <v>pooja.shah@company.com</v>
      </c>
      <c r="AA240" t="str">
        <f t="shared" ca="1" si="28"/>
        <v/>
      </c>
      <c r="AB240" t="str">
        <f t="shared" si="26"/>
        <v/>
      </c>
      <c r="AC240" t="str">
        <f t="shared" si="27"/>
        <v>Delayed</v>
      </c>
    </row>
    <row r="241" spans="1:29">
      <c r="A241" s="34" t="s">
        <v>755</v>
      </c>
      <c r="B241" s="10" t="s">
        <v>235</v>
      </c>
      <c r="C241" s="10" t="s">
        <v>362</v>
      </c>
      <c r="D241" s="11">
        <v>46235</v>
      </c>
      <c r="E241" s="10" t="s">
        <v>54</v>
      </c>
      <c r="F241" s="10" t="s">
        <v>318</v>
      </c>
      <c r="G241" s="10" t="s">
        <v>239</v>
      </c>
      <c r="H241" s="10" t="s">
        <v>756</v>
      </c>
      <c r="I241" s="10" t="s">
        <v>252</v>
      </c>
      <c r="J241" s="10" t="s">
        <v>242</v>
      </c>
      <c r="K241" s="10" t="s">
        <v>295</v>
      </c>
      <c r="L241" s="10" t="s">
        <v>363</v>
      </c>
      <c r="M241" s="10">
        <v>16</v>
      </c>
      <c r="N241" s="10">
        <v>45</v>
      </c>
      <c r="O241" s="10">
        <v>15</v>
      </c>
      <c r="P241" s="10">
        <v>612</v>
      </c>
      <c r="Q241" s="10">
        <v>3</v>
      </c>
      <c r="R241" s="10" t="s">
        <v>254</v>
      </c>
      <c r="S241" s="10" t="s">
        <v>292</v>
      </c>
      <c r="T241" s="10" t="s">
        <v>247</v>
      </c>
      <c r="U241" s="10">
        <v>9786384529</v>
      </c>
      <c r="V241" s="12" t="s">
        <v>265</v>
      </c>
      <c r="W241" t="str">
        <f t="shared" si="23"/>
        <v>Blacklisted</v>
      </c>
      <c r="X241" t="str">
        <f t="shared" si="24"/>
        <v>Pooja Shah</v>
      </c>
      <c r="Y241" t="str">
        <f t="shared" si="22"/>
        <v>Poo010Hy</v>
      </c>
      <c r="Z241" t="str">
        <f t="shared" si="25"/>
        <v>pooja.shah@company.com</v>
      </c>
      <c r="AA241">
        <f t="shared" ca="1" si="28"/>
        <v>48</v>
      </c>
      <c r="AB241" t="str">
        <f t="shared" si="26"/>
        <v/>
      </c>
      <c r="AC241" t="str">
        <f t="shared" si="27"/>
        <v>Delayed</v>
      </c>
    </row>
    <row r="242" spans="1:29">
      <c r="A242" s="33" t="s">
        <v>757</v>
      </c>
      <c r="B242" s="5" t="s">
        <v>321</v>
      </c>
      <c r="C242" s="5" t="s">
        <v>322</v>
      </c>
      <c r="D242" s="5" t="s">
        <v>140</v>
      </c>
      <c r="E242" s="5" t="s">
        <v>163</v>
      </c>
      <c r="F242" s="5" t="s">
        <v>408</v>
      </c>
      <c r="G242" s="5" t="s">
        <v>239</v>
      </c>
      <c r="H242" s="5" t="s">
        <v>758</v>
      </c>
      <c r="I242" s="5" t="s">
        <v>291</v>
      </c>
      <c r="J242" s="5" t="s">
        <v>287</v>
      </c>
      <c r="K242" s="5" t="s">
        <v>15</v>
      </c>
      <c r="L242" s="5" t="s">
        <v>325</v>
      </c>
      <c r="M242" s="5">
        <v>16</v>
      </c>
      <c r="N242" s="5">
        <v>8500</v>
      </c>
      <c r="O242" s="5">
        <v>15</v>
      </c>
      <c r="P242" s="5">
        <v>115600</v>
      </c>
      <c r="Q242" s="5">
        <v>4</v>
      </c>
      <c r="R242" s="5" t="s">
        <v>245</v>
      </c>
      <c r="S242" s="5" t="s">
        <v>255</v>
      </c>
      <c r="T242" s="5" t="s">
        <v>326</v>
      </c>
      <c r="U242" s="5">
        <v>9444900541</v>
      </c>
      <c r="V242" s="8" t="s">
        <v>265</v>
      </c>
      <c r="W242" t="str">
        <f t="shared" si="23"/>
        <v>Blacklisted</v>
      </c>
      <c r="X242" t="str">
        <f t="shared" si="24"/>
        <v>Anita Gupta</v>
      </c>
      <c r="Y242" t="str">
        <f t="shared" si="22"/>
        <v>Ani004Pu</v>
      </c>
      <c r="Z242" t="str">
        <f t="shared" si="25"/>
        <v>anita.gupta@company.com</v>
      </c>
      <c r="AA242" t="str">
        <f t="shared" ca="1" si="28"/>
        <v/>
      </c>
      <c r="AB242">
        <f t="shared" si="26"/>
        <v>2</v>
      </c>
      <c r="AC242" t="str">
        <f t="shared" si="27"/>
        <v>On time</v>
      </c>
    </row>
    <row r="243" spans="1:29">
      <c r="A243" s="34" t="s">
        <v>759</v>
      </c>
      <c r="B243" s="10" t="s">
        <v>321</v>
      </c>
      <c r="C243" s="10" t="s">
        <v>347</v>
      </c>
      <c r="D243" s="11">
        <v>45666</v>
      </c>
      <c r="E243" s="11">
        <v>46000</v>
      </c>
      <c r="F243" s="10" t="s">
        <v>408</v>
      </c>
      <c r="G243" s="10" t="s">
        <v>239</v>
      </c>
      <c r="H243" s="11">
        <v>35159</v>
      </c>
      <c r="I243" s="10" t="s">
        <v>379</v>
      </c>
      <c r="J243" s="10" t="s">
        <v>21</v>
      </c>
      <c r="K243" s="10" t="s">
        <v>295</v>
      </c>
      <c r="L243" s="10" t="s">
        <v>349</v>
      </c>
      <c r="M243" s="10">
        <v>15</v>
      </c>
      <c r="N243" s="10">
        <v>20</v>
      </c>
      <c r="O243" s="10">
        <v>20</v>
      </c>
      <c r="P243" s="10">
        <v>240</v>
      </c>
      <c r="Q243" s="10">
        <v>3</v>
      </c>
      <c r="R243" s="10" t="s">
        <v>245</v>
      </c>
      <c r="S243" s="10" t="s">
        <v>263</v>
      </c>
      <c r="T243" s="10" t="s">
        <v>326</v>
      </c>
      <c r="U243" s="10">
        <v>9108024911</v>
      </c>
      <c r="V243" s="12" t="s">
        <v>265</v>
      </c>
      <c r="W243" t="str">
        <f t="shared" si="23"/>
        <v>Blacklisted</v>
      </c>
      <c r="X243" t="str">
        <f t="shared" si="24"/>
        <v>Anita Gupta</v>
      </c>
      <c r="Y243" t="str">
        <f t="shared" si="22"/>
        <v>Ani004Ko</v>
      </c>
      <c r="Z243" t="str">
        <f t="shared" si="25"/>
        <v>anita.gupta@company.com</v>
      </c>
      <c r="AA243" t="str">
        <f t="shared" ca="1" si="28"/>
        <v/>
      </c>
      <c r="AB243" t="str">
        <f t="shared" si="26"/>
        <v/>
      </c>
      <c r="AC243" t="str">
        <f t="shared" si="27"/>
        <v>Delayed</v>
      </c>
    </row>
    <row r="244" spans="1:29">
      <c r="A244" s="33" t="s">
        <v>760</v>
      </c>
      <c r="B244" s="5" t="s">
        <v>275</v>
      </c>
      <c r="C244" s="5" t="s">
        <v>294</v>
      </c>
      <c r="D244" s="6">
        <v>46266</v>
      </c>
      <c r="E244" s="5" t="s">
        <v>6</v>
      </c>
      <c r="F244" s="5" t="s">
        <v>328</v>
      </c>
      <c r="G244" s="5" t="s">
        <v>269</v>
      </c>
      <c r="H244" s="6">
        <v>37144</v>
      </c>
      <c r="I244" s="5" t="s">
        <v>241</v>
      </c>
      <c r="J244" s="5" t="s">
        <v>242</v>
      </c>
      <c r="K244" s="5" t="s">
        <v>295</v>
      </c>
      <c r="L244" s="5" t="s">
        <v>296</v>
      </c>
      <c r="M244" s="5">
        <v>14</v>
      </c>
      <c r="N244" s="5">
        <v>60</v>
      </c>
      <c r="O244" s="5">
        <v>5</v>
      </c>
      <c r="P244" s="5">
        <v>798</v>
      </c>
      <c r="Q244" s="5">
        <v>4</v>
      </c>
      <c r="R244" s="5" t="s">
        <v>254</v>
      </c>
      <c r="S244" s="5" t="s">
        <v>263</v>
      </c>
      <c r="T244" s="5" t="s">
        <v>278</v>
      </c>
      <c r="U244" s="5">
        <v>9897181325</v>
      </c>
      <c r="V244" s="8" t="s">
        <v>257</v>
      </c>
      <c r="W244" t="str">
        <f t="shared" si="23"/>
        <v>Silver</v>
      </c>
      <c r="X244" t="str">
        <f t="shared" si="24"/>
        <v>Arjun Rao</v>
      </c>
      <c r="Y244" t="str">
        <f t="shared" ref="Y244:Y307" si="29">LEFT(F244,3)&amp;MID(B244,2,3)&amp;LEFT(I244,2)</f>
        <v>Arj007Be</v>
      </c>
      <c r="Z244" t="str">
        <f t="shared" si="25"/>
        <v>arjun.rao@company.com</v>
      </c>
      <c r="AA244">
        <f t="shared" ca="1" si="28"/>
        <v>30</v>
      </c>
      <c r="AB244" t="str">
        <f t="shared" si="26"/>
        <v/>
      </c>
      <c r="AC244" t="str">
        <f t="shared" si="27"/>
        <v>Delayed</v>
      </c>
    </row>
    <row r="245" spans="1:29">
      <c r="A245" s="34" t="s">
        <v>761</v>
      </c>
      <c r="B245" s="10" t="s">
        <v>235</v>
      </c>
      <c r="C245" s="10" t="s">
        <v>267</v>
      </c>
      <c r="D245" s="10" t="s">
        <v>47</v>
      </c>
      <c r="E245" s="10" t="s">
        <v>762</v>
      </c>
      <c r="F245" s="10" t="s">
        <v>318</v>
      </c>
      <c r="G245" s="10" t="s">
        <v>239</v>
      </c>
      <c r="H245" s="11">
        <v>35007</v>
      </c>
      <c r="I245" s="10" t="s">
        <v>286</v>
      </c>
      <c r="J245" s="10" t="s">
        <v>287</v>
      </c>
      <c r="K245" s="10" t="s">
        <v>243</v>
      </c>
      <c r="L245" s="10" t="s">
        <v>271</v>
      </c>
      <c r="M245" s="10">
        <v>19</v>
      </c>
      <c r="N245" s="10">
        <v>1200</v>
      </c>
      <c r="O245" s="10">
        <v>20</v>
      </c>
      <c r="P245" s="10">
        <v>18240</v>
      </c>
      <c r="Q245" s="10">
        <v>2</v>
      </c>
      <c r="R245" s="10" t="s">
        <v>254</v>
      </c>
      <c r="S245" s="10" t="s">
        <v>292</v>
      </c>
      <c r="T245" s="10" t="s">
        <v>247</v>
      </c>
      <c r="U245" s="10">
        <v>9554719621</v>
      </c>
      <c r="V245" s="12" t="s">
        <v>265</v>
      </c>
      <c r="W245" t="str">
        <f t="shared" si="23"/>
        <v>Blacklisted</v>
      </c>
      <c r="X245" t="str">
        <f t="shared" si="24"/>
        <v>Pooja Shah</v>
      </c>
      <c r="Y245" t="str">
        <f t="shared" si="29"/>
        <v>Poo010Mu</v>
      </c>
      <c r="Z245" t="str">
        <f t="shared" si="25"/>
        <v>pooja.shah@company.com</v>
      </c>
      <c r="AA245">
        <f t="shared" ca="1" si="28"/>
        <v>25</v>
      </c>
      <c r="AB245">
        <f t="shared" si="26"/>
        <v>3</v>
      </c>
      <c r="AC245" t="str">
        <f t="shared" si="27"/>
        <v>On time</v>
      </c>
    </row>
    <row r="246" spans="1:29">
      <c r="A246" s="33" t="s">
        <v>763</v>
      </c>
      <c r="B246" s="5" t="s">
        <v>249</v>
      </c>
      <c r="C246" s="5" t="s">
        <v>362</v>
      </c>
      <c r="D246" s="5" t="s">
        <v>20</v>
      </c>
      <c r="E246" s="5" t="s">
        <v>401</v>
      </c>
      <c r="F246" s="5" t="s">
        <v>251</v>
      </c>
      <c r="G246" s="5" t="s">
        <v>239</v>
      </c>
      <c r="H246" s="6">
        <v>36621</v>
      </c>
      <c r="I246" s="5" t="s">
        <v>241</v>
      </c>
      <c r="J246" s="5" t="s">
        <v>242</v>
      </c>
      <c r="K246" s="5" t="s">
        <v>295</v>
      </c>
      <c r="L246" s="5" t="s">
        <v>363</v>
      </c>
      <c r="M246" s="5">
        <v>5</v>
      </c>
      <c r="N246" s="5">
        <v>45</v>
      </c>
      <c r="O246" s="5">
        <v>15</v>
      </c>
      <c r="P246" s="5">
        <v>191.25</v>
      </c>
      <c r="Q246" s="5">
        <v>2</v>
      </c>
      <c r="R246" s="5" t="s">
        <v>254</v>
      </c>
      <c r="S246" s="5" t="s">
        <v>246</v>
      </c>
      <c r="T246" s="5" t="s">
        <v>264</v>
      </c>
      <c r="U246" s="5">
        <v>9815899217</v>
      </c>
      <c r="V246" s="8" t="s">
        <v>265</v>
      </c>
      <c r="W246" t="str">
        <f t="shared" si="23"/>
        <v>Blacklisted</v>
      </c>
      <c r="X246" t="str">
        <f t="shared" si="24"/>
        <v>Kavya Nair</v>
      </c>
      <c r="Y246" t="str">
        <f t="shared" si="29"/>
        <v>Kav008Be</v>
      </c>
      <c r="Z246" t="str">
        <f t="shared" si="25"/>
        <v>kavya.nair@company.com</v>
      </c>
      <c r="AA246">
        <f t="shared" ca="1" si="28"/>
        <v>30</v>
      </c>
      <c r="AB246">
        <f t="shared" si="26"/>
        <v>1</v>
      </c>
      <c r="AC246" t="str">
        <f t="shared" si="27"/>
        <v>On time</v>
      </c>
    </row>
    <row r="247" spans="1:29">
      <c r="A247" s="34" t="s">
        <v>764</v>
      </c>
      <c r="B247" s="10" t="s">
        <v>392</v>
      </c>
      <c r="C247" s="10" t="s">
        <v>330</v>
      </c>
      <c r="D247" s="10" t="s">
        <v>143</v>
      </c>
      <c r="E247" s="11">
        <v>45663</v>
      </c>
      <c r="F247" s="10" t="s">
        <v>323</v>
      </c>
      <c r="G247" s="10" t="s">
        <v>269</v>
      </c>
      <c r="H247" s="11">
        <v>37259</v>
      </c>
      <c r="I247" s="10" t="s">
        <v>252</v>
      </c>
      <c r="J247" s="10" t="s">
        <v>242</v>
      </c>
      <c r="K247" s="10" t="s">
        <v>243</v>
      </c>
      <c r="L247" s="10" t="s">
        <v>333</v>
      </c>
      <c r="M247" s="10">
        <v>19</v>
      </c>
      <c r="N247" s="10">
        <v>700</v>
      </c>
      <c r="O247" s="10">
        <v>5</v>
      </c>
      <c r="P247" s="10">
        <v>12635</v>
      </c>
      <c r="Q247" s="10">
        <v>5</v>
      </c>
      <c r="R247" s="10" t="s">
        <v>277</v>
      </c>
      <c r="S247" s="10" t="s">
        <v>312</v>
      </c>
      <c r="T247" s="10" t="s">
        <v>395</v>
      </c>
      <c r="U247" s="10">
        <v>9308497039</v>
      </c>
      <c r="V247" s="12" t="s">
        <v>257</v>
      </c>
      <c r="W247" t="str">
        <f t="shared" si="23"/>
        <v>Silver</v>
      </c>
      <c r="X247" t="str">
        <f t="shared" si="24"/>
        <v>Amit Sharma</v>
      </c>
      <c r="Y247" t="str">
        <f t="shared" si="29"/>
        <v>Ami001Hy</v>
      </c>
      <c r="Z247" t="str">
        <f t="shared" si="25"/>
        <v>amit.sharma@company.com</v>
      </c>
      <c r="AA247">
        <f t="shared" ca="1" si="28"/>
        <v>26</v>
      </c>
      <c r="AB247" t="str">
        <f t="shared" si="26"/>
        <v/>
      </c>
      <c r="AC247" t="str">
        <f t="shared" si="27"/>
        <v>Delayed</v>
      </c>
    </row>
    <row r="248" spans="1:29">
      <c r="A248" s="33" t="s">
        <v>765</v>
      </c>
      <c r="B248" s="5" t="s">
        <v>299</v>
      </c>
      <c r="C248" s="5" t="s">
        <v>294</v>
      </c>
      <c r="D248" s="6">
        <v>46082</v>
      </c>
      <c r="E248" s="6">
        <v>46113</v>
      </c>
      <c r="F248" s="5" t="s">
        <v>301</v>
      </c>
      <c r="G248" s="5" t="s">
        <v>269</v>
      </c>
      <c r="H248" s="5" t="s">
        <v>766</v>
      </c>
      <c r="I248" s="5" t="s">
        <v>379</v>
      </c>
      <c r="J248" s="5" t="s">
        <v>21</v>
      </c>
      <c r="K248" s="5" t="s">
        <v>295</v>
      </c>
      <c r="L248" s="5" t="s">
        <v>296</v>
      </c>
      <c r="M248" s="5">
        <v>7</v>
      </c>
      <c r="N248" s="5">
        <v>60</v>
      </c>
      <c r="O248" s="5">
        <v>0</v>
      </c>
      <c r="P248" s="5">
        <v>420</v>
      </c>
      <c r="Q248" s="5">
        <v>4</v>
      </c>
      <c r="R248" s="5" t="s">
        <v>254</v>
      </c>
      <c r="S248" s="5" t="s">
        <v>292</v>
      </c>
      <c r="T248" s="5" t="s">
        <v>302</v>
      </c>
      <c r="U248" s="5">
        <v>9882054354</v>
      </c>
      <c r="V248" s="8" t="s">
        <v>248</v>
      </c>
      <c r="W248" t="str">
        <f t="shared" si="23"/>
        <v/>
      </c>
      <c r="X248" t="str">
        <f t="shared" si="24"/>
        <v>Rohit Singh</v>
      </c>
      <c r="Y248" t="str">
        <f t="shared" si="29"/>
        <v>Roh003Ko</v>
      </c>
      <c r="Z248" t="str">
        <f t="shared" si="25"/>
        <v>rohit.singh@company.com</v>
      </c>
      <c r="AA248">
        <f t="shared" ca="1" si="28"/>
        <v>24</v>
      </c>
      <c r="AB248" t="str">
        <f t="shared" si="26"/>
        <v/>
      </c>
      <c r="AC248" t="str">
        <f t="shared" si="27"/>
        <v>Delayed</v>
      </c>
    </row>
    <row r="249" spans="1:29">
      <c r="A249" s="34" t="s">
        <v>767</v>
      </c>
      <c r="B249" s="10" t="s">
        <v>266</v>
      </c>
      <c r="C249" s="10" t="s">
        <v>250</v>
      </c>
      <c r="D249" s="10" t="s">
        <v>117</v>
      </c>
      <c r="E249" s="11">
        <v>46054</v>
      </c>
      <c r="F249" s="10" t="s">
        <v>268</v>
      </c>
      <c r="G249" s="10" t="s">
        <v>269</v>
      </c>
      <c r="H249" s="11">
        <v>32185</v>
      </c>
      <c r="I249" s="10" t="s">
        <v>286</v>
      </c>
      <c r="J249" s="10" t="s">
        <v>287</v>
      </c>
      <c r="K249" s="10" t="s">
        <v>15</v>
      </c>
      <c r="L249" s="10" t="s">
        <v>253</v>
      </c>
      <c r="M249" s="10">
        <v>13</v>
      </c>
      <c r="N249" s="10">
        <v>2200</v>
      </c>
      <c r="O249" s="10">
        <v>10</v>
      </c>
      <c r="P249" s="10">
        <v>25740</v>
      </c>
      <c r="Q249" s="10">
        <v>1</v>
      </c>
      <c r="R249" s="10" t="s">
        <v>272</v>
      </c>
      <c r="S249" s="10" t="s">
        <v>312</v>
      </c>
      <c r="T249" s="10" t="s">
        <v>273</v>
      </c>
      <c r="U249" s="10">
        <v>9193016830</v>
      </c>
      <c r="V249" s="12" t="s">
        <v>257</v>
      </c>
      <c r="W249" t="str">
        <f t="shared" si="23"/>
        <v>Blacklisted</v>
      </c>
      <c r="X249" t="str">
        <f t="shared" si="24"/>
        <v>Mohit Verma</v>
      </c>
      <c r="Y249" t="str">
        <f t="shared" si="29"/>
        <v>Moh009Mu</v>
      </c>
      <c r="Z249" t="str">
        <f t="shared" si="25"/>
        <v>mohit.verma@company.com</v>
      </c>
      <c r="AA249" t="str">
        <f t="shared" ca="1" si="28"/>
        <v/>
      </c>
      <c r="AB249" t="str">
        <f t="shared" si="26"/>
        <v/>
      </c>
      <c r="AC249" t="str">
        <f t="shared" si="27"/>
        <v>Delayed</v>
      </c>
    </row>
    <row r="250" spans="1:29">
      <c r="A250" s="33" t="s">
        <v>768</v>
      </c>
      <c r="B250" s="5" t="s">
        <v>266</v>
      </c>
      <c r="C250" s="5" t="s">
        <v>250</v>
      </c>
      <c r="D250" s="5" t="s">
        <v>183</v>
      </c>
      <c r="E250" s="6">
        <v>46143</v>
      </c>
      <c r="F250" s="5" t="s">
        <v>268</v>
      </c>
      <c r="G250" s="5" t="s">
        <v>269</v>
      </c>
      <c r="H250" s="6">
        <v>30845</v>
      </c>
      <c r="I250" s="5" t="s">
        <v>241</v>
      </c>
      <c r="J250" s="5" t="s">
        <v>242</v>
      </c>
      <c r="K250" s="5" t="s">
        <v>15</v>
      </c>
      <c r="L250" s="5" t="s">
        <v>253</v>
      </c>
      <c r="M250" s="5">
        <v>9</v>
      </c>
      <c r="N250" s="5">
        <v>2200</v>
      </c>
      <c r="O250" s="5">
        <v>10</v>
      </c>
      <c r="P250" s="5">
        <v>17820</v>
      </c>
      <c r="Q250" s="5">
        <v>2</v>
      </c>
      <c r="R250" s="5" t="s">
        <v>769</v>
      </c>
      <c r="S250" s="5" t="s">
        <v>246</v>
      </c>
      <c r="T250" s="5" t="s">
        <v>273</v>
      </c>
      <c r="U250" s="5">
        <v>9921470418</v>
      </c>
      <c r="V250" s="8" t="s">
        <v>265</v>
      </c>
      <c r="W250" t="str">
        <f t="shared" si="23"/>
        <v>Blacklisted</v>
      </c>
      <c r="X250" t="str">
        <f t="shared" si="24"/>
        <v>Mohit Verma</v>
      </c>
      <c r="Y250" t="str">
        <f t="shared" si="29"/>
        <v>Moh009Be</v>
      </c>
      <c r="Z250" t="str">
        <f t="shared" si="25"/>
        <v>mohit.verma@company.com</v>
      </c>
      <c r="AA250">
        <f t="shared" ca="1" si="28"/>
        <v>38</v>
      </c>
      <c r="AB250" t="str">
        <f t="shared" si="26"/>
        <v/>
      </c>
      <c r="AC250" t="str">
        <f t="shared" si="27"/>
        <v>Delayed</v>
      </c>
    </row>
    <row r="251" spans="1:29">
      <c r="A251" s="34" t="s">
        <v>770</v>
      </c>
      <c r="B251" s="10" t="s">
        <v>392</v>
      </c>
      <c r="C251" s="10" t="s">
        <v>322</v>
      </c>
      <c r="D251" s="10" t="s">
        <v>34</v>
      </c>
      <c r="E251" s="10" t="s">
        <v>771</v>
      </c>
      <c r="F251" s="10" t="s">
        <v>323</v>
      </c>
      <c r="G251" s="10" t="s">
        <v>269</v>
      </c>
      <c r="H251" s="11">
        <v>32878</v>
      </c>
      <c r="I251" s="10" t="s">
        <v>241</v>
      </c>
      <c r="J251" s="10" t="s">
        <v>242</v>
      </c>
      <c r="K251" s="10" t="s">
        <v>15</v>
      </c>
      <c r="L251" s="10" t="s">
        <v>325</v>
      </c>
      <c r="M251" s="10">
        <v>6</v>
      </c>
      <c r="N251" s="10">
        <v>8500</v>
      </c>
      <c r="O251" s="10">
        <v>15</v>
      </c>
      <c r="P251" s="10">
        <v>43350</v>
      </c>
      <c r="Q251" s="10">
        <v>2</v>
      </c>
      <c r="R251" s="10" t="s">
        <v>254</v>
      </c>
      <c r="S251" s="10" t="s">
        <v>312</v>
      </c>
      <c r="T251" s="10" t="s">
        <v>395</v>
      </c>
      <c r="U251" s="10">
        <v>9686979026</v>
      </c>
      <c r="V251" s="12" t="s">
        <v>265</v>
      </c>
      <c r="W251" t="str">
        <f t="shared" si="23"/>
        <v>Blacklisted</v>
      </c>
      <c r="X251" t="str">
        <f t="shared" si="24"/>
        <v>Amit Sharma</v>
      </c>
      <c r="Y251" t="str">
        <f t="shared" si="29"/>
        <v>Ami001Be</v>
      </c>
      <c r="Z251" t="str">
        <f t="shared" si="25"/>
        <v>amit.sharma@company.com</v>
      </c>
      <c r="AA251">
        <f t="shared" ca="1" si="28"/>
        <v>42</v>
      </c>
      <c r="AB251">
        <f t="shared" si="26"/>
        <v>2</v>
      </c>
      <c r="AC251" t="str">
        <f t="shared" si="27"/>
        <v>On time</v>
      </c>
    </row>
    <row r="252" spans="1:29">
      <c r="A252" s="33" t="s">
        <v>772</v>
      </c>
      <c r="B252" s="5" t="s">
        <v>346</v>
      </c>
      <c r="C252" s="5" t="s">
        <v>250</v>
      </c>
      <c r="D252" s="5" t="s">
        <v>56</v>
      </c>
      <c r="E252" s="5" t="s">
        <v>139</v>
      </c>
      <c r="F252" s="5" t="s">
        <v>348</v>
      </c>
      <c r="G252" s="5" t="s">
        <v>269</v>
      </c>
      <c r="H252" s="6">
        <v>32388</v>
      </c>
      <c r="I252" s="5" t="s">
        <v>260</v>
      </c>
      <c r="J252" s="5" t="s">
        <v>261</v>
      </c>
      <c r="K252" s="5" t="s">
        <v>15</v>
      </c>
      <c r="L252" s="5" t="s">
        <v>253</v>
      </c>
      <c r="M252" s="5">
        <v>9</v>
      </c>
      <c r="N252" s="5">
        <v>2200</v>
      </c>
      <c r="O252" s="5">
        <v>10</v>
      </c>
      <c r="P252" s="5">
        <v>17820</v>
      </c>
      <c r="Q252" s="5">
        <v>3</v>
      </c>
      <c r="R252" s="5" t="s">
        <v>272</v>
      </c>
      <c r="S252" s="5" t="s">
        <v>255</v>
      </c>
      <c r="T252" s="5" t="s">
        <v>350</v>
      </c>
      <c r="U252" s="5">
        <v>9569007422</v>
      </c>
      <c r="V252" s="8" t="s">
        <v>248</v>
      </c>
      <c r="W252" t="str">
        <f t="shared" si="23"/>
        <v/>
      </c>
      <c r="X252" t="str">
        <f t="shared" si="24"/>
        <v>Vikas Mehta</v>
      </c>
      <c r="Y252" t="str">
        <f t="shared" si="29"/>
        <v>Vik005De</v>
      </c>
      <c r="Z252" t="str">
        <f t="shared" si="25"/>
        <v>vikas.mehta@company.com</v>
      </c>
      <c r="AA252">
        <f t="shared" ca="1" si="28"/>
        <v>36</v>
      </c>
      <c r="AB252">
        <f t="shared" si="26"/>
        <v>8</v>
      </c>
      <c r="AC252" t="str">
        <f t="shared" si="27"/>
        <v>Delayed</v>
      </c>
    </row>
    <row r="253" spans="1:29">
      <c r="A253" s="34" t="s">
        <v>773</v>
      </c>
      <c r="B253" s="10" t="s">
        <v>249</v>
      </c>
      <c r="C253" s="10" t="s">
        <v>322</v>
      </c>
      <c r="D253" s="10" t="s">
        <v>120</v>
      </c>
      <c r="E253" s="10" t="s">
        <v>151</v>
      </c>
      <c r="F253" s="10" t="s">
        <v>251</v>
      </c>
      <c r="G253" s="10" t="s">
        <v>239</v>
      </c>
      <c r="H253" s="10" t="s">
        <v>774</v>
      </c>
      <c r="I253" s="10" t="s">
        <v>379</v>
      </c>
      <c r="J253" s="10" t="s">
        <v>21</v>
      </c>
      <c r="K253" s="10" t="s">
        <v>15</v>
      </c>
      <c r="L253" s="10" t="s">
        <v>325</v>
      </c>
      <c r="M253" s="10">
        <v>16</v>
      </c>
      <c r="N253" s="10">
        <v>8500</v>
      </c>
      <c r="O253" s="10">
        <v>0</v>
      </c>
      <c r="P253" s="10">
        <v>136000</v>
      </c>
      <c r="Q253" s="10">
        <v>5</v>
      </c>
      <c r="R253" s="10" t="s">
        <v>277</v>
      </c>
      <c r="S253" s="10" t="s">
        <v>292</v>
      </c>
      <c r="T253" s="10" t="s">
        <v>264</v>
      </c>
      <c r="U253" s="10">
        <v>9180820441</v>
      </c>
      <c r="V253" s="12" t="s">
        <v>265</v>
      </c>
      <c r="W253" t="str">
        <f t="shared" si="23"/>
        <v>Blacklisted</v>
      </c>
      <c r="X253" t="str">
        <f t="shared" si="24"/>
        <v>Kavya Nair</v>
      </c>
      <c r="Y253" t="str">
        <f t="shared" si="29"/>
        <v>Kav008Ko</v>
      </c>
      <c r="Z253" t="str">
        <f t="shared" si="25"/>
        <v>kavya.nair@company.com</v>
      </c>
      <c r="AA253">
        <f t="shared" ca="1" si="28"/>
        <v>38</v>
      </c>
      <c r="AB253">
        <f t="shared" si="26"/>
        <v>3</v>
      </c>
      <c r="AC253" t="str">
        <f t="shared" si="27"/>
        <v>On time</v>
      </c>
    </row>
    <row r="254" spans="1:29">
      <c r="A254" s="33" t="s">
        <v>775</v>
      </c>
      <c r="B254" s="5" t="s">
        <v>392</v>
      </c>
      <c r="C254" s="5" t="s">
        <v>267</v>
      </c>
      <c r="D254" s="5" t="s">
        <v>39</v>
      </c>
      <c r="E254" s="5" t="s">
        <v>52</v>
      </c>
      <c r="F254" s="5" t="s">
        <v>323</v>
      </c>
      <c r="G254" s="5" t="s">
        <v>269</v>
      </c>
      <c r="H254" s="5" t="s">
        <v>776</v>
      </c>
      <c r="I254" s="5" t="s">
        <v>260</v>
      </c>
      <c r="J254" s="5" t="s">
        <v>261</v>
      </c>
      <c r="K254" s="5" t="s">
        <v>243</v>
      </c>
      <c r="L254" s="5" t="s">
        <v>271</v>
      </c>
      <c r="M254" s="5">
        <v>10</v>
      </c>
      <c r="N254" s="5">
        <v>1200</v>
      </c>
      <c r="O254" s="5">
        <v>15</v>
      </c>
      <c r="P254" s="5">
        <v>10200</v>
      </c>
      <c r="Q254" s="5">
        <v>5</v>
      </c>
      <c r="R254" s="5" t="s">
        <v>254</v>
      </c>
      <c r="S254" s="5" t="s">
        <v>263</v>
      </c>
      <c r="T254" s="5" t="s">
        <v>395</v>
      </c>
      <c r="U254" s="5">
        <v>9769075826</v>
      </c>
      <c r="V254" s="8" t="s">
        <v>257</v>
      </c>
      <c r="W254" t="str">
        <f t="shared" si="23"/>
        <v>Silver</v>
      </c>
      <c r="X254" t="str">
        <f t="shared" si="24"/>
        <v>Amit Sharma</v>
      </c>
      <c r="Y254" t="str">
        <f t="shared" si="29"/>
        <v>Ami001De</v>
      </c>
      <c r="Z254" t="str">
        <f t="shared" si="25"/>
        <v>amit.sharma@company.com</v>
      </c>
      <c r="AA254" t="str">
        <f t="shared" ca="1" si="28"/>
        <v/>
      </c>
      <c r="AB254">
        <f t="shared" si="26"/>
        <v>1</v>
      </c>
      <c r="AC254" t="str">
        <f t="shared" si="27"/>
        <v>On time</v>
      </c>
    </row>
    <row r="255" spans="1:29">
      <c r="A255" s="34" t="s">
        <v>777</v>
      </c>
      <c r="B255" s="10" t="s">
        <v>299</v>
      </c>
      <c r="C255" s="10" t="s">
        <v>258</v>
      </c>
      <c r="D255" s="11">
        <v>45780</v>
      </c>
      <c r="E255" s="10" t="s">
        <v>304</v>
      </c>
      <c r="F255" s="10" t="s">
        <v>301</v>
      </c>
      <c r="G255" s="10" t="s">
        <v>269</v>
      </c>
      <c r="H255" s="11">
        <v>37688</v>
      </c>
      <c r="I255" s="10" t="s">
        <v>379</v>
      </c>
      <c r="J255" s="10" t="s">
        <v>21</v>
      </c>
      <c r="K255" s="10" t="s">
        <v>243</v>
      </c>
      <c r="L255" s="10" t="s">
        <v>262</v>
      </c>
      <c r="M255" s="10">
        <v>7</v>
      </c>
      <c r="N255" s="10">
        <v>12000</v>
      </c>
      <c r="O255" s="10">
        <v>0</v>
      </c>
      <c r="P255" s="10">
        <v>84000</v>
      </c>
      <c r="Q255" s="10">
        <v>1</v>
      </c>
      <c r="R255" s="10" t="s">
        <v>277</v>
      </c>
      <c r="S255" s="10" t="s">
        <v>312</v>
      </c>
      <c r="T255" s="10" t="s">
        <v>302</v>
      </c>
      <c r="U255" s="10">
        <v>9467916296</v>
      </c>
      <c r="V255" s="12" t="s">
        <v>248</v>
      </c>
      <c r="W255" t="str">
        <f t="shared" si="23"/>
        <v>Blacklisted</v>
      </c>
      <c r="X255" t="str">
        <f t="shared" si="24"/>
        <v>Rohit Singh</v>
      </c>
      <c r="Y255" t="str">
        <f t="shared" si="29"/>
        <v>Roh003Ko</v>
      </c>
      <c r="Z255" t="str">
        <f t="shared" si="25"/>
        <v>rohit.singh@company.com</v>
      </c>
      <c r="AA255" t="str">
        <f t="shared" ca="1" si="28"/>
        <v/>
      </c>
      <c r="AB255" t="str">
        <f t="shared" si="26"/>
        <v/>
      </c>
      <c r="AC255" t="str">
        <f t="shared" si="27"/>
        <v>Delayed</v>
      </c>
    </row>
    <row r="256" spans="1:29">
      <c r="A256" s="33" t="s">
        <v>778</v>
      </c>
      <c r="B256" s="5" t="s">
        <v>346</v>
      </c>
      <c r="C256" s="5" t="s">
        <v>258</v>
      </c>
      <c r="D256" s="5" t="s">
        <v>83</v>
      </c>
      <c r="E256" s="6">
        <v>45667</v>
      </c>
      <c r="F256" s="5" t="s">
        <v>348</v>
      </c>
      <c r="G256" s="5" t="s">
        <v>269</v>
      </c>
      <c r="H256" s="6">
        <v>31568</v>
      </c>
      <c r="I256" s="5" t="s">
        <v>291</v>
      </c>
      <c r="J256" s="5" t="s">
        <v>287</v>
      </c>
      <c r="K256" s="5" t="s">
        <v>243</v>
      </c>
      <c r="L256" s="5" t="s">
        <v>262</v>
      </c>
      <c r="M256" s="5">
        <v>3</v>
      </c>
      <c r="N256" s="5">
        <v>12000</v>
      </c>
      <c r="O256" s="5">
        <v>10</v>
      </c>
      <c r="P256" s="5">
        <v>32400</v>
      </c>
      <c r="Q256" s="5">
        <v>4</v>
      </c>
      <c r="R256" s="5" t="s">
        <v>272</v>
      </c>
      <c r="S256" s="5" t="s">
        <v>312</v>
      </c>
      <c r="T256" s="5" t="s">
        <v>350</v>
      </c>
      <c r="U256" s="5">
        <v>9477052923</v>
      </c>
      <c r="V256" s="8" t="s">
        <v>257</v>
      </c>
      <c r="W256" t="str">
        <f t="shared" si="23"/>
        <v>Silver</v>
      </c>
      <c r="X256" t="str">
        <f t="shared" si="24"/>
        <v>Vikas Mehta</v>
      </c>
      <c r="Y256" t="str">
        <f t="shared" si="29"/>
        <v>Vik005Pu</v>
      </c>
      <c r="Z256" t="str">
        <f t="shared" si="25"/>
        <v>vikas.mehta@company.com</v>
      </c>
      <c r="AA256">
        <f t="shared" ca="1" si="28"/>
        <v>23</v>
      </c>
      <c r="AB256" t="str">
        <f t="shared" si="26"/>
        <v/>
      </c>
      <c r="AC256" t="str">
        <f t="shared" si="27"/>
        <v>Delayed</v>
      </c>
    </row>
    <row r="257" spans="1:29">
      <c r="A257" s="34" t="s">
        <v>779</v>
      </c>
      <c r="B257" s="10" t="s">
        <v>346</v>
      </c>
      <c r="C257" s="10" t="s">
        <v>258</v>
      </c>
      <c r="D257" s="11">
        <v>45727</v>
      </c>
      <c r="E257" s="11">
        <v>45911</v>
      </c>
      <c r="F257" s="10" t="s">
        <v>348</v>
      </c>
      <c r="G257" s="10" t="s">
        <v>269</v>
      </c>
      <c r="H257" s="11">
        <v>32600</v>
      </c>
      <c r="I257" s="10" t="s">
        <v>252</v>
      </c>
      <c r="J257" s="10" t="s">
        <v>242</v>
      </c>
      <c r="K257" s="10" t="s">
        <v>243</v>
      </c>
      <c r="L257" s="10" t="s">
        <v>262</v>
      </c>
      <c r="M257" s="10">
        <v>4</v>
      </c>
      <c r="N257" s="10">
        <v>12000</v>
      </c>
      <c r="O257" s="10">
        <v>15</v>
      </c>
      <c r="P257" s="10">
        <v>40800</v>
      </c>
      <c r="Q257" s="10">
        <v>3</v>
      </c>
      <c r="R257" s="10" t="s">
        <v>272</v>
      </c>
      <c r="S257" s="10" t="s">
        <v>255</v>
      </c>
      <c r="T257" s="10" t="s">
        <v>350</v>
      </c>
      <c r="U257" s="10">
        <v>9184311420</v>
      </c>
      <c r="V257" s="12" t="s">
        <v>248</v>
      </c>
      <c r="W257" t="str">
        <f t="shared" si="23"/>
        <v/>
      </c>
      <c r="X257" t="str">
        <f t="shared" si="24"/>
        <v>Vikas Mehta</v>
      </c>
      <c r="Y257" t="str">
        <f t="shared" si="29"/>
        <v>Vik005Hy</v>
      </c>
      <c r="Z257" t="str">
        <f t="shared" si="25"/>
        <v>vikas.mehta@company.com</v>
      </c>
      <c r="AA257">
        <f t="shared" ca="1" si="28"/>
        <v>40</v>
      </c>
      <c r="AB257" t="str">
        <f t="shared" si="26"/>
        <v/>
      </c>
      <c r="AC257" t="str">
        <f t="shared" si="27"/>
        <v>Delayed</v>
      </c>
    </row>
    <row r="258" spans="1:29">
      <c r="A258" s="33" t="s">
        <v>780</v>
      </c>
      <c r="B258" s="5" t="s">
        <v>299</v>
      </c>
      <c r="C258" s="5" t="s">
        <v>258</v>
      </c>
      <c r="D258" s="5" t="s">
        <v>48</v>
      </c>
      <c r="E258" s="5" t="s">
        <v>466</v>
      </c>
      <c r="F258" s="5" t="s">
        <v>301</v>
      </c>
      <c r="G258" s="5" t="s">
        <v>269</v>
      </c>
      <c r="H258" s="6">
        <v>29435</v>
      </c>
      <c r="I258" s="5" t="s">
        <v>252</v>
      </c>
      <c r="J258" s="5" t="s">
        <v>242</v>
      </c>
      <c r="K258" s="5" t="s">
        <v>243</v>
      </c>
      <c r="L258" s="5" t="s">
        <v>262</v>
      </c>
      <c r="M258" s="5">
        <v>13</v>
      </c>
      <c r="N258" s="5">
        <v>12000</v>
      </c>
      <c r="O258" s="5">
        <v>10</v>
      </c>
      <c r="P258" s="5">
        <v>140400</v>
      </c>
      <c r="Q258" s="5">
        <v>2</v>
      </c>
      <c r="R258" s="5" t="s">
        <v>254</v>
      </c>
      <c r="S258" s="5" t="s">
        <v>312</v>
      </c>
      <c r="T258" s="5" t="s">
        <v>302</v>
      </c>
      <c r="U258" s="5">
        <v>9630913127</v>
      </c>
      <c r="V258" s="8" t="s">
        <v>265</v>
      </c>
      <c r="W258" t="str">
        <f t="shared" si="23"/>
        <v>Blacklisted</v>
      </c>
      <c r="X258" t="str">
        <f t="shared" si="24"/>
        <v>Rohit Singh</v>
      </c>
      <c r="Y258" t="str">
        <f t="shared" si="29"/>
        <v>Roh003Hy</v>
      </c>
      <c r="Z258" t="str">
        <f t="shared" si="25"/>
        <v>rohit.singh@company.com</v>
      </c>
      <c r="AA258">
        <f t="shared" ca="1" si="28"/>
        <v>37</v>
      </c>
      <c r="AB258">
        <f t="shared" si="26"/>
        <v>2</v>
      </c>
      <c r="AC258" t="str">
        <f t="shared" si="27"/>
        <v>On time</v>
      </c>
    </row>
    <row r="259" spans="1:29">
      <c r="A259" s="34" t="s">
        <v>781</v>
      </c>
      <c r="B259" s="10" t="s">
        <v>249</v>
      </c>
      <c r="C259" s="10" t="s">
        <v>280</v>
      </c>
      <c r="D259" s="11">
        <v>45753</v>
      </c>
      <c r="E259" s="11">
        <v>45967</v>
      </c>
      <c r="F259" s="10" t="s">
        <v>251</v>
      </c>
      <c r="G259" s="10" t="s">
        <v>239</v>
      </c>
      <c r="H259" s="10" t="s">
        <v>782</v>
      </c>
      <c r="I259" s="10" t="s">
        <v>241</v>
      </c>
      <c r="J259" s="10" t="s">
        <v>242</v>
      </c>
      <c r="K259" s="10" t="s">
        <v>15</v>
      </c>
      <c r="L259" s="10" t="s">
        <v>282</v>
      </c>
      <c r="M259" s="10">
        <v>19</v>
      </c>
      <c r="N259" s="10">
        <v>3500</v>
      </c>
      <c r="O259" s="10">
        <v>20</v>
      </c>
      <c r="P259" s="10">
        <v>53200</v>
      </c>
      <c r="Q259" s="10">
        <v>1</v>
      </c>
      <c r="R259" s="10" t="s">
        <v>254</v>
      </c>
      <c r="S259" s="10" t="s">
        <v>246</v>
      </c>
      <c r="T259" s="10" t="s">
        <v>264</v>
      </c>
      <c r="U259" s="10">
        <v>9997515828</v>
      </c>
      <c r="V259" s="12" t="s">
        <v>265</v>
      </c>
      <c r="W259" t="str">
        <f t="shared" ref="W259:W322" si="30">IF(OR(Q259&lt;=2,V259="Cancelled"),"Blacklisted",IF(AND(P259&gt;100000,Q259&gt;=4,O259&lt;=10%,V259="Completed"),"Platinum",IF(AND(P259&gt;=50000,Q259&gt;=3,V259="Completed"),"Gold",IF(AND(P259&lt;50000,V259="Completed"),"Silver",""))))</f>
        <v>Blacklisted</v>
      </c>
      <c r="X259" t="str">
        <f t="shared" ref="X259:X322" si="31">PROPER(TRIM(F259))</f>
        <v>Kavya Nair</v>
      </c>
      <c r="Y259" t="str">
        <f t="shared" si="29"/>
        <v>Kav008Be</v>
      </c>
      <c r="Z259" t="str">
        <f t="shared" ref="Z259:Z322" si="32">IF(ISNUMBER(SEARCH("@",T259)),LOWER(TRIM(T259)),"invalid email")</f>
        <v>kavya.nair@company.com</v>
      </c>
      <c r="AA259">
        <f t="shared" ca="1" si="28"/>
        <v>46</v>
      </c>
      <c r="AB259" t="str">
        <f t="shared" ref="AB259:AB322" si="33">IF(OR(D259="",E259=""),"",IFERROR(DATE(MID(E259,7,4),MID(E259,4,2),LEFT(E259,2))-DATE(MID(D259,7,4),MID(D259,4,2),LEFT(D259,2)),""))</f>
        <v/>
      </c>
      <c r="AC259" t="str">
        <f t="shared" ref="AC259:AC322" si="34">IF(E259="","Pending",IF(AB259&lt;=5,"On time","Delayed"))</f>
        <v>Delayed</v>
      </c>
    </row>
    <row r="260" spans="1:29">
      <c r="A260" s="33" t="s">
        <v>783</v>
      </c>
      <c r="B260" s="5" t="s">
        <v>249</v>
      </c>
      <c r="C260" s="5" t="s">
        <v>250</v>
      </c>
      <c r="D260" s="6">
        <v>45840</v>
      </c>
      <c r="E260" s="6">
        <v>45993</v>
      </c>
      <c r="F260" s="5" t="s">
        <v>251</v>
      </c>
      <c r="G260" s="5" t="s">
        <v>239</v>
      </c>
      <c r="H260" s="5" t="s">
        <v>784</v>
      </c>
      <c r="I260" s="5" t="s">
        <v>286</v>
      </c>
      <c r="J260" s="5" t="s">
        <v>287</v>
      </c>
      <c r="K260" s="5" t="s">
        <v>15</v>
      </c>
      <c r="L260" s="5" t="s">
        <v>253</v>
      </c>
      <c r="M260" s="5">
        <v>7</v>
      </c>
      <c r="N260" s="5">
        <v>2200</v>
      </c>
      <c r="O260" s="5">
        <v>5</v>
      </c>
      <c r="P260" s="5">
        <v>14630</v>
      </c>
      <c r="Q260" s="5">
        <v>3</v>
      </c>
      <c r="R260" s="5" t="s">
        <v>277</v>
      </c>
      <c r="S260" s="5" t="s">
        <v>246</v>
      </c>
      <c r="T260" s="5" t="s">
        <v>264</v>
      </c>
      <c r="U260" s="5">
        <v>9394291182</v>
      </c>
      <c r="V260" s="8" t="s">
        <v>265</v>
      </c>
      <c r="W260" t="str">
        <f t="shared" si="30"/>
        <v>Blacklisted</v>
      </c>
      <c r="X260" t="str">
        <f t="shared" si="31"/>
        <v>Kavya Nair</v>
      </c>
      <c r="Y260" t="str">
        <f t="shared" si="29"/>
        <v>Kav008Mu</v>
      </c>
      <c r="Z260" t="str">
        <f t="shared" si="32"/>
        <v>kavya.nair@company.com</v>
      </c>
      <c r="AA260" t="str">
        <f t="shared" ref="AA260:AA323" ca="1" si="35">IF(H259="","",IFERROR(DATEDIF(IF(ISNUMBER(H259),H259,DATE(VALUE(RIGHT(H259,4)),VALUE(MID(H259,3,2)),VALUE(LEFT(H259,2)))),TODAY(),"Y"),""))</f>
        <v/>
      </c>
      <c r="AB260" t="str">
        <f t="shared" si="33"/>
        <v/>
      </c>
      <c r="AC260" t="str">
        <f t="shared" si="34"/>
        <v>Delayed</v>
      </c>
    </row>
    <row r="261" spans="1:29">
      <c r="A261" s="34" t="s">
        <v>785</v>
      </c>
      <c r="B261" s="10" t="s">
        <v>275</v>
      </c>
      <c r="C261" s="10" t="s">
        <v>330</v>
      </c>
      <c r="D261" s="11">
        <v>46270</v>
      </c>
      <c r="E261" s="10" t="s">
        <v>16</v>
      </c>
      <c r="F261" s="10" t="s">
        <v>328</v>
      </c>
      <c r="G261" s="10" t="s">
        <v>269</v>
      </c>
      <c r="H261" s="11">
        <v>34036</v>
      </c>
      <c r="I261" s="10" t="s">
        <v>342</v>
      </c>
      <c r="J261" s="10" t="s">
        <v>261</v>
      </c>
      <c r="K261" s="10" t="s">
        <v>243</v>
      </c>
      <c r="L261" s="10" t="s">
        <v>333</v>
      </c>
      <c r="M261" s="10">
        <v>18</v>
      </c>
      <c r="N261" s="10">
        <v>700</v>
      </c>
      <c r="O261" s="10">
        <v>5</v>
      </c>
      <c r="P261" s="10">
        <v>11970</v>
      </c>
      <c r="Q261" s="10">
        <v>2</v>
      </c>
      <c r="R261" s="10" t="s">
        <v>277</v>
      </c>
      <c r="S261" s="10" t="s">
        <v>246</v>
      </c>
      <c r="T261" s="10" t="s">
        <v>278</v>
      </c>
      <c r="U261" s="10">
        <v>9616853220</v>
      </c>
      <c r="V261" s="12" t="s">
        <v>265</v>
      </c>
      <c r="W261" t="str">
        <f t="shared" si="30"/>
        <v>Blacklisted</v>
      </c>
      <c r="X261" t="str">
        <f t="shared" si="31"/>
        <v>Arjun Rao</v>
      </c>
      <c r="Y261" t="str">
        <f t="shared" si="29"/>
        <v>Arj007Ja</v>
      </c>
      <c r="Z261" t="str">
        <f t="shared" si="32"/>
        <v>arjun.rao@company.com</v>
      </c>
      <c r="AA261" t="str">
        <f t="shared" ca="1" si="35"/>
        <v/>
      </c>
      <c r="AB261" t="str">
        <f t="shared" si="33"/>
        <v/>
      </c>
      <c r="AC261" t="str">
        <f t="shared" si="34"/>
        <v>Delayed</v>
      </c>
    </row>
    <row r="262" spans="1:29">
      <c r="A262" s="33" t="s">
        <v>786</v>
      </c>
      <c r="B262" s="5" t="s">
        <v>249</v>
      </c>
      <c r="C262" s="5" t="s">
        <v>347</v>
      </c>
      <c r="D262" s="5" t="s">
        <v>93</v>
      </c>
      <c r="E262" s="5" t="s">
        <v>198</v>
      </c>
      <c r="F262" s="5" t="s">
        <v>251</v>
      </c>
      <c r="G262" s="5" t="s">
        <v>239</v>
      </c>
      <c r="H262" s="5" t="s">
        <v>787</v>
      </c>
      <c r="I262" s="5" t="s">
        <v>379</v>
      </c>
      <c r="J262" s="5" t="s">
        <v>21</v>
      </c>
      <c r="K262" s="5" t="s">
        <v>295</v>
      </c>
      <c r="L262" s="5" t="s">
        <v>349</v>
      </c>
      <c r="M262" s="5">
        <v>11</v>
      </c>
      <c r="N262" s="5">
        <v>20</v>
      </c>
      <c r="O262" s="5">
        <v>0</v>
      </c>
      <c r="P262" s="5">
        <v>220</v>
      </c>
      <c r="Q262" s="5">
        <v>2</v>
      </c>
      <c r="R262" s="5" t="s">
        <v>245</v>
      </c>
      <c r="S262" s="5" t="s">
        <v>292</v>
      </c>
      <c r="T262" s="5" t="s">
        <v>264</v>
      </c>
      <c r="U262" s="5">
        <v>9147552626</v>
      </c>
      <c r="V262" s="8" t="s">
        <v>265</v>
      </c>
      <c r="W262" t="str">
        <f t="shared" si="30"/>
        <v>Blacklisted</v>
      </c>
      <c r="X262" t="str">
        <f t="shared" si="31"/>
        <v>Kavya Nair</v>
      </c>
      <c r="Y262" t="str">
        <f t="shared" si="29"/>
        <v>Kav008Ko</v>
      </c>
      <c r="Z262" t="str">
        <f t="shared" si="32"/>
        <v>kavya.nair@company.com</v>
      </c>
      <c r="AA262">
        <f t="shared" ca="1" si="35"/>
        <v>33</v>
      </c>
      <c r="AB262">
        <f t="shared" si="33"/>
        <v>10</v>
      </c>
      <c r="AC262" t="str">
        <f t="shared" si="34"/>
        <v>Delayed</v>
      </c>
    </row>
    <row r="263" spans="1:29">
      <c r="A263" s="34" t="s">
        <v>788</v>
      </c>
      <c r="B263" s="10" t="s">
        <v>392</v>
      </c>
      <c r="C263" s="10" t="s">
        <v>258</v>
      </c>
      <c r="D263" s="10" t="s">
        <v>175</v>
      </c>
      <c r="E263" s="11">
        <v>45841</v>
      </c>
      <c r="F263" s="10" t="s">
        <v>323</v>
      </c>
      <c r="G263" s="10" t="s">
        <v>269</v>
      </c>
      <c r="H263" s="10" t="s">
        <v>789</v>
      </c>
      <c r="I263" s="10" t="s">
        <v>291</v>
      </c>
      <c r="J263" s="10" t="s">
        <v>287</v>
      </c>
      <c r="K263" s="10" t="s">
        <v>243</v>
      </c>
      <c r="L263" s="10" t="s">
        <v>262</v>
      </c>
      <c r="M263" s="10">
        <v>17</v>
      </c>
      <c r="N263" s="10">
        <v>12000</v>
      </c>
      <c r="O263" s="10">
        <v>20</v>
      </c>
      <c r="P263" s="10">
        <v>163200</v>
      </c>
      <c r="Q263" s="10">
        <v>4</v>
      </c>
      <c r="R263" s="10" t="s">
        <v>277</v>
      </c>
      <c r="S263" s="10" t="s">
        <v>312</v>
      </c>
      <c r="T263" s="10" t="s">
        <v>395</v>
      </c>
      <c r="U263" s="10">
        <v>9724197033</v>
      </c>
      <c r="V263" s="12" t="s">
        <v>257</v>
      </c>
      <c r="W263" t="str">
        <f t="shared" si="30"/>
        <v>Gold</v>
      </c>
      <c r="X263" t="str">
        <f t="shared" si="31"/>
        <v>Amit Sharma</v>
      </c>
      <c r="Y263" t="str">
        <f t="shared" si="29"/>
        <v>Ami001Pu</v>
      </c>
      <c r="Z263" t="str">
        <f t="shared" si="32"/>
        <v>amit.sharma@company.com</v>
      </c>
      <c r="AA263" t="str">
        <f t="shared" ca="1" si="35"/>
        <v/>
      </c>
      <c r="AB263" t="str">
        <f t="shared" si="33"/>
        <v/>
      </c>
      <c r="AC263" t="str">
        <f t="shared" si="34"/>
        <v>Delayed</v>
      </c>
    </row>
    <row r="264" spans="1:29">
      <c r="A264" s="33" t="s">
        <v>790</v>
      </c>
      <c r="B264" s="5" t="s">
        <v>358</v>
      </c>
      <c r="C264" s="5" t="s">
        <v>250</v>
      </c>
      <c r="D264" s="6">
        <v>45876</v>
      </c>
      <c r="E264" s="5" t="s">
        <v>365</v>
      </c>
      <c r="F264" s="5" t="s">
        <v>359</v>
      </c>
      <c r="G264" s="5" t="s">
        <v>239</v>
      </c>
      <c r="H264" s="5" t="s">
        <v>791</v>
      </c>
      <c r="I264" s="5" t="s">
        <v>379</v>
      </c>
      <c r="J264" s="5" t="s">
        <v>21</v>
      </c>
      <c r="K264" s="5" t="s">
        <v>15</v>
      </c>
      <c r="L264" s="5" t="s">
        <v>253</v>
      </c>
      <c r="M264" s="5">
        <v>4</v>
      </c>
      <c r="N264" s="5">
        <v>2200</v>
      </c>
      <c r="O264" s="5">
        <v>5</v>
      </c>
      <c r="P264" s="5">
        <v>8360</v>
      </c>
      <c r="Q264" s="5">
        <v>2</v>
      </c>
      <c r="R264" s="5" t="s">
        <v>254</v>
      </c>
      <c r="S264" s="5" t="s">
        <v>255</v>
      </c>
      <c r="T264" s="5" t="s">
        <v>360</v>
      </c>
      <c r="U264" s="5">
        <v>9130666128</v>
      </c>
      <c r="V264" s="8" t="s">
        <v>257</v>
      </c>
      <c r="W264" t="str">
        <f t="shared" si="30"/>
        <v>Blacklisted</v>
      </c>
      <c r="X264" t="str">
        <f t="shared" si="31"/>
        <v>Sneha Joshi</v>
      </c>
      <c r="Y264" t="str">
        <f t="shared" si="29"/>
        <v>Sne006Ko</v>
      </c>
      <c r="Z264" t="str">
        <f t="shared" si="32"/>
        <v>sneha.joshi@company.com</v>
      </c>
      <c r="AA264" t="str">
        <f t="shared" ca="1" si="35"/>
        <v/>
      </c>
      <c r="AB264" t="str">
        <f t="shared" si="33"/>
        <v/>
      </c>
      <c r="AC264" t="str">
        <f t="shared" si="34"/>
        <v>Delayed</v>
      </c>
    </row>
    <row r="265" spans="1:29">
      <c r="A265" s="34" t="s">
        <v>792</v>
      </c>
      <c r="B265" s="10" t="s">
        <v>249</v>
      </c>
      <c r="C265" s="10" t="s">
        <v>236</v>
      </c>
      <c r="D265" s="11">
        <v>46003</v>
      </c>
      <c r="E265" s="10" t="s">
        <v>448</v>
      </c>
      <c r="F265" s="10" t="s">
        <v>251</v>
      </c>
      <c r="G265" s="10" t="s">
        <v>239</v>
      </c>
      <c r="H265" s="11">
        <v>37503</v>
      </c>
      <c r="I265" s="10" t="s">
        <v>306</v>
      </c>
      <c r="J265" s="10" t="s">
        <v>287</v>
      </c>
      <c r="K265" s="10" t="s">
        <v>243</v>
      </c>
      <c r="L265" s="10" t="s">
        <v>244</v>
      </c>
      <c r="M265" s="10">
        <v>6</v>
      </c>
      <c r="N265" s="10">
        <v>55000</v>
      </c>
      <c r="O265" s="10">
        <v>20</v>
      </c>
      <c r="P265" s="10">
        <v>264000</v>
      </c>
      <c r="Q265" s="10">
        <v>2</v>
      </c>
      <c r="R265" s="10" t="s">
        <v>277</v>
      </c>
      <c r="S265" s="10" t="s">
        <v>312</v>
      </c>
      <c r="T265" s="10" t="s">
        <v>264</v>
      </c>
      <c r="U265" s="10">
        <v>9866567601</v>
      </c>
      <c r="V265" s="12" t="s">
        <v>265</v>
      </c>
      <c r="W265" t="str">
        <f t="shared" si="30"/>
        <v>Blacklisted</v>
      </c>
      <c r="X265" t="str">
        <f t="shared" si="31"/>
        <v>Kavya Nair</v>
      </c>
      <c r="Y265" t="str">
        <f t="shared" si="29"/>
        <v>Kav008Ah</v>
      </c>
      <c r="Z265" t="str">
        <f t="shared" si="32"/>
        <v>kavya.nair@company.com</v>
      </c>
      <c r="AA265" t="str">
        <f t="shared" ca="1" si="35"/>
        <v/>
      </c>
      <c r="AB265" t="str">
        <f t="shared" si="33"/>
        <v/>
      </c>
      <c r="AC265" t="str">
        <f t="shared" si="34"/>
        <v>Delayed</v>
      </c>
    </row>
    <row r="266" spans="1:29">
      <c r="A266" s="33" t="s">
        <v>793</v>
      </c>
      <c r="B266" s="5" t="s">
        <v>266</v>
      </c>
      <c r="C266" s="5" t="s">
        <v>322</v>
      </c>
      <c r="D266" s="6">
        <v>46113</v>
      </c>
      <c r="E266" s="5" t="s">
        <v>23</v>
      </c>
      <c r="F266" s="5" t="s">
        <v>268</v>
      </c>
      <c r="G266" s="5" t="s">
        <v>269</v>
      </c>
      <c r="H266" s="5" t="s">
        <v>794</v>
      </c>
      <c r="I266" s="5" t="s">
        <v>260</v>
      </c>
      <c r="J266" s="5" t="s">
        <v>261</v>
      </c>
      <c r="K266" s="5" t="s">
        <v>15</v>
      </c>
      <c r="L266" s="5" t="s">
        <v>325</v>
      </c>
      <c r="M266" s="5">
        <v>6</v>
      </c>
      <c r="N266" s="5">
        <v>8500</v>
      </c>
      <c r="O266" s="5">
        <v>10</v>
      </c>
      <c r="P266" s="5">
        <v>45900</v>
      </c>
      <c r="Q266" s="5">
        <v>5</v>
      </c>
      <c r="R266" s="5" t="s">
        <v>277</v>
      </c>
      <c r="S266" s="5" t="s">
        <v>246</v>
      </c>
      <c r="T266" s="5" t="s">
        <v>273</v>
      </c>
      <c r="U266" s="5">
        <v>9477282450</v>
      </c>
      <c r="V266" s="8" t="s">
        <v>257</v>
      </c>
      <c r="W266" t="str">
        <f t="shared" si="30"/>
        <v>Silver</v>
      </c>
      <c r="X266" t="str">
        <f t="shared" si="31"/>
        <v>Mohit Verma</v>
      </c>
      <c r="Y266" t="str">
        <f t="shared" si="29"/>
        <v>Moh009De</v>
      </c>
      <c r="Z266" t="str">
        <f t="shared" si="32"/>
        <v>mohit.verma@company.com</v>
      </c>
      <c r="AA266">
        <f t="shared" ca="1" si="35"/>
        <v>24</v>
      </c>
      <c r="AB266" t="str">
        <f t="shared" si="33"/>
        <v/>
      </c>
      <c r="AC266" t="str">
        <f t="shared" si="34"/>
        <v>Delayed</v>
      </c>
    </row>
    <row r="267" spans="1:29">
      <c r="A267" s="34" t="s">
        <v>795</v>
      </c>
      <c r="B267" s="10" t="s">
        <v>249</v>
      </c>
      <c r="C267" s="10" t="s">
        <v>347</v>
      </c>
      <c r="D267" s="10" t="s">
        <v>94</v>
      </c>
      <c r="E267" s="10" t="s">
        <v>146</v>
      </c>
      <c r="F267" s="10" t="s">
        <v>251</v>
      </c>
      <c r="G267" s="10" t="s">
        <v>239</v>
      </c>
      <c r="H267" s="11">
        <v>31028</v>
      </c>
      <c r="I267" s="10" t="s">
        <v>342</v>
      </c>
      <c r="J267" s="10" t="s">
        <v>261</v>
      </c>
      <c r="K267" s="10" t="s">
        <v>295</v>
      </c>
      <c r="L267" s="10" t="s">
        <v>349</v>
      </c>
      <c r="M267" s="10">
        <v>6</v>
      </c>
      <c r="N267" s="10">
        <v>20</v>
      </c>
      <c r="O267" s="10">
        <v>15</v>
      </c>
      <c r="P267" s="10">
        <v>102</v>
      </c>
      <c r="Q267" s="10">
        <v>2</v>
      </c>
      <c r="R267" s="10" t="s">
        <v>277</v>
      </c>
      <c r="S267" s="10" t="s">
        <v>263</v>
      </c>
      <c r="T267" s="10" t="s">
        <v>264</v>
      </c>
      <c r="U267" s="10">
        <v>9857621478</v>
      </c>
      <c r="V267" s="12" t="s">
        <v>265</v>
      </c>
      <c r="W267" t="str">
        <f t="shared" si="30"/>
        <v>Blacklisted</v>
      </c>
      <c r="X267" t="str">
        <f t="shared" si="31"/>
        <v>Kavya Nair</v>
      </c>
      <c r="Y267" t="str">
        <f t="shared" si="29"/>
        <v>Kav008Ja</v>
      </c>
      <c r="Z267" t="str">
        <f t="shared" si="32"/>
        <v>kavya.nair@company.com</v>
      </c>
      <c r="AA267" t="str">
        <f t="shared" ca="1" si="35"/>
        <v/>
      </c>
      <c r="AB267">
        <f t="shared" si="33"/>
        <v>5</v>
      </c>
      <c r="AC267" t="str">
        <f t="shared" si="34"/>
        <v>On time</v>
      </c>
    </row>
    <row r="268" spans="1:29">
      <c r="A268" s="33" t="s">
        <v>796</v>
      </c>
      <c r="B268" s="5" t="s">
        <v>235</v>
      </c>
      <c r="C268" s="5" t="s">
        <v>294</v>
      </c>
      <c r="D268" s="6">
        <v>45721</v>
      </c>
      <c r="E268" s="6">
        <v>45966</v>
      </c>
      <c r="F268" s="5" t="s">
        <v>318</v>
      </c>
      <c r="G268" s="5" t="s">
        <v>239</v>
      </c>
      <c r="H268" s="5" t="s">
        <v>797</v>
      </c>
      <c r="I268" s="5" t="s">
        <v>286</v>
      </c>
      <c r="J268" s="5" t="s">
        <v>287</v>
      </c>
      <c r="K268" s="5" t="s">
        <v>295</v>
      </c>
      <c r="L268" s="5" t="s">
        <v>296</v>
      </c>
      <c r="M268" s="5">
        <v>6</v>
      </c>
      <c r="N268" s="5">
        <v>60</v>
      </c>
      <c r="O268" s="5">
        <v>5</v>
      </c>
      <c r="P268" s="5">
        <v>342</v>
      </c>
      <c r="Q268" s="5">
        <v>1</v>
      </c>
      <c r="R268" s="5" t="s">
        <v>245</v>
      </c>
      <c r="S268" s="5" t="s">
        <v>246</v>
      </c>
      <c r="T268" s="5" t="s">
        <v>247</v>
      </c>
      <c r="U268" s="5">
        <v>9753869055</v>
      </c>
      <c r="V268" s="8" t="s">
        <v>257</v>
      </c>
      <c r="W268" t="str">
        <f t="shared" si="30"/>
        <v>Blacklisted</v>
      </c>
      <c r="X268" t="str">
        <f t="shared" si="31"/>
        <v>Pooja Shah</v>
      </c>
      <c r="Y268" t="str">
        <f t="shared" si="29"/>
        <v>Poo010Mu</v>
      </c>
      <c r="Z268" t="str">
        <f t="shared" si="32"/>
        <v>pooja.shah@company.com</v>
      </c>
      <c r="AA268">
        <f t="shared" ca="1" si="35"/>
        <v>41</v>
      </c>
      <c r="AB268" t="str">
        <f t="shared" si="33"/>
        <v/>
      </c>
      <c r="AC268" t="str">
        <f t="shared" si="34"/>
        <v>Delayed</v>
      </c>
    </row>
    <row r="269" spans="1:29">
      <c r="A269" s="34" t="s">
        <v>798</v>
      </c>
      <c r="B269" s="10" t="s">
        <v>299</v>
      </c>
      <c r="C269" s="10" t="s">
        <v>322</v>
      </c>
      <c r="D269" s="11">
        <v>45901</v>
      </c>
      <c r="E269" s="11">
        <v>45992</v>
      </c>
      <c r="F269" s="10" t="s">
        <v>301</v>
      </c>
      <c r="G269" s="10" t="s">
        <v>269</v>
      </c>
      <c r="H269" s="10" t="s">
        <v>799</v>
      </c>
      <c r="I269" s="10" t="s">
        <v>252</v>
      </c>
      <c r="J269" s="10" t="s">
        <v>242</v>
      </c>
      <c r="K269" s="10" t="s">
        <v>15</v>
      </c>
      <c r="L269" s="10" t="s">
        <v>325</v>
      </c>
      <c r="M269" s="10">
        <v>19</v>
      </c>
      <c r="N269" s="10">
        <v>8500</v>
      </c>
      <c r="O269" s="10">
        <v>0</v>
      </c>
      <c r="P269" s="10">
        <v>161500</v>
      </c>
      <c r="Q269" s="10">
        <v>5</v>
      </c>
      <c r="R269" s="10" t="s">
        <v>277</v>
      </c>
      <c r="S269" s="10" t="s">
        <v>312</v>
      </c>
      <c r="T269" s="10" t="s">
        <v>302</v>
      </c>
      <c r="U269" s="10">
        <v>9663266204</v>
      </c>
      <c r="V269" s="12" t="s">
        <v>257</v>
      </c>
      <c r="W269" t="str">
        <f t="shared" si="30"/>
        <v>Platinum</v>
      </c>
      <c r="X269" t="str">
        <f t="shared" si="31"/>
        <v>Rohit Singh</v>
      </c>
      <c r="Y269" t="str">
        <f t="shared" si="29"/>
        <v>Roh003Hy</v>
      </c>
      <c r="Z269" t="str">
        <f t="shared" si="32"/>
        <v>rohit.singh@company.com</v>
      </c>
      <c r="AA269" t="str">
        <f t="shared" ca="1" si="35"/>
        <v/>
      </c>
      <c r="AB269" t="str">
        <f t="shared" si="33"/>
        <v/>
      </c>
      <c r="AC269" t="str">
        <f t="shared" si="34"/>
        <v>Delayed</v>
      </c>
    </row>
    <row r="270" spans="1:29">
      <c r="A270" s="33" t="s">
        <v>800</v>
      </c>
      <c r="B270" s="5" t="s">
        <v>358</v>
      </c>
      <c r="C270" s="5" t="s">
        <v>236</v>
      </c>
      <c r="D270" s="6">
        <v>45666</v>
      </c>
      <c r="E270" s="6">
        <v>45939</v>
      </c>
      <c r="F270" s="5" t="s">
        <v>359</v>
      </c>
      <c r="G270" s="5" t="s">
        <v>239</v>
      </c>
      <c r="H270" s="5" t="s">
        <v>801</v>
      </c>
      <c r="I270" s="5" t="s">
        <v>342</v>
      </c>
      <c r="J270" s="5" t="s">
        <v>261</v>
      </c>
      <c r="K270" s="5" t="s">
        <v>243</v>
      </c>
      <c r="L270" s="5" t="s">
        <v>244</v>
      </c>
      <c r="M270" s="5">
        <v>8</v>
      </c>
      <c r="N270" s="5">
        <v>55000</v>
      </c>
      <c r="O270" s="5">
        <v>0</v>
      </c>
      <c r="P270" s="5">
        <v>440000</v>
      </c>
      <c r="Q270" s="5">
        <v>3</v>
      </c>
      <c r="R270" s="5" t="s">
        <v>272</v>
      </c>
      <c r="S270" s="5" t="s">
        <v>292</v>
      </c>
      <c r="T270" s="5" t="s">
        <v>360</v>
      </c>
      <c r="U270" s="5">
        <v>9675208616</v>
      </c>
      <c r="V270" s="8" t="s">
        <v>248</v>
      </c>
      <c r="W270" t="str">
        <f t="shared" si="30"/>
        <v/>
      </c>
      <c r="X270" t="str">
        <f t="shared" si="31"/>
        <v>Sneha Joshi</v>
      </c>
      <c r="Y270" t="str">
        <f t="shared" si="29"/>
        <v>Sne006Ja</v>
      </c>
      <c r="Z270" t="str">
        <f t="shared" si="32"/>
        <v>sneha.joshi@company.com</v>
      </c>
      <c r="AA270" t="str">
        <f t="shared" ca="1" si="35"/>
        <v/>
      </c>
      <c r="AB270" t="str">
        <f t="shared" si="33"/>
        <v/>
      </c>
      <c r="AC270" t="str">
        <f t="shared" si="34"/>
        <v>Delayed</v>
      </c>
    </row>
    <row r="271" spans="1:29">
      <c r="A271" s="34" t="s">
        <v>802</v>
      </c>
      <c r="B271" s="10" t="s">
        <v>266</v>
      </c>
      <c r="C271" s="10" t="s">
        <v>258</v>
      </c>
      <c r="D271" s="11">
        <v>46058</v>
      </c>
      <c r="E271" s="11">
        <v>46208</v>
      </c>
      <c r="F271" s="10" t="s">
        <v>268</v>
      </c>
      <c r="G271" s="10" t="s">
        <v>269</v>
      </c>
      <c r="H271" s="10" t="s">
        <v>803</v>
      </c>
      <c r="I271" s="10" t="s">
        <v>379</v>
      </c>
      <c r="J271" s="10" t="s">
        <v>21</v>
      </c>
      <c r="K271" s="10" t="s">
        <v>243</v>
      </c>
      <c r="L271" s="10" t="s">
        <v>262</v>
      </c>
      <c r="M271" s="10">
        <v>18</v>
      </c>
      <c r="N271" s="10">
        <v>12000</v>
      </c>
      <c r="O271" s="10">
        <v>20</v>
      </c>
      <c r="P271" s="10">
        <v>172800</v>
      </c>
      <c r="Q271" s="10">
        <v>5</v>
      </c>
      <c r="R271" s="10" t="s">
        <v>277</v>
      </c>
      <c r="S271" s="10" t="s">
        <v>246</v>
      </c>
      <c r="T271" s="10" t="s">
        <v>273</v>
      </c>
      <c r="U271" s="10">
        <v>9618393586</v>
      </c>
      <c r="V271" s="12" t="s">
        <v>265</v>
      </c>
      <c r="W271" t="str">
        <f t="shared" si="30"/>
        <v>Blacklisted</v>
      </c>
      <c r="X271" t="str">
        <f t="shared" si="31"/>
        <v>Mohit Verma</v>
      </c>
      <c r="Y271" t="str">
        <f t="shared" si="29"/>
        <v>Moh009Ko</v>
      </c>
      <c r="Z271" t="str">
        <f t="shared" si="32"/>
        <v>mohit.verma@company.com</v>
      </c>
      <c r="AA271" t="str">
        <f t="shared" ca="1" si="35"/>
        <v/>
      </c>
      <c r="AB271" t="str">
        <f t="shared" si="33"/>
        <v/>
      </c>
      <c r="AC271" t="str">
        <f t="shared" si="34"/>
        <v>Delayed</v>
      </c>
    </row>
    <row r="272" spans="1:29">
      <c r="A272" s="33" t="s">
        <v>804</v>
      </c>
      <c r="B272" s="5" t="s">
        <v>299</v>
      </c>
      <c r="C272" s="5" t="s">
        <v>322</v>
      </c>
      <c r="D272" s="5" t="s">
        <v>59</v>
      </c>
      <c r="E272" s="5" t="s">
        <v>153</v>
      </c>
      <c r="F272" s="5" t="s">
        <v>301</v>
      </c>
      <c r="G272" s="5" t="s">
        <v>269</v>
      </c>
      <c r="H272" s="6">
        <v>33219</v>
      </c>
      <c r="I272" s="5" t="s">
        <v>306</v>
      </c>
      <c r="J272" s="5" t="s">
        <v>287</v>
      </c>
      <c r="K272" s="5" t="s">
        <v>15</v>
      </c>
      <c r="L272" s="5" t="s">
        <v>325</v>
      </c>
      <c r="M272" s="5">
        <v>8</v>
      </c>
      <c r="N272" s="5">
        <v>8500</v>
      </c>
      <c r="O272" s="5">
        <v>5</v>
      </c>
      <c r="P272" s="5">
        <v>64600</v>
      </c>
      <c r="Q272" s="5">
        <v>2</v>
      </c>
      <c r="R272" s="5" t="s">
        <v>272</v>
      </c>
      <c r="S272" s="5" t="s">
        <v>246</v>
      </c>
      <c r="T272" s="5" t="s">
        <v>302</v>
      </c>
      <c r="U272" s="5">
        <v>9137027840</v>
      </c>
      <c r="V272" s="8" t="s">
        <v>265</v>
      </c>
      <c r="W272" t="str">
        <f t="shared" si="30"/>
        <v>Blacklisted</v>
      </c>
      <c r="X272" t="str">
        <f t="shared" si="31"/>
        <v>Rohit Singh</v>
      </c>
      <c r="Y272" t="str">
        <f t="shared" si="29"/>
        <v>Roh003Ah</v>
      </c>
      <c r="Z272" t="str">
        <f t="shared" si="32"/>
        <v>rohit.singh@company.com</v>
      </c>
      <c r="AA272" t="str">
        <f t="shared" ca="1" si="35"/>
        <v/>
      </c>
      <c r="AB272">
        <f t="shared" si="33"/>
        <v>9</v>
      </c>
      <c r="AC272" t="str">
        <f t="shared" si="34"/>
        <v>Delayed</v>
      </c>
    </row>
    <row r="273" spans="1:29">
      <c r="A273" s="34" t="s">
        <v>805</v>
      </c>
      <c r="B273" s="10" t="s">
        <v>249</v>
      </c>
      <c r="C273" s="10" t="s">
        <v>347</v>
      </c>
      <c r="D273" s="11">
        <v>45908</v>
      </c>
      <c r="E273" s="10" t="s">
        <v>560</v>
      </c>
      <c r="F273" s="10" t="s">
        <v>251</v>
      </c>
      <c r="G273" s="10" t="s">
        <v>239</v>
      </c>
      <c r="H273" s="10" t="s">
        <v>806</v>
      </c>
      <c r="I273" s="10" t="s">
        <v>286</v>
      </c>
      <c r="J273" s="10" t="s">
        <v>287</v>
      </c>
      <c r="K273" s="10" t="s">
        <v>295</v>
      </c>
      <c r="L273" s="10" t="s">
        <v>349</v>
      </c>
      <c r="M273" s="10">
        <v>13</v>
      </c>
      <c r="N273" s="10">
        <v>20</v>
      </c>
      <c r="O273" s="10">
        <v>5</v>
      </c>
      <c r="P273" s="10">
        <v>247</v>
      </c>
      <c r="Q273" s="10">
        <v>3</v>
      </c>
      <c r="R273" s="10" t="s">
        <v>245</v>
      </c>
      <c r="S273" s="10" t="s">
        <v>292</v>
      </c>
      <c r="T273" s="10" t="s">
        <v>264</v>
      </c>
      <c r="U273" s="10">
        <v>9362758134</v>
      </c>
      <c r="V273" s="12" t="s">
        <v>248</v>
      </c>
      <c r="W273" t="str">
        <f t="shared" si="30"/>
        <v/>
      </c>
      <c r="X273" t="str">
        <f t="shared" si="31"/>
        <v>Kavya Nair</v>
      </c>
      <c r="Y273" t="str">
        <f t="shared" si="29"/>
        <v>Kav008Mu</v>
      </c>
      <c r="Z273" t="str">
        <f t="shared" si="32"/>
        <v>kavya.nair@company.com</v>
      </c>
      <c r="AA273">
        <f t="shared" ca="1" si="35"/>
        <v>35</v>
      </c>
      <c r="AB273" t="str">
        <f t="shared" si="33"/>
        <v/>
      </c>
      <c r="AC273" t="str">
        <f t="shared" si="34"/>
        <v>Delayed</v>
      </c>
    </row>
    <row r="274" spans="1:29">
      <c r="A274" s="33" t="s">
        <v>807</v>
      </c>
      <c r="B274" s="5" t="s">
        <v>275</v>
      </c>
      <c r="C274" s="5" t="s">
        <v>294</v>
      </c>
      <c r="D274" s="6">
        <v>46116</v>
      </c>
      <c r="E274" s="5" t="s">
        <v>45</v>
      </c>
      <c r="F274" s="5" t="s">
        <v>328</v>
      </c>
      <c r="G274" s="5" t="s">
        <v>269</v>
      </c>
      <c r="H274" s="6">
        <v>31110</v>
      </c>
      <c r="I274" s="5" t="s">
        <v>342</v>
      </c>
      <c r="J274" s="5" t="s">
        <v>261</v>
      </c>
      <c r="K274" s="5" t="s">
        <v>295</v>
      </c>
      <c r="L274" s="5" t="s">
        <v>296</v>
      </c>
      <c r="M274" s="5">
        <v>1</v>
      </c>
      <c r="N274" s="5">
        <v>60</v>
      </c>
      <c r="O274" s="5">
        <v>15</v>
      </c>
      <c r="P274" s="5">
        <v>51</v>
      </c>
      <c r="Q274" s="5">
        <v>2</v>
      </c>
      <c r="R274" s="5" t="s">
        <v>272</v>
      </c>
      <c r="S274" s="5" t="s">
        <v>246</v>
      </c>
      <c r="T274" s="5" t="s">
        <v>278</v>
      </c>
      <c r="U274" s="5">
        <v>9648541985</v>
      </c>
      <c r="V274" s="8" t="s">
        <v>265</v>
      </c>
      <c r="W274" t="str">
        <f t="shared" si="30"/>
        <v>Blacklisted</v>
      </c>
      <c r="X274" t="str">
        <f t="shared" si="31"/>
        <v>Arjun Rao</v>
      </c>
      <c r="Y274" t="str">
        <f t="shared" si="29"/>
        <v>Arj007Ja</v>
      </c>
      <c r="Z274" t="str">
        <f t="shared" si="32"/>
        <v>arjun.rao@company.com</v>
      </c>
      <c r="AA274" t="str">
        <f t="shared" ca="1" si="35"/>
        <v/>
      </c>
      <c r="AB274" t="str">
        <f t="shared" si="33"/>
        <v/>
      </c>
      <c r="AC274" t="str">
        <f t="shared" si="34"/>
        <v>Delayed</v>
      </c>
    </row>
    <row r="275" spans="1:29">
      <c r="A275" s="34" t="s">
        <v>808</v>
      </c>
      <c r="B275" s="10" t="s">
        <v>235</v>
      </c>
      <c r="C275" s="10" t="s">
        <v>347</v>
      </c>
      <c r="D275" s="10" t="s">
        <v>113</v>
      </c>
      <c r="E275" s="10" t="s">
        <v>661</v>
      </c>
      <c r="F275" s="10" t="s">
        <v>318</v>
      </c>
      <c r="G275" s="10" t="s">
        <v>239</v>
      </c>
      <c r="H275" s="11">
        <v>27919</v>
      </c>
      <c r="I275" s="10" t="s">
        <v>291</v>
      </c>
      <c r="J275" s="10" t="s">
        <v>287</v>
      </c>
      <c r="K275" s="10" t="s">
        <v>295</v>
      </c>
      <c r="L275" s="10" t="s">
        <v>349</v>
      </c>
      <c r="M275" s="10">
        <v>5</v>
      </c>
      <c r="N275" s="10">
        <v>20</v>
      </c>
      <c r="O275" s="10">
        <v>5</v>
      </c>
      <c r="P275" s="10">
        <v>95</v>
      </c>
      <c r="Q275" s="10">
        <v>2</v>
      </c>
      <c r="R275" s="10" t="s">
        <v>245</v>
      </c>
      <c r="S275" s="10" t="s">
        <v>263</v>
      </c>
      <c r="T275" s="10" t="s">
        <v>247</v>
      </c>
      <c r="U275" s="10">
        <v>9175002781</v>
      </c>
      <c r="V275" s="12" t="s">
        <v>248</v>
      </c>
      <c r="W275" t="str">
        <f t="shared" si="30"/>
        <v>Blacklisted</v>
      </c>
      <c r="X275" t="str">
        <f t="shared" si="31"/>
        <v>Pooja Shah</v>
      </c>
      <c r="Y275" t="str">
        <f t="shared" si="29"/>
        <v>Poo010Pu</v>
      </c>
      <c r="Z275" t="str">
        <f t="shared" si="32"/>
        <v>pooja.shah@company.com</v>
      </c>
      <c r="AA275">
        <f t="shared" ca="1" si="35"/>
        <v>41</v>
      </c>
      <c r="AB275">
        <f t="shared" si="33"/>
        <v>6</v>
      </c>
      <c r="AC275" t="str">
        <f t="shared" si="34"/>
        <v>Delayed</v>
      </c>
    </row>
    <row r="276" spans="1:29">
      <c r="A276" s="33" t="s">
        <v>809</v>
      </c>
      <c r="B276" s="5" t="s">
        <v>346</v>
      </c>
      <c r="C276" s="5" t="s">
        <v>347</v>
      </c>
      <c r="D276" s="5" t="s">
        <v>79</v>
      </c>
      <c r="E276" s="5" t="s">
        <v>133</v>
      </c>
      <c r="F276" s="5" t="s">
        <v>348</v>
      </c>
      <c r="G276" s="5" t="s">
        <v>269</v>
      </c>
      <c r="H276" s="5" t="s">
        <v>810</v>
      </c>
      <c r="I276" s="5" t="s">
        <v>379</v>
      </c>
      <c r="J276" s="5" t="s">
        <v>21</v>
      </c>
      <c r="K276" s="5" t="s">
        <v>295</v>
      </c>
      <c r="L276" s="5" t="s">
        <v>349</v>
      </c>
      <c r="M276" s="5">
        <v>19</v>
      </c>
      <c r="N276" s="5">
        <v>20</v>
      </c>
      <c r="O276" s="5">
        <v>20</v>
      </c>
      <c r="P276" s="5">
        <v>304</v>
      </c>
      <c r="Q276" s="5">
        <v>3</v>
      </c>
      <c r="R276" s="5" t="s">
        <v>254</v>
      </c>
      <c r="S276" s="5" t="s">
        <v>255</v>
      </c>
      <c r="T276" s="5" t="s">
        <v>350</v>
      </c>
      <c r="U276" s="5">
        <v>9786241263</v>
      </c>
      <c r="V276" s="8" t="s">
        <v>265</v>
      </c>
      <c r="W276" t="str">
        <f t="shared" si="30"/>
        <v>Blacklisted</v>
      </c>
      <c r="X276" t="str">
        <f t="shared" si="31"/>
        <v>Vikas Mehta</v>
      </c>
      <c r="Y276" t="str">
        <f t="shared" si="29"/>
        <v>Vik005Ko</v>
      </c>
      <c r="Z276" t="str">
        <f t="shared" si="32"/>
        <v>vikas.mehta@company.com</v>
      </c>
      <c r="AA276">
        <f t="shared" ca="1" si="35"/>
        <v>50</v>
      </c>
      <c r="AB276">
        <f t="shared" si="33"/>
        <v>5</v>
      </c>
      <c r="AC276" t="str">
        <f t="shared" si="34"/>
        <v>On time</v>
      </c>
    </row>
    <row r="277" spans="1:29">
      <c r="A277" s="34" t="s">
        <v>811</v>
      </c>
      <c r="B277" s="10" t="s">
        <v>284</v>
      </c>
      <c r="C277" s="10" t="s">
        <v>362</v>
      </c>
      <c r="D277" s="10" t="s">
        <v>184</v>
      </c>
      <c r="E277" s="11">
        <v>45842</v>
      </c>
      <c r="F277" s="10" t="s">
        <v>285</v>
      </c>
      <c r="G277" s="10" t="s">
        <v>239</v>
      </c>
      <c r="H277" s="10" t="s">
        <v>812</v>
      </c>
      <c r="I277" s="10" t="s">
        <v>306</v>
      </c>
      <c r="J277" s="10" t="s">
        <v>287</v>
      </c>
      <c r="K277" s="10" t="s">
        <v>295</v>
      </c>
      <c r="L277" s="10" t="s">
        <v>363</v>
      </c>
      <c r="M277" s="10">
        <v>17</v>
      </c>
      <c r="N277" s="10">
        <v>45</v>
      </c>
      <c r="O277" s="10">
        <v>5</v>
      </c>
      <c r="P277" s="10">
        <v>726.75</v>
      </c>
      <c r="Q277" s="10">
        <v>4</v>
      </c>
      <c r="R277" s="10" t="s">
        <v>254</v>
      </c>
      <c r="S277" s="10" t="s">
        <v>292</v>
      </c>
      <c r="T277" s="10" t="s">
        <v>308</v>
      </c>
      <c r="U277" s="10">
        <v>9691078176</v>
      </c>
      <c r="V277" s="12" t="s">
        <v>248</v>
      </c>
      <c r="W277" t="str">
        <f t="shared" si="30"/>
        <v/>
      </c>
      <c r="X277" t="str">
        <f t="shared" si="31"/>
        <v>Priya Patel</v>
      </c>
      <c r="Y277" t="str">
        <f t="shared" si="29"/>
        <v>Pri002Ah</v>
      </c>
      <c r="Z277" t="str">
        <f t="shared" si="32"/>
        <v>priya.patel@company.com</v>
      </c>
      <c r="AA277" t="str">
        <f t="shared" ca="1" si="35"/>
        <v/>
      </c>
      <c r="AB277" t="str">
        <f t="shared" si="33"/>
        <v/>
      </c>
      <c r="AC277" t="str">
        <f t="shared" si="34"/>
        <v>Delayed</v>
      </c>
    </row>
    <row r="278" spans="1:29">
      <c r="A278" s="33" t="s">
        <v>813</v>
      </c>
      <c r="B278" s="5" t="s">
        <v>275</v>
      </c>
      <c r="C278" s="5" t="s">
        <v>330</v>
      </c>
      <c r="D278" s="5" t="s">
        <v>65</v>
      </c>
      <c r="E278" s="5" t="s">
        <v>108</v>
      </c>
      <c r="F278" s="5" t="s">
        <v>328</v>
      </c>
      <c r="G278" s="5" t="s">
        <v>269</v>
      </c>
      <c r="H278" s="5" t="s">
        <v>814</v>
      </c>
      <c r="I278" s="5" t="s">
        <v>241</v>
      </c>
      <c r="J278" s="5" t="s">
        <v>242</v>
      </c>
      <c r="K278" s="5" t="s">
        <v>243</v>
      </c>
      <c r="L278" s="5" t="s">
        <v>333</v>
      </c>
      <c r="M278" s="5">
        <v>8</v>
      </c>
      <c r="N278" s="5">
        <v>700</v>
      </c>
      <c r="O278" s="5">
        <v>15</v>
      </c>
      <c r="P278" s="5">
        <v>4760</v>
      </c>
      <c r="Q278" s="5">
        <v>4</v>
      </c>
      <c r="R278" s="5" t="s">
        <v>245</v>
      </c>
      <c r="S278" s="5" t="s">
        <v>255</v>
      </c>
      <c r="T278" s="5" t="s">
        <v>278</v>
      </c>
      <c r="U278" s="5">
        <v>9336679085</v>
      </c>
      <c r="V278" s="8" t="s">
        <v>248</v>
      </c>
      <c r="W278" t="str">
        <f t="shared" si="30"/>
        <v/>
      </c>
      <c r="X278" t="str">
        <f t="shared" si="31"/>
        <v>Arjun Rao</v>
      </c>
      <c r="Y278" t="str">
        <f t="shared" si="29"/>
        <v>Arj007Be</v>
      </c>
      <c r="Z278" t="str">
        <f t="shared" si="32"/>
        <v>arjun.rao@company.com</v>
      </c>
      <c r="AA278" t="str">
        <f t="shared" ca="1" si="35"/>
        <v/>
      </c>
      <c r="AB278">
        <f t="shared" si="33"/>
        <v>4</v>
      </c>
      <c r="AC278" t="str">
        <f t="shared" si="34"/>
        <v>On time</v>
      </c>
    </row>
    <row r="279" spans="1:29">
      <c r="A279" s="34" t="s">
        <v>815</v>
      </c>
      <c r="B279" s="10" t="s">
        <v>321</v>
      </c>
      <c r="C279" s="10" t="s">
        <v>250</v>
      </c>
      <c r="D279" s="10" t="s">
        <v>97</v>
      </c>
      <c r="E279" s="10" t="s">
        <v>816</v>
      </c>
      <c r="F279" s="10" t="s">
        <v>408</v>
      </c>
      <c r="G279" s="10" t="s">
        <v>239</v>
      </c>
      <c r="H279" s="10" t="s">
        <v>817</v>
      </c>
      <c r="I279" s="10" t="s">
        <v>286</v>
      </c>
      <c r="J279" s="10" t="s">
        <v>287</v>
      </c>
      <c r="K279" s="10" t="s">
        <v>15</v>
      </c>
      <c r="L279" s="10" t="s">
        <v>253</v>
      </c>
      <c r="M279" s="10">
        <v>15</v>
      </c>
      <c r="N279" s="10">
        <v>2200</v>
      </c>
      <c r="O279" s="10">
        <v>10</v>
      </c>
      <c r="P279" s="10">
        <v>29700</v>
      </c>
      <c r="Q279" s="10">
        <v>5</v>
      </c>
      <c r="R279" s="10" t="s">
        <v>277</v>
      </c>
      <c r="S279" s="10" t="s">
        <v>312</v>
      </c>
      <c r="T279" s="10" t="s">
        <v>326</v>
      </c>
      <c r="U279" s="10">
        <v>9497351043</v>
      </c>
      <c r="V279" s="12" t="s">
        <v>257</v>
      </c>
      <c r="W279" t="str">
        <f t="shared" si="30"/>
        <v>Silver</v>
      </c>
      <c r="X279" t="str">
        <f t="shared" si="31"/>
        <v>Anita Gupta</v>
      </c>
      <c r="Y279" t="str">
        <f t="shared" si="29"/>
        <v>Ani004Mu</v>
      </c>
      <c r="Z279" t="str">
        <f t="shared" si="32"/>
        <v>anita.gupta@company.com</v>
      </c>
      <c r="AA279" t="str">
        <f t="shared" ca="1" si="35"/>
        <v/>
      </c>
      <c r="AB279">
        <f t="shared" si="33"/>
        <v>8</v>
      </c>
      <c r="AC279" t="str">
        <f t="shared" si="34"/>
        <v>Delayed</v>
      </c>
    </row>
    <row r="280" spans="1:29">
      <c r="A280" s="33" t="s">
        <v>818</v>
      </c>
      <c r="B280" s="5" t="s">
        <v>284</v>
      </c>
      <c r="C280" s="5" t="s">
        <v>250</v>
      </c>
      <c r="D280" s="5" t="s">
        <v>61</v>
      </c>
      <c r="E280" s="5" t="s">
        <v>190</v>
      </c>
      <c r="F280" s="5" t="s">
        <v>285</v>
      </c>
      <c r="G280" s="5" t="s">
        <v>239</v>
      </c>
      <c r="H280" s="5" t="s">
        <v>819</v>
      </c>
      <c r="I280" s="5" t="s">
        <v>286</v>
      </c>
      <c r="J280" s="5" t="s">
        <v>287</v>
      </c>
      <c r="K280" s="5" t="s">
        <v>15</v>
      </c>
      <c r="L280" s="5" t="s">
        <v>253</v>
      </c>
      <c r="M280" s="5">
        <v>1</v>
      </c>
      <c r="N280" s="5">
        <v>2200</v>
      </c>
      <c r="O280" s="5">
        <v>0</v>
      </c>
      <c r="P280" s="5">
        <v>2200</v>
      </c>
      <c r="Q280" s="5">
        <v>4</v>
      </c>
      <c r="R280" s="5" t="s">
        <v>254</v>
      </c>
      <c r="S280" s="5" t="s">
        <v>263</v>
      </c>
      <c r="T280" s="5" t="s">
        <v>308</v>
      </c>
      <c r="U280" s="5">
        <v>9357038998</v>
      </c>
      <c r="V280" s="8" t="s">
        <v>265</v>
      </c>
      <c r="W280" t="str">
        <f t="shared" si="30"/>
        <v>Blacklisted</v>
      </c>
      <c r="X280" t="str">
        <f t="shared" si="31"/>
        <v>Priya Patel</v>
      </c>
      <c r="Y280" t="str">
        <f t="shared" si="29"/>
        <v>Pri002Mu</v>
      </c>
      <c r="Z280" t="str">
        <f t="shared" si="32"/>
        <v>priya.patel@company.com</v>
      </c>
      <c r="AA280" t="str">
        <f t="shared" ca="1" si="35"/>
        <v/>
      </c>
      <c r="AB280">
        <f t="shared" si="33"/>
        <v>12</v>
      </c>
      <c r="AC280" t="str">
        <f t="shared" si="34"/>
        <v>Delayed</v>
      </c>
    </row>
    <row r="281" spans="1:29">
      <c r="A281" s="34" t="s">
        <v>820</v>
      </c>
      <c r="B281" s="10" t="s">
        <v>358</v>
      </c>
      <c r="C281" s="10" t="s">
        <v>280</v>
      </c>
      <c r="D281" s="10" t="s">
        <v>80</v>
      </c>
      <c r="E281" s="10" t="s">
        <v>821</v>
      </c>
      <c r="F281" s="10" t="s">
        <v>359</v>
      </c>
      <c r="G281" s="10" t="s">
        <v>239</v>
      </c>
      <c r="H281" s="10" t="s">
        <v>822</v>
      </c>
      <c r="I281" s="10" t="s">
        <v>306</v>
      </c>
      <c r="J281" s="10" t="s">
        <v>287</v>
      </c>
      <c r="K281" s="10" t="s">
        <v>15</v>
      </c>
      <c r="L281" s="10" t="s">
        <v>282</v>
      </c>
      <c r="M281" s="10">
        <v>10</v>
      </c>
      <c r="N281" s="10">
        <v>3500</v>
      </c>
      <c r="O281" s="10">
        <v>10</v>
      </c>
      <c r="P281" s="10">
        <v>31500</v>
      </c>
      <c r="Q281" s="10">
        <v>4</v>
      </c>
      <c r="R281" s="10" t="s">
        <v>245</v>
      </c>
      <c r="S281" s="10" t="s">
        <v>255</v>
      </c>
      <c r="T281" s="10" t="s">
        <v>360</v>
      </c>
      <c r="U281" s="10">
        <v>9986371291</v>
      </c>
      <c r="V281" s="12" t="s">
        <v>265</v>
      </c>
      <c r="W281" t="str">
        <f t="shared" si="30"/>
        <v>Blacklisted</v>
      </c>
      <c r="X281" t="str">
        <f t="shared" si="31"/>
        <v>Sneha Joshi</v>
      </c>
      <c r="Y281" t="str">
        <f t="shared" si="29"/>
        <v>Sne006Ah</v>
      </c>
      <c r="Z281" t="str">
        <f t="shared" si="32"/>
        <v>sneha.joshi@company.com</v>
      </c>
      <c r="AA281" t="str">
        <f t="shared" ca="1" si="35"/>
        <v/>
      </c>
      <c r="AB281">
        <f t="shared" si="33"/>
        <v>11</v>
      </c>
      <c r="AC281" t="str">
        <f t="shared" si="34"/>
        <v>Delayed</v>
      </c>
    </row>
    <row r="282" spans="1:29">
      <c r="A282" s="33" t="s">
        <v>823</v>
      </c>
      <c r="B282" s="5" t="s">
        <v>266</v>
      </c>
      <c r="C282" s="5" t="s">
        <v>280</v>
      </c>
      <c r="D282" s="6">
        <v>45996</v>
      </c>
      <c r="E282" s="5" t="s">
        <v>46</v>
      </c>
      <c r="F282" s="5" t="s">
        <v>268</v>
      </c>
      <c r="G282" s="5" t="s">
        <v>269</v>
      </c>
      <c r="H282" s="6">
        <v>33271</v>
      </c>
      <c r="I282" s="5" t="s">
        <v>342</v>
      </c>
      <c r="J282" s="5" t="s">
        <v>261</v>
      </c>
      <c r="K282" s="5" t="s">
        <v>15</v>
      </c>
      <c r="L282" s="5" t="s">
        <v>282</v>
      </c>
      <c r="M282" s="5">
        <v>16</v>
      </c>
      <c r="N282" s="5">
        <v>3500</v>
      </c>
      <c r="O282" s="5">
        <v>15</v>
      </c>
      <c r="P282" s="5">
        <v>47600</v>
      </c>
      <c r="Q282" s="5">
        <v>1</v>
      </c>
      <c r="R282" s="5" t="s">
        <v>272</v>
      </c>
      <c r="S282" s="5" t="s">
        <v>292</v>
      </c>
      <c r="T282" s="5" t="s">
        <v>273</v>
      </c>
      <c r="U282" s="5">
        <v>9397839191</v>
      </c>
      <c r="V282" s="8" t="s">
        <v>248</v>
      </c>
      <c r="W282" t="str">
        <f t="shared" si="30"/>
        <v>Blacklisted</v>
      </c>
      <c r="X282" t="str">
        <f t="shared" si="31"/>
        <v>Mohit Verma</v>
      </c>
      <c r="Y282" t="str">
        <f t="shared" si="29"/>
        <v>Moh009Ja</v>
      </c>
      <c r="Z282" t="str">
        <f t="shared" si="32"/>
        <v>mohit.verma@company.com</v>
      </c>
      <c r="AA282" t="str">
        <f t="shared" ca="1" si="35"/>
        <v/>
      </c>
      <c r="AB282" t="str">
        <f t="shared" si="33"/>
        <v/>
      </c>
      <c r="AC282" t="str">
        <f t="shared" si="34"/>
        <v>Delayed</v>
      </c>
    </row>
    <row r="283" spans="1:29">
      <c r="A283" s="34" t="s">
        <v>824</v>
      </c>
      <c r="B283" s="10" t="s">
        <v>358</v>
      </c>
      <c r="C283" s="10" t="s">
        <v>258</v>
      </c>
      <c r="D283" s="11">
        <v>45817</v>
      </c>
      <c r="E283" s="10" t="s">
        <v>70</v>
      </c>
      <c r="F283" s="10" t="s">
        <v>359</v>
      </c>
      <c r="G283" s="10" t="s">
        <v>239</v>
      </c>
      <c r="H283" s="11">
        <v>28741</v>
      </c>
      <c r="I283" s="10" t="s">
        <v>342</v>
      </c>
      <c r="J283" s="10" t="s">
        <v>261</v>
      </c>
      <c r="K283" s="10" t="s">
        <v>243</v>
      </c>
      <c r="L283" s="10" t="s">
        <v>262</v>
      </c>
      <c r="M283" s="10">
        <v>1</v>
      </c>
      <c r="N283" s="10">
        <v>12000</v>
      </c>
      <c r="O283" s="10">
        <v>0</v>
      </c>
      <c r="P283" s="10">
        <v>12000</v>
      </c>
      <c r="Q283" s="10">
        <v>4</v>
      </c>
      <c r="R283" s="10" t="s">
        <v>245</v>
      </c>
      <c r="S283" s="10" t="s">
        <v>292</v>
      </c>
      <c r="T283" s="10" t="s">
        <v>360</v>
      </c>
      <c r="U283" s="10">
        <v>9162975843</v>
      </c>
      <c r="V283" s="12" t="s">
        <v>265</v>
      </c>
      <c r="W283" t="str">
        <f t="shared" si="30"/>
        <v>Blacklisted</v>
      </c>
      <c r="X283" t="str">
        <f t="shared" si="31"/>
        <v>Sneha Joshi</v>
      </c>
      <c r="Y283" t="str">
        <f t="shared" si="29"/>
        <v>Sne006Ja</v>
      </c>
      <c r="Z283" t="str">
        <f t="shared" si="32"/>
        <v>sneha.joshi@company.com</v>
      </c>
      <c r="AA283">
        <f t="shared" ca="1" si="35"/>
        <v>35</v>
      </c>
      <c r="AB283" t="str">
        <f t="shared" si="33"/>
        <v/>
      </c>
      <c r="AC283" t="str">
        <f t="shared" si="34"/>
        <v>Delayed</v>
      </c>
    </row>
    <row r="284" spans="1:29">
      <c r="A284" s="33" t="s">
        <v>825</v>
      </c>
      <c r="B284" s="5" t="s">
        <v>275</v>
      </c>
      <c r="C284" s="5" t="s">
        <v>330</v>
      </c>
      <c r="D284" s="5" t="s">
        <v>122</v>
      </c>
      <c r="E284" s="5" t="s">
        <v>511</v>
      </c>
      <c r="F284" s="5" t="s">
        <v>328</v>
      </c>
      <c r="G284" s="5" t="s">
        <v>269</v>
      </c>
      <c r="H284" s="6">
        <v>34367</v>
      </c>
      <c r="I284" s="5" t="s">
        <v>286</v>
      </c>
      <c r="J284" s="5" t="s">
        <v>287</v>
      </c>
      <c r="K284" s="5" t="s">
        <v>243</v>
      </c>
      <c r="L284" s="5" t="s">
        <v>333</v>
      </c>
      <c r="M284" s="5">
        <v>6</v>
      </c>
      <c r="N284" s="5">
        <v>700</v>
      </c>
      <c r="O284" s="5">
        <v>20</v>
      </c>
      <c r="P284" s="5">
        <v>3360</v>
      </c>
      <c r="Q284" s="5">
        <v>2</v>
      </c>
      <c r="R284" s="5" t="s">
        <v>245</v>
      </c>
      <c r="S284" s="5" t="s">
        <v>292</v>
      </c>
      <c r="T284" s="5" t="s">
        <v>278</v>
      </c>
      <c r="U284" s="5">
        <v>9237616558</v>
      </c>
      <c r="V284" s="8" t="s">
        <v>248</v>
      </c>
      <c r="W284" t="str">
        <f t="shared" si="30"/>
        <v>Blacklisted</v>
      </c>
      <c r="X284" t="str">
        <f t="shared" si="31"/>
        <v>Arjun Rao</v>
      </c>
      <c r="Y284" t="str">
        <f t="shared" si="29"/>
        <v>Arj007Mu</v>
      </c>
      <c r="Z284" t="str">
        <f t="shared" si="32"/>
        <v>arjun.rao@company.com</v>
      </c>
      <c r="AA284">
        <f t="shared" ca="1" si="35"/>
        <v>48</v>
      </c>
      <c r="AB284">
        <f t="shared" si="33"/>
        <v>6</v>
      </c>
      <c r="AC284" t="str">
        <f t="shared" si="34"/>
        <v>Delayed</v>
      </c>
    </row>
    <row r="285" spans="1:29">
      <c r="A285" s="34" t="s">
        <v>826</v>
      </c>
      <c r="B285" s="10" t="s">
        <v>266</v>
      </c>
      <c r="C285" s="10" t="s">
        <v>250</v>
      </c>
      <c r="D285" s="10" t="s">
        <v>99</v>
      </c>
      <c r="E285" s="10" t="s">
        <v>827</v>
      </c>
      <c r="F285" s="10" t="s">
        <v>268</v>
      </c>
      <c r="G285" s="10" t="s">
        <v>269</v>
      </c>
      <c r="H285" s="10" t="s">
        <v>828</v>
      </c>
      <c r="I285" s="10" t="s">
        <v>306</v>
      </c>
      <c r="J285" s="10" t="s">
        <v>287</v>
      </c>
      <c r="K285" s="10" t="s">
        <v>15</v>
      </c>
      <c r="L285" s="10" t="s">
        <v>253</v>
      </c>
      <c r="M285" s="10">
        <v>3</v>
      </c>
      <c r="N285" s="10">
        <v>2200</v>
      </c>
      <c r="O285" s="10">
        <v>0</v>
      </c>
      <c r="P285" s="10">
        <v>6600</v>
      </c>
      <c r="Q285" s="10">
        <v>4</v>
      </c>
      <c r="R285" s="10" t="s">
        <v>272</v>
      </c>
      <c r="S285" s="10" t="s">
        <v>255</v>
      </c>
      <c r="T285" s="10" t="s">
        <v>273</v>
      </c>
      <c r="U285" s="10">
        <v>9935063989</v>
      </c>
      <c r="V285" s="12" t="s">
        <v>257</v>
      </c>
      <c r="W285" t="str">
        <f t="shared" si="30"/>
        <v>Silver</v>
      </c>
      <c r="X285" t="str">
        <f t="shared" si="31"/>
        <v>Mohit Verma</v>
      </c>
      <c r="Y285" t="str">
        <f t="shared" si="29"/>
        <v>Moh009Ah</v>
      </c>
      <c r="Z285" t="str">
        <f t="shared" si="32"/>
        <v>mohit.verma@company.com</v>
      </c>
      <c r="AA285">
        <f t="shared" ca="1" si="35"/>
        <v>32</v>
      </c>
      <c r="AB285">
        <f t="shared" si="33"/>
        <v>6</v>
      </c>
      <c r="AC285" t="str">
        <f t="shared" si="34"/>
        <v>Delayed</v>
      </c>
    </row>
    <row r="286" spans="1:29">
      <c r="A286" s="33" t="s">
        <v>829</v>
      </c>
      <c r="B286" s="5" t="s">
        <v>358</v>
      </c>
      <c r="C286" s="5" t="s">
        <v>362</v>
      </c>
      <c r="D286" s="5" t="s">
        <v>183</v>
      </c>
      <c r="E286" s="6">
        <v>46023</v>
      </c>
      <c r="F286" s="5" t="s">
        <v>359</v>
      </c>
      <c r="G286" s="5" t="s">
        <v>239</v>
      </c>
      <c r="H286" s="6">
        <v>33941</v>
      </c>
      <c r="I286" s="5" t="s">
        <v>252</v>
      </c>
      <c r="J286" s="5" t="s">
        <v>242</v>
      </c>
      <c r="K286" s="5" t="s">
        <v>295</v>
      </c>
      <c r="L286" s="5" t="s">
        <v>363</v>
      </c>
      <c r="M286" s="5">
        <v>6</v>
      </c>
      <c r="N286" s="5">
        <v>45</v>
      </c>
      <c r="O286" s="5">
        <v>15</v>
      </c>
      <c r="P286" s="5">
        <v>229.5</v>
      </c>
      <c r="Q286" s="5">
        <v>1</v>
      </c>
      <c r="R286" s="5" t="s">
        <v>277</v>
      </c>
      <c r="S286" s="5" t="s">
        <v>263</v>
      </c>
      <c r="T286" s="5" t="s">
        <v>360</v>
      </c>
      <c r="U286" s="5">
        <v>9167376169</v>
      </c>
      <c r="V286" s="8" t="s">
        <v>257</v>
      </c>
      <c r="W286" t="str">
        <f t="shared" si="30"/>
        <v>Blacklisted</v>
      </c>
      <c r="X286" t="str">
        <f t="shared" si="31"/>
        <v>Sneha Joshi</v>
      </c>
      <c r="Y286" t="str">
        <f t="shared" si="29"/>
        <v>Sne006Hy</v>
      </c>
      <c r="Z286" t="str">
        <f t="shared" si="32"/>
        <v>sneha.joshi@company.com</v>
      </c>
      <c r="AA286" t="str">
        <f t="shared" ca="1" si="35"/>
        <v/>
      </c>
      <c r="AB286" t="str">
        <f t="shared" si="33"/>
        <v/>
      </c>
      <c r="AC286" t="str">
        <f t="shared" si="34"/>
        <v>Delayed</v>
      </c>
    </row>
    <row r="287" spans="1:29">
      <c r="A287" s="34" t="s">
        <v>830</v>
      </c>
      <c r="B287" s="10" t="s">
        <v>358</v>
      </c>
      <c r="C287" s="10" t="s">
        <v>267</v>
      </c>
      <c r="D287" s="10" t="s">
        <v>115</v>
      </c>
      <c r="E287" s="10" t="s">
        <v>831</v>
      </c>
      <c r="F287" s="10" t="s">
        <v>359</v>
      </c>
      <c r="G287" s="10" t="s">
        <v>239</v>
      </c>
      <c r="H287" s="10" t="s">
        <v>832</v>
      </c>
      <c r="I287" s="10" t="s">
        <v>241</v>
      </c>
      <c r="J287" s="10" t="s">
        <v>242</v>
      </c>
      <c r="K287" s="10" t="s">
        <v>243</v>
      </c>
      <c r="L287" s="10" t="s">
        <v>271</v>
      </c>
      <c r="M287" s="10">
        <v>2</v>
      </c>
      <c r="N287" s="10">
        <v>1200</v>
      </c>
      <c r="O287" s="10">
        <v>0</v>
      </c>
      <c r="P287" s="10">
        <v>2400</v>
      </c>
      <c r="Q287" s="10">
        <v>1</v>
      </c>
      <c r="R287" s="10" t="s">
        <v>254</v>
      </c>
      <c r="S287" s="10" t="s">
        <v>312</v>
      </c>
      <c r="T287" s="10" t="s">
        <v>360</v>
      </c>
      <c r="U287" s="10">
        <v>9231845497</v>
      </c>
      <c r="V287" s="12" t="s">
        <v>265</v>
      </c>
      <c r="W287" t="str">
        <f t="shared" si="30"/>
        <v>Blacklisted</v>
      </c>
      <c r="X287" t="str">
        <f t="shared" si="31"/>
        <v>Sneha Joshi</v>
      </c>
      <c r="Y287" t="str">
        <f t="shared" si="29"/>
        <v>Sne006Be</v>
      </c>
      <c r="Z287" t="str">
        <f t="shared" si="32"/>
        <v>sneha.joshi@company.com</v>
      </c>
      <c r="AA287">
        <f t="shared" ca="1" si="35"/>
        <v>33</v>
      </c>
      <c r="AB287">
        <f t="shared" si="33"/>
        <v>8</v>
      </c>
      <c r="AC287" t="str">
        <f t="shared" si="34"/>
        <v>Delayed</v>
      </c>
    </row>
    <row r="288" spans="1:29">
      <c r="A288" s="33" t="s">
        <v>833</v>
      </c>
      <c r="B288" s="5" t="s">
        <v>321</v>
      </c>
      <c r="C288" s="5" t="s">
        <v>330</v>
      </c>
      <c r="D288" s="6">
        <v>46239</v>
      </c>
      <c r="E288" s="6">
        <v>46331</v>
      </c>
      <c r="F288" s="5" t="s">
        <v>408</v>
      </c>
      <c r="G288" s="5" t="s">
        <v>239</v>
      </c>
      <c r="H288" s="5" t="s">
        <v>834</v>
      </c>
      <c r="I288" s="5" t="s">
        <v>252</v>
      </c>
      <c r="J288" s="5" t="s">
        <v>242</v>
      </c>
      <c r="K288" s="5" t="s">
        <v>243</v>
      </c>
      <c r="L288" s="5" t="s">
        <v>333</v>
      </c>
      <c r="M288" s="5">
        <v>14</v>
      </c>
      <c r="N288" s="5">
        <v>700</v>
      </c>
      <c r="O288" s="5">
        <v>15</v>
      </c>
      <c r="P288" s="5">
        <v>8330</v>
      </c>
      <c r="Q288" s="5">
        <v>5</v>
      </c>
      <c r="R288" s="5" t="s">
        <v>254</v>
      </c>
      <c r="S288" s="5" t="s">
        <v>292</v>
      </c>
      <c r="T288" s="5" t="s">
        <v>326</v>
      </c>
      <c r="U288" s="5">
        <v>9409415805</v>
      </c>
      <c r="V288" s="8" t="s">
        <v>248</v>
      </c>
      <c r="W288" t="str">
        <f t="shared" si="30"/>
        <v/>
      </c>
      <c r="X288" t="str">
        <f t="shared" si="31"/>
        <v>Anita Gupta</v>
      </c>
      <c r="Y288" t="str">
        <f t="shared" si="29"/>
        <v>Ani004Hy</v>
      </c>
      <c r="Z288" t="str">
        <f t="shared" si="32"/>
        <v>anita.gupta@company.com</v>
      </c>
      <c r="AA288" t="str">
        <f t="shared" ca="1" si="35"/>
        <v/>
      </c>
      <c r="AB288" t="str">
        <f t="shared" si="33"/>
        <v/>
      </c>
      <c r="AC288" t="str">
        <f t="shared" si="34"/>
        <v>Delayed</v>
      </c>
    </row>
    <row r="289" spans="1:29">
      <c r="A289" s="34" t="s">
        <v>835</v>
      </c>
      <c r="B289" s="10" t="s">
        <v>284</v>
      </c>
      <c r="C289" s="10" t="s">
        <v>347</v>
      </c>
      <c r="D289" s="11">
        <v>45788</v>
      </c>
      <c r="E289" s="11">
        <v>45819</v>
      </c>
      <c r="F289" s="10" t="s">
        <v>285</v>
      </c>
      <c r="G289" s="10" t="s">
        <v>239</v>
      </c>
      <c r="H289" s="11">
        <v>27556</v>
      </c>
      <c r="I289" s="10" t="s">
        <v>286</v>
      </c>
      <c r="J289" s="10" t="s">
        <v>287</v>
      </c>
      <c r="K289" s="10" t="s">
        <v>295</v>
      </c>
      <c r="L289" s="10" t="s">
        <v>349</v>
      </c>
      <c r="M289" s="10">
        <v>13</v>
      </c>
      <c r="N289" s="10">
        <v>20</v>
      </c>
      <c r="O289" s="10">
        <v>5</v>
      </c>
      <c r="P289" s="10">
        <v>247</v>
      </c>
      <c r="Q289" s="10">
        <v>1</v>
      </c>
      <c r="R289" s="10" t="s">
        <v>272</v>
      </c>
      <c r="S289" s="10" t="s">
        <v>255</v>
      </c>
      <c r="T289" s="10" t="s">
        <v>836</v>
      </c>
      <c r="U289" s="10">
        <v>9240800508</v>
      </c>
      <c r="V289" s="12" t="s">
        <v>248</v>
      </c>
      <c r="W289" t="str">
        <f t="shared" si="30"/>
        <v>Blacklisted</v>
      </c>
      <c r="X289" t="str">
        <f t="shared" si="31"/>
        <v>Priya Patel</v>
      </c>
      <c r="Y289" t="str">
        <f t="shared" si="29"/>
        <v>Pri002Mu</v>
      </c>
      <c r="Z289" t="str">
        <f t="shared" si="32"/>
        <v>invalid email</v>
      </c>
      <c r="AA289" t="str">
        <f t="shared" ca="1" si="35"/>
        <v/>
      </c>
      <c r="AB289" t="str">
        <f t="shared" si="33"/>
        <v/>
      </c>
      <c r="AC289" t="str">
        <f t="shared" si="34"/>
        <v>Delayed</v>
      </c>
    </row>
    <row r="290" spans="1:29">
      <c r="A290" s="33" t="s">
        <v>837</v>
      </c>
      <c r="B290" s="5" t="s">
        <v>266</v>
      </c>
      <c r="C290" s="5" t="s">
        <v>250</v>
      </c>
      <c r="D290" s="6">
        <v>45872</v>
      </c>
      <c r="E290" s="5" t="s">
        <v>304</v>
      </c>
      <c r="F290" s="5" t="s">
        <v>268</v>
      </c>
      <c r="G290" s="5" t="s">
        <v>269</v>
      </c>
      <c r="H290" s="5" t="s">
        <v>838</v>
      </c>
      <c r="I290" s="5" t="s">
        <v>291</v>
      </c>
      <c r="J290" s="5" t="s">
        <v>287</v>
      </c>
      <c r="K290" s="5" t="s">
        <v>15</v>
      </c>
      <c r="L290" s="5" t="s">
        <v>253</v>
      </c>
      <c r="M290" s="5">
        <v>3</v>
      </c>
      <c r="N290" s="5">
        <v>2200</v>
      </c>
      <c r="O290" s="5">
        <v>0</v>
      </c>
      <c r="P290" s="5">
        <v>6600</v>
      </c>
      <c r="Q290" s="5">
        <v>4</v>
      </c>
      <c r="R290" s="5" t="s">
        <v>245</v>
      </c>
      <c r="S290" s="5" t="s">
        <v>246</v>
      </c>
      <c r="T290" s="5" t="s">
        <v>273</v>
      </c>
      <c r="U290" s="5">
        <v>9764609936</v>
      </c>
      <c r="V290" s="8" t="s">
        <v>265</v>
      </c>
      <c r="W290" t="str">
        <f t="shared" si="30"/>
        <v>Blacklisted</v>
      </c>
      <c r="X290" t="str">
        <f t="shared" si="31"/>
        <v>Mohit Verma</v>
      </c>
      <c r="Y290" t="str">
        <f t="shared" si="29"/>
        <v>Moh009Pu</v>
      </c>
      <c r="Z290" t="str">
        <f t="shared" si="32"/>
        <v>mohit.verma@company.com</v>
      </c>
      <c r="AA290">
        <f t="shared" ca="1" si="35"/>
        <v>51</v>
      </c>
      <c r="AB290" t="str">
        <f t="shared" si="33"/>
        <v/>
      </c>
      <c r="AC290" t="str">
        <f t="shared" si="34"/>
        <v>Delayed</v>
      </c>
    </row>
    <row r="291" spans="1:29">
      <c r="A291" s="34" t="s">
        <v>839</v>
      </c>
      <c r="B291" s="10" t="s">
        <v>266</v>
      </c>
      <c r="C291" s="10" t="s">
        <v>294</v>
      </c>
      <c r="D291" s="11">
        <v>46267</v>
      </c>
      <c r="E291" s="10" t="s">
        <v>99</v>
      </c>
      <c r="F291" s="10" t="s">
        <v>268</v>
      </c>
      <c r="G291" s="10" t="s">
        <v>269</v>
      </c>
      <c r="H291" s="10" t="s">
        <v>840</v>
      </c>
      <c r="I291" s="10" t="s">
        <v>291</v>
      </c>
      <c r="J291" s="10" t="s">
        <v>287</v>
      </c>
      <c r="K291" s="10" t="s">
        <v>295</v>
      </c>
      <c r="L291" s="10" t="s">
        <v>296</v>
      </c>
      <c r="M291" s="10">
        <v>3</v>
      </c>
      <c r="N291" s="10">
        <v>60</v>
      </c>
      <c r="O291" s="10">
        <v>15</v>
      </c>
      <c r="P291" s="10">
        <v>153</v>
      </c>
      <c r="Q291" s="10">
        <v>4</v>
      </c>
      <c r="R291" s="10" t="s">
        <v>277</v>
      </c>
      <c r="S291" s="10" t="s">
        <v>292</v>
      </c>
      <c r="T291" s="10" t="s">
        <v>273</v>
      </c>
      <c r="U291" s="10">
        <v>9362733217</v>
      </c>
      <c r="V291" s="12" t="s">
        <v>257</v>
      </c>
      <c r="W291" t="str">
        <f t="shared" si="30"/>
        <v>Silver</v>
      </c>
      <c r="X291" t="str">
        <f t="shared" si="31"/>
        <v>Mohit Verma</v>
      </c>
      <c r="Y291" t="str">
        <f t="shared" si="29"/>
        <v>Moh009Pu</v>
      </c>
      <c r="Z291" t="str">
        <f t="shared" si="32"/>
        <v>mohit.verma@company.com</v>
      </c>
      <c r="AA291" t="str">
        <f t="shared" ca="1" si="35"/>
        <v/>
      </c>
      <c r="AB291" t="str">
        <f t="shared" si="33"/>
        <v/>
      </c>
      <c r="AC291" t="str">
        <f t="shared" si="34"/>
        <v>Delayed</v>
      </c>
    </row>
    <row r="292" spans="1:29">
      <c r="A292" s="33" t="s">
        <v>841</v>
      </c>
      <c r="B292" s="5" t="s">
        <v>299</v>
      </c>
      <c r="C292" s="5" t="s">
        <v>280</v>
      </c>
      <c r="D292" s="5" t="s">
        <v>57</v>
      </c>
      <c r="E292" s="5" t="s">
        <v>120</v>
      </c>
      <c r="F292" s="5" t="s">
        <v>301</v>
      </c>
      <c r="G292" s="5" t="s">
        <v>269</v>
      </c>
      <c r="H292" s="5" t="s">
        <v>503</v>
      </c>
      <c r="I292" s="5" t="s">
        <v>286</v>
      </c>
      <c r="J292" s="5" t="s">
        <v>287</v>
      </c>
      <c r="K292" s="5" t="s">
        <v>15</v>
      </c>
      <c r="L292" s="5" t="s">
        <v>282</v>
      </c>
      <c r="M292" s="5">
        <v>9</v>
      </c>
      <c r="N292" s="5">
        <v>3500</v>
      </c>
      <c r="O292" s="5">
        <v>5</v>
      </c>
      <c r="P292" s="5">
        <v>29925</v>
      </c>
      <c r="Q292" s="5">
        <v>1</v>
      </c>
      <c r="R292" s="5" t="s">
        <v>254</v>
      </c>
      <c r="S292" s="5" t="s">
        <v>246</v>
      </c>
      <c r="T292" s="5" t="s">
        <v>302</v>
      </c>
      <c r="U292" s="5">
        <v>9270466205</v>
      </c>
      <c r="V292" s="8" t="s">
        <v>248</v>
      </c>
      <c r="W292" t="str">
        <f t="shared" si="30"/>
        <v>Blacklisted</v>
      </c>
      <c r="X292" t="str">
        <f t="shared" si="31"/>
        <v>Rohit Singh</v>
      </c>
      <c r="Y292" t="str">
        <f t="shared" si="29"/>
        <v>Roh003Mu</v>
      </c>
      <c r="Z292" t="str">
        <f t="shared" si="32"/>
        <v>rohit.singh@company.com</v>
      </c>
      <c r="AA292" t="str">
        <f t="shared" ca="1" si="35"/>
        <v/>
      </c>
      <c r="AB292">
        <f t="shared" si="33"/>
        <v>6</v>
      </c>
      <c r="AC292" t="str">
        <f t="shared" si="34"/>
        <v>Delayed</v>
      </c>
    </row>
    <row r="293" spans="1:29">
      <c r="A293" s="34" t="s">
        <v>842</v>
      </c>
      <c r="B293" s="10" t="s">
        <v>392</v>
      </c>
      <c r="C293" s="10" t="s">
        <v>267</v>
      </c>
      <c r="D293" s="10" t="s">
        <v>163</v>
      </c>
      <c r="E293" s="11">
        <v>45661</v>
      </c>
      <c r="F293" s="10" t="s">
        <v>323</v>
      </c>
      <c r="G293" s="10" t="s">
        <v>269</v>
      </c>
      <c r="H293" s="11">
        <v>37105</v>
      </c>
      <c r="I293" s="10" t="s">
        <v>342</v>
      </c>
      <c r="J293" s="10" t="s">
        <v>261</v>
      </c>
      <c r="K293" s="10" t="s">
        <v>243</v>
      </c>
      <c r="L293" s="10" t="s">
        <v>271</v>
      </c>
      <c r="M293" s="10">
        <v>5</v>
      </c>
      <c r="N293" s="10">
        <v>1200</v>
      </c>
      <c r="O293" s="10">
        <v>20</v>
      </c>
      <c r="P293" s="10">
        <v>4800</v>
      </c>
      <c r="Q293" s="10">
        <v>2</v>
      </c>
      <c r="R293" s="10" t="s">
        <v>277</v>
      </c>
      <c r="S293" s="10" t="s">
        <v>292</v>
      </c>
      <c r="T293" s="10" t="s">
        <v>395</v>
      </c>
      <c r="U293" s="10">
        <v>9571436865</v>
      </c>
      <c r="V293" s="12" t="s">
        <v>248</v>
      </c>
      <c r="W293" t="str">
        <f t="shared" si="30"/>
        <v>Blacklisted</v>
      </c>
      <c r="X293" t="str">
        <f t="shared" si="31"/>
        <v>Amit Sharma</v>
      </c>
      <c r="Y293" t="str">
        <f t="shared" si="29"/>
        <v>Ami001Ja</v>
      </c>
      <c r="Z293" t="str">
        <f t="shared" si="32"/>
        <v>amit.sharma@company.com</v>
      </c>
      <c r="AA293" t="str">
        <f t="shared" ca="1" si="35"/>
        <v/>
      </c>
      <c r="AB293" t="str">
        <f t="shared" si="33"/>
        <v/>
      </c>
      <c r="AC293" t="str">
        <f t="shared" si="34"/>
        <v>Delayed</v>
      </c>
    </row>
    <row r="294" spans="1:29">
      <c r="A294" s="33" t="s">
        <v>843</v>
      </c>
      <c r="B294" s="5" t="s">
        <v>235</v>
      </c>
      <c r="C294" s="5" t="s">
        <v>267</v>
      </c>
      <c r="D294" s="6">
        <v>45994</v>
      </c>
      <c r="E294" s="5" t="s">
        <v>25</v>
      </c>
      <c r="F294" s="5" t="s">
        <v>318</v>
      </c>
      <c r="G294" s="5" t="s">
        <v>239</v>
      </c>
      <c r="H294" s="5" t="s">
        <v>844</v>
      </c>
      <c r="I294" s="5" t="s">
        <v>342</v>
      </c>
      <c r="J294" s="5" t="s">
        <v>261</v>
      </c>
      <c r="K294" s="5" t="s">
        <v>243</v>
      </c>
      <c r="L294" s="5" t="s">
        <v>271</v>
      </c>
      <c r="M294" s="5">
        <v>10</v>
      </c>
      <c r="N294" s="5">
        <v>1200</v>
      </c>
      <c r="O294" s="5">
        <v>20</v>
      </c>
      <c r="P294" s="5">
        <v>9600</v>
      </c>
      <c r="Q294" s="5">
        <v>4</v>
      </c>
      <c r="R294" s="5" t="s">
        <v>254</v>
      </c>
      <c r="S294" s="5" t="s">
        <v>263</v>
      </c>
      <c r="T294" s="7" t="s">
        <v>845</v>
      </c>
      <c r="U294" s="5">
        <v>9307011171</v>
      </c>
      <c r="V294" s="8" t="s">
        <v>257</v>
      </c>
      <c r="W294" t="str">
        <f t="shared" si="30"/>
        <v>Silver</v>
      </c>
      <c r="X294" t="str">
        <f t="shared" si="31"/>
        <v>Pooja Shah</v>
      </c>
      <c r="Y294" t="str">
        <f t="shared" si="29"/>
        <v>Poo010Ja</v>
      </c>
      <c r="Z294" t="str">
        <f t="shared" si="32"/>
        <v>pooja.shah@company.com</v>
      </c>
      <c r="AA294">
        <f t="shared" ca="1" si="35"/>
        <v>25</v>
      </c>
      <c r="AB294" t="str">
        <f t="shared" si="33"/>
        <v/>
      </c>
      <c r="AC294" t="str">
        <f t="shared" si="34"/>
        <v>Delayed</v>
      </c>
    </row>
    <row r="295" spans="1:29">
      <c r="A295" s="34" t="s">
        <v>846</v>
      </c>
      <c r="B295" s="10" t="s">
        <v>249</v>
      </c>
      <c r="C295" s="10" t="s">
        <v>267</v>
      </c>
      <c r="D295" s="10" t="s">
        <v>9</v>
      </c>
      <c r="E295" s="10" t="s">
        <v>130</v>
      </c>
      <c r="F295" s="10" t="s">
        <v>251</v>
      </c>
      <c r="G295" s="10" t="s">
        <v>239</v>
      </c>
      <c r="H295" s="10" t="s">
        <v>847</v>
      </c>
      <c r="I295" s="10" t="s">
        <v>306</v>
      </c>
      <c r="J295" s="10" t="s">
        <v>287</v>
      </c>
      <c r="K295" s="10" t="s">
        <v>243</v>
      </c>
      <c r="L295" s="10" t="s">
        <v>271</v>
      </c>
      <c r="M295" s="10">
        <v>5</v>
      </c>
      <c r="N295" s="10">
        <v>1200</v>
      </c>
      <c r="O295" s="10">
        <v>20</v>
      </c>
      <c r="P295" s="10">
        <v>4800</v>
      </c>
      <c r="Q295" s="10">
        <v>3</v>
      </c>
      <c r="R295" s="10" t="s">
        <v>245</v>
      </c>
      <c r="S295" s="10" t="s">
        <v>312</v>
      </c>
      <c r="T295" s="10" t="s">
        <v>264</v>
      </c>
      <c r="U295" s="10">
        <v>9922380435</v>
      </c>
      <c r="V295" s="12" t="s">
        <v>257</v>
      </c>
      <c r="W295" t="str">
        <f t="shared" si="30"/>
        <v>Silver</v>
      </c>
      <c r="X295" t="str">
        <f t="shared" si="31"/>
        <v>Kavya Nair</v>
      </c>
      <c r="Y295" t="str">
        <f t="shared" si="29"/>
        <v>Kav008Ah</v>
      </c>
      <c r="Z295" t="str">
        <f t="shared" si="32"/>
        <v>kavya.nair@company.com</v>
      </c>
      <c r="AA295" t="str">
        <f t="shared" ca="1" si="35"/>
        <v/>
      </c>
      <c r="AB295">
        <f t="shared" si="33"/>
        <v>11</v>
      </c>
      <c r="AC295" t="str">
        <f t="shared" si="34"/>
        <v>Delayed</v>
      </c>
    </row>
    <row r="296" spans="1:29">
      <c r="A296" s="33" t="s">
        <v>848</v>
      </c>
      <c r="B296" s="5" t="s">
        <v>321</v>
      </c>
      <c r="C296" s="5" t="s">
        <v>347</v>
      </c>
      <c r="D296" s="6">
        <v>45963</v>
      </c>
      <c r="E296" s="5" t="s">
        <v>849</v>
      </c>
      <c r="F296" s="5" t="s">
        <v>408</v>
      </c>
      <c r="G296" s="5" t="s">
        <v>239</v>
      </c>
      <c r="H296" s="5" t="s">
        <v>850</v>
      </c>
      <c r="I296" s="5" t="s">
        <v>286</v>
      </c>
      <c r="J296" s="5" t="s">
        <v>287</v>
      </c>
      <c r="K296" s="5" t="s">
        <v>295</v>
      </c>
      <c r="L296" s="5" t="s">
        <v>349</v>
      </c>
      <c r="M296" s="5">
        <v>10</v>
      </c>
      <c r="N296" s="5">
        <v>20</v>
      </c>
      <c r="O296" s="5">
        <v>5</v>
      </c>
      <c r="P296" s="5">
        <v>190</v>
      </c>
      <c r="Q296" s="5">
        <v>4</v>
      </c>
      <c r="R296" s="5" t="s">
        <v>254</v>
      </c>
      <c r="S296" s="5" t="s">
        <v>312</v>
      </c>
      <c r="T296" s="5" t="s">
        <v>326</v>
      </c>
      <c r="U296" s="5">
        <v>9463618792</v>
      </c>
      <c r="V296" s="8" t="s">
        <v>248</v>
      </c>
      <c r="W296" t="str">
        <f t="shared" si="30"/>
        <v/>
      </c>
      <c r="X296" t="str">
        <f t="shared" si="31"/>
        <v>Anita Gupta</v>
      </c>
      <c r="Y296" t="str">
        <f t="shared" si="29"/>
        <v>Ani004Mu</v>
      </c>
      <c r="Z296" t="str">
        <f t="shared" si="32"/>
        <v>anita.gupta@company.com</v>
      </c>
      <c r="AA296" t="str">
        <f t="shared" ca="1" si="35"/>
        <v/>
      </c>
      <c r="AB296" t="str">
        <f t="shared" si="33"/>
        <v/>
      </c>
      <c r="AC296" t="str">
        <f t="shared" si="34"/>
        <v>Delayed</v>
      </c>
    </row>
    <row r="297" spans="1:29">
      <c r="A297" s="34" t="s">
        <v>851</v>
      </c>
      <c r="B297" s="10" t="s">
        <v>284</v>
      </c>
      <c r="C297" s="10" t="s">
        <v>294</v>
      </c>
      <c r="D297" s="10" t="s">
        <v>53</v>
      </c>
      <c r="E297" s="10" t="s">
        <v>160</v>
      </c>
      <c r="F297" s="10" t="s">
        <v>285</v>
      </c>
      <c r="G297" s="10" t="s">
        <v>239</v>
      </c>
      <c r="H297" s="11">
        <v>28711</v>
      </c>
      <c r="I297" s="10" t="s">
        <v>260</v>
      </c>
      <c r="J297" s="10" t="s">
        <v>261</v>
      </c>
      <c r="K297" s="10" t="s">
        <v>295</v>
      </c>
      <c r="L297" s="10" t="s">
        <v>296</v>
      </c>
      <c r="M297" s="10">
        <v>20</v>
      </c>
      <c r="N297" s="10">
        <v>60</v>
      </c>
      <c r="O297" s="10">
        <v>15</v>
      </c>
      <c r="P297" s="10">
        <v>1020</v>
      </c>
      <c r="Q297" s="10">
        <v>5</v>
      </c>
      <c r="R297" s="10" t="s">
        <v>272</v>
      </c>
      <c r="S297" s="10" t="s">
        <v>255</v>
      </c>
      <c r="T297" s="10" t="s">
        <v>308</v>
      </c>
      <c r="U297" s="10">
        <v>9954973200</v>
      </c>
      <c r="V297" s="12" t="s">
        <v>248</v>
      </c>
      <c r="W297" t="str">
        <f t="shared" si="30"/>
        <v/>
      </c>
      <c r="X297" t="str">
        <f t="shared" si="31"/>
        <v>Priya Patel</v>
      </c>
      <c r="Y297" t="str">
        <f t="shared" si="29"/>
        <v>Pri002De</v>
      </c>
      <c r="Z297" t="str">
        <f t="shared" si="32"/>
        <v>priya.patel@company.com</v>
      </c>
      <c r="AA297" t="str">
        <f t="shared" ca="1" si="35"/>
        <v/>
      </c>
      <c r="AB297">
        <f t="shared" si="33"/>
        <v>10</v>
      </c>
      <c r="AC297" t="str">
        <f t="shared" si="34"/>
        <v>Delayed</v>
      </c>
    </row>
    <row r="298" spans="1:29">
      <c r="A298" s="33" t="s">
        <v>852</v>
      </c>
      <c r="B298" s="5" t="s">
        <v>392</v>
      </c>
      <c r="C298" s="5" t="s">
        <v>250</v>
      </c>
      <c r="D298" s="6">
        <v>45661</v>
      </c>
      <c r="E298" s="6">
        <v>45995</v>
      </c>
      <c r="F298" s="5" t="s">
        <v>323</v>
      </c>
      <c r="G298" s="5" t="s">
        <v>269</v>
      </c>
      <c r="H298" s="6">
        <v>28735</v>
      </c>
      <c r="I298" s="5" t="s">
        <v>306</v>
      </c>
      <c r="J298" s="5" t="s">
        <v>287</v>
      </c>
      <c r="K298" s="5" t="s">
        <v>15</v>
      </c>
      <c r="L298" s="5" t="s">
        <v>253</v>
      </c>
      <c r="M298" s="5">
        <v>7</v>
      </c>
      <c r="N298" s="5">
        <v>2200</v>
      </c>
      <c r="O298" s="5">
        <v>15</v>
      </c>
      <c r="P298" s="5">
        <v>13090</v>
      </c>
      <c r="Q298" s="5">
        <v>4</v>
      </c>
      <c r="R298" s="5" t="s">
        <v>254</v>
      </c>
      <c r="S298" s="5" t="s">
        <v>246</v>
      </c>
      <c r="T298" s="5" t="s">
        <v>395</v>
      </c>
      <c r="U298" s="5">
        <v>9383199236</v>
      </c>
      <c r="V298" s="8" t="s">
        <v>265</v>
      </c>
      <c r="W298" t="str">
        <f t="shared" si="30"/>
        <v>Blacklisted</v>
      </c>
      <c r="X298" t="str">
        <f t="shared" si="31"/>
        <v>Amit Sharma</v>
      </c>
      <c r="Y298" t="str">
        <f t="shared" si="29"/>
        <v>Ami001Ah</v>
      </c>
      <c r="Z298" t="str">
        <f t="shared" si="32"/>
        <v>amit.sharma@company.com</v>
      </c>
      <c r="AA298">
        <f t="shared" ca="1" si="35"/>
        <v>48</v>
      </c>
      <c r="AB298" t="str">
        <f t="shared" si="33"/>
        <v/>
      </c>
      <c r="AC298" t="str">
        <f t="shared" si="34"/>
        <v>Delayed</v>
      </c>
    </row>
    <row r="299" spans="1:29">
      <c r="A299" s="34" t="s">
        <v>853</v>
      </c>
      <c r="B299" s="10" t="s">
        <v>299</v>
      </c>
      <c r="C299" s="10" t="s">
        <v>236</v>
      </c>
      <c r="D299" s="10" t="s">
        <v>5</v>
      </c>
      <c r="E299" s="10" t="s">
        <v>40</v>
      </c>
      <c r="F299" s="10" t="s">
        <v>301</v>
      </c>
      <c r="G299" s="10" t="s">
        <v>269</v>
      </c>
      <c r="H299" s="11">
        <v>38047</v>
      </c>
      <c r="I299" s="10" t="s">
        <v>252</v>
      </c>
      <c r="J299" s="10" t="s">
        <v>242</v>
      </c>
      <c r="K299" s="10" t="s">
        <v>243</v>
      </c>
      <c r="L299" s="10" t="s">
        <v>244</v>
      </c>
      <c r="M299" s="10">
        <v>11</v>
      </c>
      <c r="N299" s="10">
        <v>55000</v>
      </c>
      <c r="O299" s="10">
        <v>5</v>
      </c>
      <c r="P299" s="10">
        <v>574750</v>
      </c>
      <c r="Q299" s="10">
        <v>1</v>
      </c>
      <c r="R299" s="10" t="s">
        <v>277</v>
      </c>
      <c r="S299" s="10" t="s">
        <v>255</v>
      </c>
      <c r="T299" s="10" t="s">
        <v>302</v>
      </c>
      <c r="U299" s="10">
        <v>9482699727</v>
      </c>
      <c r="V299" s="12" t="s">
        <v>265</v>
      </c>
      <c r="W299" t="str">
        <f t="shared" si="30"/>
        <v>Blacklisted</v>
      </c>
      <c r="X299" t="str">
        <f t="shared" si="31"/>
        <v>Rohit Singh</v>
      </c>
      <c r="Y299" t="str">
        <f t="shared" si="29"/>
        <v>Roh003Hy</v>
      </c>
      <c r="Z299" t="str">
        <f t="shared" si="32"/>
        <v>rohit.singh@company.com</v>
      </c>
      <c r="AA299">
        <f t="shared" ca="1" si="35"/>
        <v>48</v>
      </c>
      <c r="AB299">
        <f t="shared" si="33"/>
        <v>3</v>
      </c>
      <c r="AC299" t="str">
        <f t="shared" si="34"/>
        <v>On time</v>
      </c>
    </row>
    <row r="300" spans="1:29">
      <c r="A300" s="33" t="s">
        <v>854</v>
      </c>
      <c r="B300" s="5" t="s">
        <v>275</v>
      </c>
      <c r="C300" s="5" t="s">
        <v>280</v>
      </c>
      <c r="D300" s="6">
        <v>45787</v>
      </c>
      <c r="E300" s="5" t="s">
        <v>855</v>
      </c>
      <c r="F300" s="5" t="s">
        <v>328</v>
      </c>
      <c r="G300" s="5" t="s">
        <v>269</v>
      </c>
      <c r="H300" s="6">
        <v>33639</v>
      </c>
      <c r="I300" s="5" t="s">
        <v>342</v>
      </c>
      <c r="J300" s="5" t="s">
        <v>261</v>
      </c>
      <c r="K300" s="5" t="s">
        <v>15</v>
      </c>
      <c r="L300" s="5" t="s">
        <v>282</v>
      </c>
      <c r="M300" s="5">
        <v>12</v>
      </c>
      <c r="N300" s="5">
        <v>3500</v>
      </c>
      <c r="O300" s="5">
        <v>0</v>
      </c>
      <c r="P300" s="5">
        <v>42000</v>
      </c>
      <c r="Q300" s="5">
        <v>2</v>
      </c>
      <c r="R300" s="14" t="s">
        <v>245</v>
      </c>
      <c r="S300" s="5"/>
      <c r="T300" s="5" t="s">
        <v>278</v>
      </c>
      <c r="U300" s="5">
        <v>9332473934</v>
      </c>
      <c r="V300" s="8" t="s">
        <v>248</v>
      </c>
      <c r="W300" t="str">
        <f t="shared" si="30"/>
        <v>Blacklisted</v>
      </c>
      <c r="X300" t="str">
        <f t="shared" si="31"/>
        <v>Arjun Rao</v>
      </c>
      <c r="Y300" t="str">
        <f t="shared" si="29"/>
        <v>Arj007Ja</v>
      </c>
      <c r="Z300" t="str">
        <f t="shared" si="32"/>
        <v>arjun.rao@company.com</v>
      </c>
      <c r="AA300">
        <f t="shared" ca="1" si="35"/>
        <v>22</v>
      </c>
      <c r="AB300" t="str">
        <f t="shared" si="33"/>
        <v/>
      </c>
      <c r="AC300" t="str">
        <f t="shared" si="34"/>
        <v>Delayed</v>
      </c>
    </row>
    <row r="301" spans="1:29">
      <c r="A301" s="34" t="s">
        <v>856</v>
      </c>
      <c r="B301" s="10" t="s">
        <v>266</v>
      </c>
      <c r="C301" s="10" t="s">
        <v>362</v>
      </c>
      <c r="D301" s="10" t="s">
        <v>139</v>
      </c>
      <c r="E301" s="11">
        <v>46237</v>
      </c>
      <c r="F301" s="10" t="s">
        <v>268</v>
      </c>
      <c r="G301" s="10" t="s">
        <v>269</v>
      </c>
      <c r="H301" s="10" t="s">
        <v>857</v>
      </c>
      <c r="I301" s="10" t="s">
        <v>252</v>
      </c>
      <c r="J301" s="10" t="s">
        <v>242</v>
      </c>
      <c r="K301" s="10" t="s">
        <v>295</v>
      </c>
      <c r="L301" s="10" t="s">
        <v>363</v>
      </c>
      <c r="M301" s="10">
        <v>15</v>
      </c>
      <c r="N301" s="10">
        <v>45</v>
      </c>
      <c r="O301" s="10">
        <v>10</v>
      </c>
      <c r="P301" s="10">
        <v>607.5</v>
      </c>
      <c r="Q301" s="10">
        <v>2</v>
      </c>
      <c r="R301" s="10" t="s">
        <v>254</v>
      </c>
      <c r="S301" s="10" t="s">
        <v>312</v>
      </c>
      <c r="T301" s="10" t="s">
        <v>273</v>
      </c>
      <c r="U301" s="10">
        <v>9647657382</v>
      </c>
      <c r="V301" s="12" t="s">
        <v>248</v>
      </c>
      <c r="W301" t="str">
        <f t="shared" si="30"/>
        <v>Blacklisted</v>
      </c>
      <c r="X301" t="str">
        <f t="shared" si="31"/>
        <v>Mohit Verma</v>
      </c>
      <c r="Y301" t="str">
        <f t="shared" si="29"/>
        <v>Moh009Hy</v>
      </c>
      <c r="Z301" t="str">
        <f t="shared" si="32"/>
        <v>mohit.verma@company.com</v>
      </c>
      <c r="AA301">
        <f t="shared" ca="1" si="35"/>
        <v>34</v>
      </c>
      <c r="AB301" t="str">
        <f t="shared" si="33"/>
        <v/>
      </c>
      <c r="AC301" t="str">
        <f t="shared" si="34"/>
        <v>Delayed</v>
      </c>
    </row>
    <row r="302" spans="1:29">
      <c r="A302" s="33" t="s">
        <v>858</v>
      </c>
      <c r="B302" s="5" t="s">
        <v>392</v>
      </c>
      <c r="C302" s="5" t="s">
        <v>362</v>
      </c>
      <c r="D302" s="5" t="s">
        <v>46</v>
      </c>
      <c r="E302" s="5" t="s">
        <v>155</v>
      </c>
      <c r="F302" s="5" t="s">
        <v>323</v>
      </c>
      <c r="G302" s="5" t="s">
        <v>269</v>
      </c>
      <c r="H302" s="5" t="s">
        <v>859</v>
      </c>
      <c r="I302" s="5" t="s">
        <v>241</v>
      </c>
      <c r="J302" s="5" t="s">
        <v>242</v>
      </c>
      <c r="K302" s="5" t="s">
        <v>295</v>
      </c>
      <c r="L302" s="5" t="s">
        <v>363</v>
      </c>
      <c r="M302" s="5">
        <v>13</v>
      </c>
      <c r="N302" s="5">
        <v>45</v>
      </c>
      <c r="O302" s="5">
        <v>0</v>
      </c>
      <c r="P302" s="5">
        <v>585</v>
      </c>
      <c r="Q302" s="5">
        <v>5</v>
      </c>
      <c r="R302" s="5" t="s">
        <v>245</v>
      </c>
      <c r="S302" s="5" t="s">
        <v>263</v>
      </c>
      <c r="T302" s="5" t="s">
        <v>395</v>
      </c>
      <c r="U302" s="5">
        <v>9736797776</v>
      </c>
      <c r="V302" s="8" t="s">
        <v>248</v>
      </c>
      <c r="W302" t="str">
        <f t="shared" si="30"/>
        <v/>
      </c>
      <c r="X302" t="str">
        <f t="shared" si="31"/>
        <v>Amit Sharma</v>
      </c>
      <c r="Y302" t="str">
        <f t="shared" si="29"/>
        <v>Ami001Be</v>
      </c>
      <c r="Z302" t="str">
        <f t="shared" si="32"/>
        <v>amit.sharma@company.com</v>
      </c>
      <c r="AA302" t="str">
        <f t="shared" ca="1" si="35"/>
        <v/>
      </c>
      <c r="AB302">
        <f t="shared" si="33"/>
        <v>10</v>
      </c>
      <c r="AC302" t="str">
        <f t="shared" si="34"/>
        <v>Delayed</v>
      </c>
    </row>
    <row r="303" spans="1:29">
      <c r="A303" s="34" t="s">
        <v>860</v>
      </c>
      <c r="B303" s="10" t="s">
        <v>299</v>
      </c>
      <c r="C303" s="10" t="s">
        <v>236</v>
      </c>
      <c r="D303" s="11">
        <v>46054</v>
      </c>
      <c r="E303" s="11">
        <v>46143</v>
      </c>
      <c r="F303" s="10" t="s">
        <v>301</v>
      </c>
      <c r="G303" s="10" t="s">
        <v>269</v>
      </c>
      <c r="H303" s="11">
        <v>27584</v>
      </c>
      <c r="I303" s="10" t="s">
        <v>241</v>
      </c>
      <c r="J303" s="10" t="s">
        <v>242</v>
      </c>
      <c r="K303" s="10" t="s">
        <v>243</v>
      </c>
      <c r="L303" s="10" t="s">
        <v>244</v>
      </c>
      <c r="M303" s="10">
        <v>8</v>
      </c>
      <c r="N303" s="10">
        <v>55000</v>
      </c>
      <c r="O303" s="10">
        <v>0</v>
      </c>
      <c r="P303" s="10">
        <v>440000</v>
      </c>
      <c r="Q303" s="10">
        <v>2</v>
      </c>
      <c r="R303" s="10" t="s">
        <v>277</v>
      </c>
      <c r="S303" s="10" t="s">
        <v>312</v>
      </c>
      <c r="T303" s="10" t="s">
        <v>302</v>
      </c>
      <c r="U303" s="10">
        <v>9745773533</v>
      </c>
      <c r="V303" s="12" t="s">
        <v>265</v>
      </c>
      <c r="W303" t="str">
        <f t="shared" si="30"/>
        <v>Blacklisted</v>
      </c>
      <c r="X303" t="str">
        <f t="shared" si="31"/>
        <v>Rohit Singh</v>
      </c>
      <c r="Y303" t="str">
        <f t="shared" si="29"/>
        <v>Roh003Be</v>
      </c>
      <c r="Z303" t="str">
        <f t="shared" si="32"/>
        <v>rohit.singh@company.com</v>
      </c>
      <c r="AA303" t="str">
        <f t="shared" ca="1" si="35"/>
        <v/>
      </c>
      <c r="AB303" t="str">
        <f t="shared" si="33"/>
        <v/>
      </c>
      <c r="AC303" t="str">
        <f t="shared" si="34"/>
        <v>Delayed</v>
      </c>
    </row>
    <row r="304" spans="1:29">
      <c r="A304" s="33" t="s">
        <v>861</v>
      </c>
      <c r="B304" s="5" t="s">
        <v>358</v>
      </c>
      <c r="C304" s="5" t="s">
        <v>236</v>
      </c>
      <c r="D304" s="5" t="s">
        <v>124</v>
      </c>
      <c r="E304" s="5" t="s">
        <v>168</v>
      </c>
      <c r="F304" s="5" t="s">
        <v>359</v>
      </c>
      <c r="G304" s="5" t="s">
        <v>239</v>
      </c>
      <c r="H304" s="6">
        <v>29502</v>
      </c>
      <c r="I304" s="5" t="s">
        <v>260</v>
      </c>
      <c r="J304" s="5" t="s">
        <v>261</v>
      </c>
      <c r="K304" s="5" t="s">
        <v>243</v>
      </c>
      <c r="L304" s="5" t="s">
        <v>244</v>
      </c>
      <c r="M304" s="5">
        <v>4</v>
      </c>
      <c r="N304" s="5">
        <v>55000</v>
      </c>
      <c r="O304" s="5">
        <v>20</v>
      </c>
      <c r="P304" s="5">
        <v>176000</v>
      </c>
      <c r="Q304" s="5">
        <v>5</v>
      </c>
      <c r="R304" s="5" t="s">
        <v>254</v>
      </c>
      <c r="S304" s="5" t="s">
        <v>263</v>
      </c>
      <c r="T304" s="5" t="s">
        <v>360</v>
      </c>
      <c r="U304" s="5">
        <v>9246715757</v>
      </c>
      <c r="V304" s="8" t="s">
        <v>248</v>
      </c>
      <c r="W304" t="str">
        <f t="shared" si="30"/>
        <v/>
      </c>
      <c r="X304" t="str">
        <f t="shared" si="31"/>
        <v>Sneha Joshi</v>
      </c>
      <c r="Y304" t="str">
        <f t="shared" si="29"/>
        <v>Sne006De</v>
      </c>
      <c r="Z304" t="str">
        <f t="shared" si="32"/>
        <v>sneha.joshi@company.com</v>
      </c>
      <c r="AA304">
        <f t="shared" ca="1" si="35"/>
        <v>51</v>
      </c>
      <c r="AB304">
        <f t="shared" si="33"/>
        <v>4</v>
      </c>
      <c r="AC304" t="str">
        <f t="shared" si="34"/>
        <v>On time</v>
      </c>
    </row>
    <row r="305" spans="1:29">
      <c r="A305" s="34" t="s">
        <v>862</v>
      </c>
      <c r="B305" s="10" t="s">
        <v>249</v>
      </c>
      <c r="C305" s="10" t="s">
        <v>280</v>
      </c>
      <c r="D305" s="10" t="s">
        <v>123</v>
      </c>
      <c r="E305" s="10" t="s">
        <v>154</v>
      </c>
      <c r="F305" s="10" t="s">
        <v>251</v>
      </c>
      <c r="G305" s="10" t="s">
        <v>239</v>
      </c>
      <c r="H305" s="11">
        <v>32693</v>
      </c>
      <c r="I305" s="10" t="s">
        <v>306</v>
      </c>
      <c r="J305" s="10" t="s">
        <v>287</v>
      </c>
      <c r="K305" s="10" t="s">
        <v>15</v>
      </c>
      <c r="L305" s="10" t="s">
        <v>282</v>
      </c>
      <c r="M305" s="10">
        <v>19</v>
      </c>
      <c r="N305" s="10">
        <v>3500</v>
      </c>
      <c r="O305" s="10">
        <v>5</v>
      </c>
      <c r="P305" s="10">
        <v>63175</v>
      </c>
      <c r="Q305" s="10">
        <v>1</v>
      </c>
      <c r="R305" s="10" t="s">
        <v>272</v>
      </c>
      <c r="S305" s="10" t="s">
        <v>292</v>
      </c>
      <c r="T305" s="10" t="s">
        <v>264</v>
      </c>
      <c r="U305" s="10">
        <v>9904065774</v>
      </c>
      <c r="V305" s="12" t="s">
        <v>257</v>
      </c>
      <c r="W305" t="str">
        <f t="shared" si="30"/>
        <v>Blacklisted</v>
      </c>
      <c r="X305" t="str">
        <f t="shared" si="31"/>
        <v>Kavya Nair</v>
      </c>
      <c r="Y305" t="str">
        <f t="shared" si="29"/>
        <v>Kav008Ah</v>
      </c>
      <c r="Z305" t="str">
        <f t="shared" si="32"/>
        <v>kavya.nair@company.com</v>
      </c>
      <c r="AA305">
        <f t="shared" ca="1" si="35"/>
        <v>46</v>
      </c>
      <c r="AB305">
        <f t="shared" si="33"/>
        <v>3</v>
      </c>
      <c r="AC305" t="str">
        <f t="shared" si="34"/>
        <v>On time</v>
      </c>
    </row>
    <row r="306" spans="1:29">
      <c r="A306" s="33" t="s">
        <v>863</v>
      </c>
      <c r="B306" s="5" t="s">
        <v>346</v>
      </c>
      <c r="C306" s="5" t="s">
        <v>267</v>
      </c>
      <c r="D306" s="6">
        <v>45691</v>
      </c>
      <c r="E306" s="6">
        <v>45811</v>
      </c>
      <c r="F306" s="5" t="s">
        <v>348</v>
      </c>
      <c r="G306" s="5" t="s">
        <v>269</v>
      </c>
      <c r="H306" s="5" t="s">
        <v>864</v>
      </c>
      <c r="I306" s="5" t="s">
        <v>342</v>
      </c>
      <c r="J306" s="5" t="s">
        <v>261</v>
      </c>
      <c r="K306" s="5" t="s">
        <v>243</v>
      </c>
      <c r="L306" s="5" t="s">
        <v>271</v>
      </c>
      <c r="M306" s="5">
        <v>17</v>
      </c>
      <c r="N306" s="5">
        <v>1200</v>
      </c>
      <c r="O306" s="5">
        <v>15</v>
      </c>
      <c r="P306" s="5">
        <v>17340</v>
      </c>
      <c r="Q306" s="5">
        <v>2</v>
      </c>
      <c r="R306" s="5" t="s">
        <v>245</v>
      </c>
      <c r="S306" s="5" t="s">
        <v>263</v>
      </c>
      <c r="T306" s="5" t="s">
        <v>350</v>
      </c>
      <c r="U306" s="5">
        <v>9652985385</v>
      </c>
      <c r="V306" s="8" t="s">
        <v>257</v>
      </c>
      <c r="W306" t="str">
        <f t="shared" si="30"/>
        <v>Blacklisted</v>
      </c>
      <c r="X306" t="str">
        <f t="shared" si="31"/>
        <v>Vikas Mehta</v>
      </c>
      <c r="Y306" t="str">
        <f t="shared" si="29"/>
        <v>Vik005Ja</v>
      </c>
      <c r="Z306" t="str">
        <f t="shared" si="32"/>
        <v>vikas.mehta@company.com</v>
      </c>
      <c r="AA306">
        <f t="shared" ca="1" si="35"/>
        <v>37</v>
      </c>
      <c r="AB306" t="str">
        <f t="shared" si="33"/>
        <v/>
      </c>
      <c r="AC306" t="str">
        <f t="shared" si="34"/>
        <v>Delayed</v>
      </c>
    </row>
    <row r="307" spans="1:29">
      <c r="A307" s="34" t="s">
        <v>865</v>
      </c>
      <c r="B307" s="10" t="s">
        <v>249</v>
      </c>
      <c r="C307" s="10" t="s">
        <v>250</v>
      </c>
      <c r="D307" s="11">
        <v>46267</v>
      </c>
      <c r="E307" s="10" t="s">
        <v>56</v>
      </c>
      <c r="F307" s="10" t="s">
        <v>251</v>
      </c>
      <c r="G307" s="10" t="s">
        <v>239</v>
      </c>
      <c r="H307" s="11">
        <v>36954</v>
      </c>
      <c r="I307" s="10" t="s">
        <v>252</v>
      </c>
      <c r="J307" s="10" t="s">
        <v>242</v>
      </c>
      <c r="K307" s="10" t="s">
        <v>15</v>
      </c>
      <c r="L307" s="10" t="s">
        <v>253</v>
      </c>
      <c r="M307" s="10">
        <v>8</v>
      </c>
      <c r="N307" s="10">
        <v>2200</v>
      </c>
      <c r="O307" s="10">
        <v>5</v>
      </c>
      <c r="P307" s="10">
        <v>16720</v>
      </c>
      <c r="Q307" s="10">
        <v>3</v>
      </c>
      <c r="R307" s="10" t="s">
        <v>272</v>
      </c>
      <c r="S307" s="10" t="s">
        <v>292</v>
      </c>
      <c r="T307" s="10" t="s">
        <v>264</v>
      </c>
      <c r="U307" s="10">
        <v>9427001508</v>
      </c>
      <c r="V307" s="12" t="s">
        <v>248</v>
      </c>
      <c r="W307" t="str">
        <f t="shared" si="30"/>
        <v/>
      </c>
      <c r="X307" t="str">
        <f t="shared" si="31"/>
        <v>Kavya Nair</v>
      </c>
      <c r="Y307" t="str">
        <f t="shared" si="29"/>
        <v>Kav008Hy</v>
      </c>
      <c r="Z307" t="str">
        <f t="shared" si="32"/>
        <v>kavya.nair@company.com</v>
      </c>
      <c r="AA307" t="str">
        <f t="shared" ca="1" si="35"/>
        <v/>
      </c>
      <c r="AB307" t="str">
        <f t="shared" si="33"/>
        <v/>
      </c>
      <c r="AC307" t="str">
        <f t="shared" si="34"/>
        <v>Delayed</v>
      </c>
    </row>
    <row r="308" spans="1:29">
      <c r="A308" s="33" t="s">
        <v>866</v>
      </c>
      <c r="B308" s="5" t="s">
        <v>358</v>
      </c>
      <c r="C308" s="5" t="s">
        <v>330</v>
      </c>
      <c r="D308" s="5" t="s">
        <v>42</v>
      </c>
      <c r="E308" s="5" t="s">
        <v>150</v>
      </c>
      <c r="F308" s="5" t="s">
        <v>359</v>
      </c>
      <c r="G308" s="5" t="s">
        <v>239</v>
      </c>
      <c r="H308" s="6">
        <v>33727</v>
      </c>
      <c r="I308" s="5" t="s">
        <v>286</v>
      </c>
      <c r="J308" s="5" t="s">
        <v>287</v>
      </c>
      <c r="K308" s="5" t="s">
        <v>243</v>
      </c>
      <c r="L308" s="5" t="s">
        <v>333</v>
      </c>
      <c r="M308" s="5">
        <v>17</v>
      </c>
      <c r="N308" s="5">
        <v>700</v>
      </c>
      <c r="O308" s="5">
        <v>20</v>
      </c>
      <c r="P308" s="5">
        <v>9520</v>
      </c>
      <c r="Q308" s="5">
        <v>4</v>
      </c>
      <c r="R308" s="5" t="s">
        <v>245</v>
      </c>
      <c r="S308" s="5" t="s">
        <v>292</v>
      </c>
      <c r="T308" s="5" t="s">
        <v>360</v>
      </c>
      <c r="U308" s="5">
        <v>9666803655</v>
      </c>
      <c r="V308" s="8" t="s">
        <v>257</v>
      </c>
      <c r="W308" t="str">
        <f t="shared" si="30"/>
        <v>Silver</v>
      </c>
      <c r="X308" t="str">
        <f t="shared" si="31"/>
        <v>Sneha Joshi</v>
      </c>
      <c r="Y308" t="str">
        <f t="shared" ref="Y308:Y371" si="36">LEFT(F308,3)&amp;MID(B308,2,3)&amp;LEFT(I308,2)</f>
        <v>Sne006Mu</v>
      </c>
      <c r="Z308" t="str">
        <f t="shared" si="32"/>
        <v>sneha.joshi@company.com</v>
      </c>
      <c r="AA308">
        <f t="shared" ca="1" si="35"/>
        <v>25</v>
      </c>
      <c r="AB308">
        <f t="shared" si="33"/>
        <v>10</v>
      </c>
      <c r="AC308" t="str">
        <f t="shared" si="34"/>
        <v>Delayed</v>
      </c>
    </row>
    <row r="309" spans="1:29">
      <c r="A309" s="34" t="s">
        <v>867</v>
      </c>
      <c r="B309" s="10" t="s">
        <v>358</v>
      </c>
      <c r="C309" s="10" t="s">
        <v>322</v>
      </c>
      <c r="D309" s="10" t="s">
        <v>181</v>
      </c>
      <c r="E309" s="11">
        <v>45878</v>
      </c>
      <c r="F309" s="10" t="s">
        <v>359</v>
      </c>
      <c r="G309" s="10" t="s">
        <v>239</v>
      </c>
      <c r="H309" s="10" t="s">
        <v>776</v>
      </c>
      <c r="I309" s="10" t="s">
        <v>291</v>
      </c>
      <c r="J309" s="10" t="s">
        <v>287</v>
      </c>
      <c r="K309" s="10" t="s">
        <v>15</v>
      </c>
      <c r="L309" s="10" t="s">
        <v>325</v>
      </c>
      <c r="M309" s="10">
        <v>6</v>
      </c>
      <c r="N309" s="10">
        <v>8500</v>
      </c>
      <c r="O309" s="10">
        <v>15</v>
      </c>
      <c r="P309" s="10">
        <v>43350</v>
      </c>
      <c r="Q309" s="10">
        <v>1</v>
      </c>
      <c r="R309" s="10" t="s">
        <v>254</v>
      </c>
      <c r="S309" s="10" t="s">
        <v>246</v>
      </c>
      <c r="T309" s="10" t="s">
        <v>360</v>
      </c>
      <c r="U309" s="10">
        <v>9134878547</v>
      </c>
      <c r="V309" s="12" t="s">
        <v>257</v>
      </c>
      <c r="W309" t="str">
        <f t="shared" si="30"/>
        <v>Blacklisted</v>
      </c>
      <c r="X309" t="str">
        <f t="shared" si="31"/>
        <v>Sneha Joshi</v>
      </c>
      <c r="Y309" t="str">
        <f t="shared" si="36"/>
        <v>Sne006Pu</v>
      </c>
      <c r="Z309" t="str">
        <f t="shared" si="32"/>
        <v>sneha.joshi@company.com</v>
      </c>
      <c r="AA309">
        <f t="shared" ca="1" si="35"/>
        <v>34</v>
      </c>
      <c r="AB309" t="str">
        <f t="shared" si="33"/>
        <v/>
      </c>
      <c r="AC309" t="str">
        <f t="shared" si="34"/>
        <v>Delayed</v>
      </c>
    </row>
    <row r="310" spans="1:29">
      <c r="A310" s="33" t="s">
        <v>868</v>
      </c>
      <c r="B310" s="5" t="s">
        <v>235</v>
      </c>
      <c r="C310" s="5" t="s">
        <v>280</v>
      </c>
      <c r="D310" s="6">
        <v>45818</v>
      </c>
      <c r="E310" s="6">
        <v>45971</v>
      </c>
      <c r="F310" s="5" t="s">
        <v>318</v>
      </c>
      <c r="G310" s="5" t="s">
        <v>239</v>
      </c>
      <c r="H310" s="6">
        <v>31511</v>
      </c>
      <c r="I310" s="5" t="s">
        <v>252</v>
      </c>
      <c r="J310" s="5" t="s">
        <v>242</v>
      </c>
      <c r="K310" s="5" t="s">
        <v>15</v>
      </c>
      <c r="L310" s="5" t="s">
        <v>282</v>
      </c>
      <c r="M310" s="5">
        <v>3</v>
      </c>
      <c r="N310" s="5">
        <v>3500</v>
      </c>
      <c r="O310" s="5">
        <v>10</v>
      </c>
      <c r="P310" s="5">
        <v>9450</v>
      </c>
      <c r="Q310" s="5">
        <v>1</v>
      </c>
      <c r="R310" s="5" t="s">
        <v>245</v>
      </c>
      <c r="S310" s="5" t="s">
        <v>263</v>
      </c>
      <c r="T310" s="5" t="s">
        <v>247</v>
      </c>
      <c r="U310" s="5">
        <v>9253593557</v>
      </c>
      <c r="V310" s="8" t="s">
        <v>257</v>
      </c>
      <c r="W310" t="str">
        <f t="shared" si="30"/>
        <v>Blacklisted</v>
      </c>
      <c r="X310" t="str">
        <f t="shared" si="31"/>
        <v>Pooja Shah</v>
      </c>
      <c r="Y310" t="str">
        <f t="shared" si="36"/>
        <v>Poo010Hy</v>
      </c>
      <c r="Z310" t="str">
        <f t="shared" si="32"/>
        <v>pooja.shah@company.com</v>
      </c>
      <c r="AA310" t="str">
        <f t="shared" ca="1" si="35"/>
        <v/>
      </c>
      <c r="AB310" t="str">
        <f t="shared" si="33"/>
        <v/>
      </c>
      <c r="AC310" t="str">
        <f t="shared" si="34"/>
        <v>Delayed</v>
      </c>
    </row>
    <row r="311" spans="1:29">
      <c r="A311" s="34" t="s">
        <v>869</v>
      </c>
      <c r="B311" s="10" t="s">
        <v>266</v>
      </c>
      <c r="C311" s="10" t="s">
        <v>258</v>
      </c>
      <c r="D311" s="10" t="s">
        <v>53</v>
      </c>
      <c r="E311" s="10" t="s">
        <v>585</v>
      </c>
      <c r="F311" s="10" t="s">
        <v>268</v>
      </c>
      <c r="G311" s="10" t="s">
        <v>269</v>
      </c>
      <c r="H311" s="10" t="s">
        <v>870</v>
      </c>
      <c r="I311" s="10" t="s">
        <v>306</v>
      </c>
      <c r="J311" s="10" t="s">
        <v>287</v>
      </c>
      <c r="K311" s="10" t="s">
        <v>243</v>
      </c>
      <c r="L311" s="10" t="s">
        <v>262</v>
      </c>
      <c r="M311" s="10">
        <v>2</v>
      </c>
      <c r="N311" s="10">
        <v>12000</v>
      </c>
      <c r="O311" s="10">
        <v>20</v>
      </c>
      <c r="P311" s="10">
        <v>19200</v>
      </c>
      <c r="Q311" s="10">
        <v>1</v>
      </c>
      <c r="R311" s="10" t="s">
        <v>272</v>
      </c>
      <c r="S311" s="10" t="s">
        <v>246</v>
      </c>
      <c r="T311" s="10" t="s">
        <v>273</v>
      </c>
      <c r="U311" s="10">
        <v>9183094051</v>
      </c>
      <c r="V311" s="12" t="s">
        <v>257</v>
      </c>
      <c r="W311" t="str">
        <f t="shared" si="30"/>
        <v>Blacklisted</v>
      </c>
      <c r="X311" t="str">
        <f t="shared" si="31"/>
        <v>Mohit Verma</v>
      </c>
      <c r="Y311" t="str">
        <f t="shared" si="36"/>
        <v>Moh009Ah</v>
      </c>
      <c r="Z311" t="str">
        <f t="shared" si="32"/>
        <v>mohit.verma@company.com</v>
      </c>
      <c r="AA311">
        <f t="shared" ca="1" si="35"/>
        <v>40</v>
      </c>
      <c r="AB311">
        <f t="shared" si="33"/>
        <v>12</v>
      </c>
      <c r="AC311" t="str">
        <f t="shared" si="34"/>
        <v>Delayed</v>
      </c>
    </row>
    <row r="312" spans="1:29">
      <c r="A312" s="33" t="s">
        <v>871</v>
      </c>
      <c r="B312" s="5" t="s">
        <v>346</v>
      </c>
      <c r="C312" s="5" t="s">
        <v>347</v>
      </c>
      <c r="D312" s="5" t="s">
        <v>20</v>
      </c>
      <c r="E312" s="5" t="s">
        <v>872</v>
      </c>
      <c r="F312" s="5" t="s">
        <v>348</v>
      </c>
      <c r="G312" s="5" t="s">
        <v>269</v>
      </c>
      <c r="H312" s="6">
        <v>33272</v>
      </c>
      <c r="I312" s="5" t="s">
        <v>260</v>
      </c>
      <c r="J312" s="5" t="s">
        <v>261</v>
      </c>
      <c r="K312" s="5" t="s">
        <v>295</v>
      </c>
      <c r="L312" s="5" t="s">
        <v>349</v>
      </c>
      <c r="M312" s="5">
        <v>12</v>
      </c>
      <c r="N312" s="5">
        <v>20</v>
      </c>
      <c r="O312" s="5">
        <v>20</v>
      </c>
      <c r="P312" s="5">
        <v>192</v>
      </c>
      <c r="Q312" s="5">
        <v>2</v>
      </c>
      <c r="R312" s="5" t="s">
        <v>272</v>
      </c>
      <c r="S312" s="5" t="s">
        <v>263</v>
      </c>
      <c r="T312" s="5" t="s">
        <v>350</v>
      </c>
      <c r="U312" s="5">
        <v>9293147620</v>
      </c>
      <c r="V312" s="8" t="s">
        <v>257</v>
      </c>
      <c r="W312" t="str">
        <f t="shared" si="30"/>
        <v>Blacklisted</v>
      </c>
      <c r="X312" t="str">
        <f t="shared" si="31"/>
        <v>Vikas Mehta</v>
      </c>
      <c r="Y312" t="str">
        <f t="shared" si="36"/>
        <v>Vik005De</v>
      </c>
      <c r="Z312" t="str">
        <f t="shared" si="32"/>
        <v>vikas.mehta@company.com</v>
      </c>
      <c r="AA312" t="str">
        <f t="shared" ca="1" si="35"/>
        <v/>
      </c>
      <c r="AB312">
        <f t="shared" si="33"/>
        <v>3</v>
      </c>
      <c r="AC312" t="str">
        <f t="shared" si="34"/>
        <v>On time</v>
      </c>
    </row>
    <row r="313" spans="1:29">
      <c r="A313" s="34" t="s">
        <v>873</v>
      </c>
      <c r="B313" s="10" t="s">
        <v>284</v>
      </c>
      <c r="C313" s="10" t="s">
        <v>258</v>
      </c>
      <c r="D313" s="10" t="s">
        <v>154</v>
      </c>
      <c r="E313" s="10" t="s">
        <v>874</v>
      </c>
      <c r="F313" s="10" t="s">
        <v>285</v>
      </c>
      <c r="G313" s="10" t="s">
        <v>239</v>
      </c>
      <c r="H313" s="10" t="s">
        <v>875</v>
      </c>
      <c r="I313" s="10" t="s">
        <v>379</v>
      </c>
      <c r="J313" s="10" t="s">
        <v>21</v>
      </c>
      <c r="K313" s="10" t="s">
        <v>243</v>
      </c>
      <c r="L313" s="10" t="s">
        <v>262</v>
      </c>
      <c r="M313" s="10">
        <v>20</v>
      </c>
      <c r="N313" s="10">
        <v>12000</v>
      </c>
      <c r="O313" s="10">
        <v>15</v>
      </c>
      <c r="P313" s="10">
        <v>204000</v>
      </c>
      <c r="Q313" s="10">
        <v>3</v>
      </c>
      <c r="R313" s="10" t="s">
        <v>254</v>
      </c>
      <c r="S313" s="10" t="s">
        <v>255</v>
      </c>
      <c r="T313" s="10" t="s">
        <v>308</v>
      </c>
      <c r="U313" s="10">
        <v>9755583734</v>
      </c>
      <c r="V313" s="12" t="s">
        <v>248</v>
      </c>
      <c r="W313" t="str">
        <f t="shared" si="30"/>
        <v/>
      </c>
      <c r="X313" t="str">
        <f t="shared" si="31"/>
        <v>Priya Patel</v>
      </c>
      <c r="Y313" t="str">
        <f t="shared" si="36"/>
        <v>Pri002Ko</v>
      </c>
      <c r="Z313" t="str">
        <f t="shared" si="32"/>
        <v>priya.patel@company.com</v>
      </c>
      <c r="AA313">
        <f t="shared" ca="1" si="35"/>
        <v>35</v>
      </c>
      <c r="AB313">
        <f t="shared" si="33"/>
        <v>2</v>
      </c>
      <c r="AC313" t="str">
        <f t="shared" si="34"/>
        <v>On time</v>
      </c>
    </row>
    <row r="314" spans="1:29">
      <c r="A314" s="33" t="s">
        <v>876</v>
      </c>
      <c r="B314" s="5" t="s">
        <v>235</v>
      </c>
      <c r="C314" s="5" t="s">
        <v>294</v>
      </c>
      <c r="D314" s="5" t="s">
        <v>131</v>
      </c>
      <c r="E314" s="6">
        <v>46116</v>
      </c>
      <c r="F314" s="5" t="s">
        <v>318</v>
      </c>
      <c r="G314" s="5" t="s">
        <v>239</v>
      </c>
      <c r="H314" s="6">
        <v>37654</v>
      </c>
      <c r="I314" s="5" t="s">
        <v>342</v>
      </c>
      <c r="J314" s="5" t="s">
        <v>261</v>
      </c>
      <c r="K314" s="5" t="s">
        <v>295</v>
      </c>
      <c r="L314" s="5" t="s">
        <v>296</v>
      </c>
      <c r="M314" s="5">
        <v>13</v>
      </c>
      <c r="N314" s="5">
        <v>60</v>
      </c>
      <c r="O314" s="5">
        <v>10</v>
      </c>
      <c r="P314" s="5">
        <v>702</v>
      </c>
      <c r="Q314" s="5">
        <v>5</v>
      </c>
      <c r="R314" s="5" t="s">
        <v>254</v>
      </c>
      <c r="S314" s="5" t="s">
        <v>255</v>
      </c>
      <c r="T314" s="5" t="s">
        <v>247</v>
      </c>
      <c r="U314" s="5">
        <v>9186592813</v>
      </c>
      <c r="V314" s="8" t="s">
        <v>248</v>
      </c>
      <c r="W314" t="str">
        <f t="shared" si="30"/>
        <v/>
      </c>
      <c r="X314" t="str">
        <f t="shared" si="31"/>
        <v>Pooja Shah</v>
      </c>
      <c r="Y314" t="str">
        <f t="shared" si="36"/>
        <v>Poo010Ja</v>
      </c>
      <c r="Z314" t="str">
        <f t="shared" si="32"/>
        <v>pooja.shah@company.com</v>
      </c>
      <c r="AA314" t="str">
        <f t="shared" ca="1" si="35"/>
        <v/>
      </c>
      <c r="AB314" t="str">
        <f t="shared" si="33"/>
        <v/>
      </c>
      <c r="AC314" t="str">
        <f t="shared" si="34"/>
        <v>Delayed</v>
      </c>
    </row>
    <row r="315" spans="1:29">
      <c r="A315" s="34" t="s">
        <v>877</v>
      </c>
      <c r="B315" s="10" t="s">
        <v>266</v>
      </c>
      <c r="C315" s="10" t="s">
        <v>236</v>
      </c>
      <c r="D315" s="11">
        <v>45874</v>
      </c>
      <c r="E315" s="10" t="s">
        <v>79</v>
      </c>
      <c r="F315" s="10" t="s">
        <v>268</v>
      </c>
      <c r="G315" s="10" t="s">
        <v>269</v>
      </c>
      <c r="H315" s="10" t="s">
        <v>878</v>
      </c>
      <c r="I315" s="10" t="s">
        <v>291</v>
      </c>
      <c r="J315" s="10" t="s">
        <v>287</v>
      </c>
      <c r="K315" s="10" t="s">
        <v>243</v>
      </c>
      <c r="L315" s="10" t="s">
        <v>244</v>
      </c>
      <c r="M315" s="10">
        <v>13</v>
      </c>
      <c r="N315" s="10">
        <v>55000</v>
      </c>
      <c r="O315" s="10">
        <v>5</v>
      </c>
      <c r="P315" s="10">
        <v>679250</v>
      </c>
      <c r="Q315" s="10">
        <v>1</v>
      </c>
      <c r="R315" s="10" t="s">
        <v>277</v>
      </c>
      <c r="S315" s="10" t="s">
        <v>312</v>
      </c>
      <c r="T315" s="10" t="s">
        <v>273</v>
      </c>
      <c r="U315" s="10">
        <v>9203482008</v>
      </c>
      <c r="V315" s="12" t="s">
        <v>248</v>
      </c>
      <c r="W315" t="str">
        <f t="shared" si="30"/>
        <v>Blacklisted</v>
      </c>
      <c r="X315" t="str">
        <f t="shared" si="31"/>
        <v>Mohit Verma</v>
      </c>
      <c r="Y315" t="str">
        <f t="shared" si="36"/>
        <v>Moh009Pu</v>
      </c>
      <c r="Z315" t="str">
        <f t="shared" si="32"/>
        <v>mohit.verma@company.com</v>
      </c>
      <c r="AA315">
        <f t="shared" ca="1" si="35"/>
        <v>23</v>
      </c>
      <c r="AB315" t="str">
        <f t="shared" si="33"/>
        <v/>
      </c>
      <c r="AC315" t="str">
        <f t="shared" si="34"/>
        <v>Delayed</v>
      </c>
    </row>
    <row r="316" spans="1:29">
      <c r="A316" s="33" t="s">
        <v>879</v>
      </c>
      <c r="B316" s="5" t="s">
        <v>284</v>
      </c>
      <c r="C316" s="5" t="s">
        <v>267</v>
      </c>
      <c r="D316" s="6">
        <v>46206</v>
      </c>
      <c r="E316" s="6">
        <v>46298</v>
      </c>
      <c r="F316" s="5" t="s">
        <v>285</v>
      </c>
      <c r="G316" s="5" t="s">
        <v>239</v>
      </c>
      <c r="H316" s="5" t="s">
        <v>880</v>
      </c>
      <c r="I316" s="5" t="s">
        <v>241</v>
      </c>
      <c r="J316" s="5" t="s">
        <v>242</v>
      </c>
      <c r="K316" s="5" t="s">
        <v>243</v>
      </c>
      <c r="L316" s="5" t="s">
        <v>271</v>
      </c>
      <c r="M316" s="5">
        <v>7</v>
      </c>
      <c r="N316" s="5">
        <v>1200</v>
      </c>
      <c r="O316" s="5">
        <v>15</v>
      </c>
      <c r="P316" s="5">
        <v>7140</v>
      </c>
      <c r="Q316" s="5">
        <v>5</v>
      </c>
      <c r="R316" s="5" t="s">
        <v>277</v>
      </c>
      <c r="S316" s="5" t="s">
        <v>263</v>
      </c>
      <c r="T316" s="5" t="s">
        <v>308</v>
      </c>
      <c r="U316" s="5">
        <v>9829888777</v>
      </c>
      <c r="V316" s="8" t="s">
        <v>248</v>
      </c>
      <c r="W316" t="str">
        <f t="shared" si="30"/>
        <v/>
      </c>
      <c r="X316" t="str">
        <f t="shared" si="31"/>
        <v>Priya Patel</v>
      </c>
      <c r="Y316" t="str">
        <f t="shared" si="36"/>
        <v>Pri002Be</v>
      </c>
      <c r="Z316" t="str">
        <f t="shared" si="32"/>
        <v>priya.patel@company.com</v>
      </c>
      <c r="AA316" t="str">
        <f t="shared" ca="1" si="35"/>
        <v/>
      </c>
      <c r="AB316" t="str">
        <f t="shared" si="33"/>
        <v/>
      </c>
      <c r="AC316" t="str">
        <f t="shared" si="34"/>
        <v>Delayed</v>
      </c>
    </row>
    <row r="317" spans="1:29">
      <c r="A317" s="34" t="s">
        <v>881</v>
      </c>
      <c r="B317" s="10" t="s">
        <v>275</v>
      </c>
      <c r="C317" s="10" t="s">
        <v>258</v>
      </c>
      <c r="D317" s="10" t="s">
        <v>159</v>
      </c>
      <c r="E317" s="10" t="s">
        <v>882</v>
      </c>
      <c r="F317" s="10" t="s">
        <v>328</v>
      </c>
      <c r="G317" s="10" t="s">
        <v>269</v>
      </c>
      <c r="H317" s="10" t="s">
        <v>883</v>
      </c>
      <c r="I317" s="10" t="s">
        <v>342</v>
      </c>
      <c r="J317" s="10" t="s">
        <v>261</v>
      </c>
      <c r="K317" s="10" t="s">
        <v>243</v>
      </c>
      <c r="L317" s="10" t="s">
        <v>262</v>
      </c>
      <c r="M317" s="10">
        <v>17</v>
      </c>
      <c r="N317" s="10">
        <v>12000</v>
      </c>
      <c r="O317" s="10">
        <v>5</v>
      </c>
      <c r="P317" s="10">
        <v>193800</v>
      </c>
      <c r="Q317" s="10">
        <v>1</v>
      </c>
      <c r="R317" s="10" t="s">
        <v>254</v>
      </c>
      <c r="S317" s="10" t="s">
        <v>246</v>
      </c>
      <c r="T317" s="10" t="s">
        <v>278</v>
      </c>
      <c r="U317" s="10">
        <v>9566101317</v>
      </c>
      <c r="V317" s="12" t="s">
        <v>265</v>
      </c>
      <c r="W317" t="str">
        <f t="shared" si="30"/>
        <v>Blacklisted</v>
      </c>
      <c r="X317" t="str">
        <f t="shared" si="31"/>
        <v>Arjun Rao</v>
      </c>
      <c r="Y317" t="str">
        <f t="shared" si="36"/>
        <v>Arj007Ja</v>
      </c>
      <c r="Z317" t="str">
        <f t="shared" si="32"/>
        <v>arjun.rao@company.com</v>
      </c>
      <c r="AA317" t="str">
        <f t="shared" ca="1" si="35"/>
        <v/>
      </c>
      <c r="AB317">
        <f t="shared" si="33"/>
        <v>4</v>
      </c>
      <c r="AC317" t="str">
        <f t="shared" si="34"/>
        <v>On time</v>
      </c>
    </row>
    <row r="318" spans="1:29">
      <c r="A318" s="33" t="s">
        <v>884</v>
      </c>
      <c r="B318" s="5" t="s">
        <v>275</v>
      </c>
      <c r="C318" s="5" t="s">
        <v>347</v>
      </c>
      <c r="D318" s="5" t="s">
        <v>78</v>
      </c>
      <c r="E318" s="5" t="s">
        <v>142</v>
      </c>
      <c r="F318" s="5" t="s">
        <v>328</v>
      </c>
      <c r="G318" s="5" t="s">
        <v>269</v>
      </c>
      <c r="H318" s="6">
        <v>28532</v>
      </c>
      <c r="I318" s="5" t="s">
        <v>241</v>
      </c>
      <c r="J318" s="5" t="s">
        <v>242</v>
      </c>
      <c r="K318" s="5" t="s">
        <v>295</v>
      </c>
      <c r="L318" s="5" t="s">
        <v>349</v>
      </c>
      <c r="M318" s="5">
        <v>10</v>
      </c>
      <c r="N318" s="5">
        <v>20</v>
      </c>
      <c r="O318" s="5">
        <v>5</v>
      </c>
      <c r="P318" s="5">
        <v>190</v>
      </c>
      <c r="Q318" s="5">
        <v>2</v>
      </c>
      <c r="R318" s="5" t="s">
        <v>254</v>
      </c>
      <c r="S318" s="5" t="s">
        <v>246</v>
      </c>
      <c r="T318" s="5" t="s">
        <v>278</v>
      </c>
      <c r="U318" s="5">
        <v>9706240823</v>
      </c>
      <c r="V318" s="8" t="s">
        <v>265</v>
      </c>
      <c r="W318" t="str">
        <f t="shared" si="30"/>
        <v>Blacklisted</v>
      </c>
      <c r="X318" t="str">
        <f t="shared" si="31"/>
        <v>Arjun Rao</v>
      </c>
      <c r="Y318" t="str">
        <f t="shared" si="36"/>
        <v>Arj007Be</v>
      </c>
      <c r="Z318" t="str">
        <f t="shared" si="32"/>
        <v>arjun.rao@company.com</v>
      </c>
      <c r="AA318" t="str">
        <f t="shared" ca="1" si="35"/>
        <v/>
      </c>
      <c r="AB318">
        <f t="shared" si="33"/>
        <v>6</v>
      </c>
      <c r="AC318" t="str">
        <f t="shared" si="34"/>
        <v>Delayed</v>
      </c>
    </row>
    <row r="319" spans="1:29">
      <c r="A319" s="34" t="s">
        <v>885</v>
      </c>
      <c r="B319" s="10" t="s">
        <v>321</v>
      </c>
      <c r="C319" s="10" t="s">
        <v>250</v>
      </c>
      <c r="D319" s="11">
        <v>45788</v>
      </c>
      <c r="E319" s="11">
        <v>45880</v>
      </c>
      <c r="F319" s="10" t="s">
        <v>408</v>
      </c>
      <c r="G319" s="10" t="s">
        <v>239</v>
      </c>
      <c r="H319" s="10" t="s">
        <v>886</v>
      </c>
      <c r="I319" s="10" t="s">
        <v>260</v>
      </c>
      <c r="J319" s="10" t="s">
        <v>261</v>
      </c>
      <c r="K319" s="10" t="s">
        <v>15</v>
      </c>
      <c r="L319" s="10" t="s">
        <v>253</v>
      </c>
      <c r="M319" s="10">
        <v>11</v>
      </c>
      <c r="N319" s="10">
        <v>2200</v>
      </c>
      <c r="O319" s="10">
        <v>5</v>
      </c>
      <c r="P319" s="10">
        <v>22990</v>
      </c>
      <c r="Q319" s="10">
        <v>5</v>
      </c>
      <c r="R319" s="10" t="s">
        <v>272</v>
      </c>
      <c r="S319" s="10" t="s">
        <v>263</v>
      </c>
      <c r="T319" s="10" t="s">
        <v>326</v>
      </c>
      <c r="U319" s="10">
        <v>9259943760</v>
      </c>
      <c r="V319" s="12" t="s">
        <v>248</v>
      </c>
      <c r="W319" t="str">
        <f t="shared" si="30"/>
        <v/>
      </c>
      <c r="X319" t="str">
        <f t="shared" si="31"/>
        <v>Anita Gupta</v>
      </c>
      <c r="Y319" t="str">
        <f t="shared" si="36"/>
        <v>Ani004De</v>
      </c>
      <c r="Z319" t="str">
        <f t="shared" si="32"/>
        <v>anita.gupta@company.com</v>
      </c>
      <c r="AA319">
        <f t="shared" ca="1" si="35"/>
        <v>48</v>
      </c>
      <c r="AB319" t="str">
        <f t="shared" si="33"/>
        <v/>
      </c>
      <c r="AC319" t="str">
        <f t="shared" si="34"/>
        <v>Delayed</v>
      </c>
    </row>
    <row r="320" spans="1:29">
      <c r="A320" s="33" t="s">
        <v>887</v>
      </c>
      <c r="B320" s="5" t="s">
        <v>284</v>
      </c>
      <c r="C320" s="5" t="s">
        <v>294</v>
      </c>
      <c r="D320" s="5" t="s">
        <v>130</v>
      </c>
      <c r="E320" s="5" t="s">
        <v>176</v>
      </c>
      <c r="F320" s="5" t="s">
        <v>285</v>
      </c>
      <c r="G320" s="5" t="s">
        <v>239</v>
      </c>
      <c r="H320" s="6">
        <v>34912</v>
      </c>
      <c r="I320" s="5" t="s">
        <v>342</v>
      </c>
      <c r="J320" s="5" t="s">
        <v>261</v>
      </c>
      <c r="K320" s="5" t="s">
        <v>295</v>
      </c>
      <c r="L320" s="5" t="s">
        <v>296</v>
      </c>
      <c r="M320" s="5">
        <v>8</v>
      </c>
      <c r="N320" s="5">
        <v>60</v>
      </c>
      <c r="O320" s="5">
        <v>15</v>
      </c>
      <c r="P320" s="5">
        <v>408</v>
      </c>
      <c r="Q320" s="5">
        <v>4</v>
      </c>
      <c r="R320" s="5" t="s">
        <v>254</v>
      </c>
      <c r="S320" s="5" t="s">
        <v>263</v>
      </c>
      <c r="T320" s="5" t="s">
        <v>308</v>
      </c>
      <c r="U320" s="5">
        <v>9527326977</v>
      </c>
      <c r="V320" s="8" t="s">
        <v>248</v>
      </c>
      <c r="W320" t="str">
        <f t="shared" si="30"/>
        <v/>
      </c>
      <c r="X320" t="str">
        <f t="shared" si="31"/>
        <v>Priya Patel</v>
      </c>
      <c r="Y320" t="str">
        <f t="shared" si="36"/>
        <v>Pri002Ja</v>
      </c>
      <c r="Z320" t="str">
        <f t="shared" si="32"/>
        <v>priya.patel@company.com</v>
      </c>
      <c r="AA320" t="str">
        <f t="shared" ca="1" si="35"/>
        <v/>
      </c>
      <c r="AB320">
        <f t="shared" si="33"/>
        <v>4</v>
      </c>
      <c r="AC320" t="str">
        <f t="shared" si="34"/>
        <v>On time</v>
      </c>
    </row>
    <row r="321" spans="1:29">
      <c r="A321" s="34" t="s">
        <v>888</v>
      </c>
      <c r="B321" s="10" t="s">
        <v>346</v>
      </c>
      <c r="C321" s="10" t="s">
        <v>362</v>
      </c>
      <c r="D321" s="10" t="s">
        <v>120</v>
      </c>
      <c r="E321" s="10" t="s">
        <v>140</v>
      </c>
      <c r="F321" s="10" t="s">
        <v>348</v>
      </c>
      <c r="G321" s="10" t="s">
        <v>269</v>
      </c>
      <c r="H321" s="10" t="s">
        <v>889</v>
      </c>
      <c r="I321" s="10" t="s">
        <v>260</v>
      </c>
      <c r="J321" s="10" t="s">
        <v>261</v>
      </c>
      <c r="K321" s="10" t="s">
        <v>295</v>
      </c>
      <c r="L321" s="10" t="s">
        <v>363</v>
      </c>
      <c r="M321" s="10">
        <v>17</v>
      </c>
      <c r="N321" s="10">
        <v>45</v>
      </c>
      <c r="O321" s="10">
        <v>15</v>
      </c>
      <c r="P321" s="10">
        <v>650.25</v>
      </c>
      <c r="Q321" s="10">
        <v>2</v>
      </c>
      <c r="R321" s="10" t="s">
        <v>277</v>
      </c>
      <c r="S321" s="10" t="s">
        <v>312</v>
      </c>
      <c r="T321" s="10" t="s">
        <v>350</v>
      </c>
      <c r="U321" s="10">
        <v>9886970990</v>
      </c>
      <c r="V321" s="12" t="s">
        <v>257</v>
      </c>
      <c r="W321" t="str">
        <f t="shared" si="30"/>
        <v>Blacklisted</v>
      </c>
      <c r="X321" t="str">
        <f t="shared" si="31"/>
        <v>Vikas Mehta</v>
      </c>
      <c r="Y321" t="str">
        <f t="shared" si="36"/>
        <v>Vik005De</v>
      </c>
      <c r="Z321" t="str">
        <f t="shared" si="32"/>
        <v>vikas.mehta@company.com</v>
      </c>
      <c r="AA321">
        <f t="shared" ca="1" si="35"/>
        <v>31</v>
      </c>
      <c r="AB321">
        <f t="shared" si="33"/>
        <v>2</v>
      </c>
      <c r="AC321" t="str">
        <f t="shared" si="34"/>
        <v>On time</v>
      </c>
    </row>
    <row r="322" spans="1:29">
      <c r="A322" s="33" t="s">
        <v>890</v>
      </c>
      <c r="B322" s="5" t="s">
        <v>392</v>
      </c>
      <c r="C322" s="5" t="s">
        <v>330</v>
      </c>
      <c r="D322" s="5" t="s">
        <v>162</v>
      </c>
      <c r="E322" s="6">
        <v>45933</v>
      </c>
      <c r="F322" s="5" t="s">
        <v>323</v>
      </c>
      <c r="G322" s="5" t="s">
        <v>269</v>
      </c>
      <c r="H322" s="5" t="s">
        <v>891</v>
      </c>
      <c r="I322" s="5" t="s">
        <v>342</v>
      </c>
      <c r="J322" s="5" t="s">
        <v>261</v>
      </c>
      <c r="K322" s="5" t="s">
        <v>243</v>
      </c>
      <c r="L322" s="5" t="s">
        <v>333</v>
      </c>
      <c r="M322" s="5">
        <v>14</v>
      </c>
      <c r="N322" s="5">
        <v>700</v>
      </c>
      <c r="O322" s="5">
        <v>15</v>
      </c>
      <c r="P322" s="5">
        <v>8330</v>
      </c>
      <c r="Q322" s="5">
        <v>1</v>
      </c>
      <c r="R322" s="5" t="s">
        <v>272</v>
      </c>
      <c r="S322" s="5" t="s">
        <v>292</v>
      </c>
      <c r="T322" s="5" t="s">
        <v>395</v>
      </c>
      <c r="U322" s="5">
        <v>9106930369</v>
      </c>
      <c r="V322" s="8" t="s">
        <v>257</v>
      </c>
      <c r="W322" t="str">
        <f t="shared" si="30"/>
        <v>Blacklisted</v>
      </c>
      <c r="X322" t="str">
        <f t="shared" si="31"/>
        <v>Amit Sharma</v>
      </c>
      <c r="Y322" t="str">
        <f t="shared" si="36"/>
        <v>Ami001Ja</v>
      </c>
      <c r="Z322" t="str">
        <f t="shared" si="32"/>
        <v>amit.sharma@company.com</v>
      </c>
      <c r="AA322" t="str">
        <f t="shared" ca="1" si="35"/>
        <v/>
      </c>
      <c r="AB322" t="str">
        <f t="shared" si="33"/>
        <v/>
      </c>
      <c r="AC322" t="str">
        <f t="shared" si="34"/>
        <v>Delayed</v>
      </c>
    </row>
    <row r="323" spans="1:29">
      <c r="A323" s="34" t="s">
        <v>892</v>
      </c>
      <c r="B323" s="10" t="s">
        <v>275</v>
      </c>
      <c r="C323" s="10" t="s">
        <v>267</v>
      </c>
      <c r="D323" s="11">
        <v>45722</v>
      </c>
      <c r="E323" s="10" t="s">
        <v>28</v>
      </c>
      <c r="F323" s="10" t="s">
        <v>328</v>
      </c>
      <c r="G323" s="10" t="s">
        <v>269</v>
      </c>
      <c r="H323" s="10" t="s">
        <v>893</v>
      </c>
      <c r="I323" s="10" t="s">
        <v>291</v>
      </c>
      <c r="J323" s="10" t="s">
        <v>287</v>
      </c>
      <c r="K323" s="10" t="s">
        <v>243</v>
      </c>
      <c r="L323" s="10" t="s">
        <v>271</v>
      </c>
      <c r="M323" s="10">
        <v>3</v>
      </c>
      <c r="N323" s="10">
        <v>1200</v>
      </c>
      <c r="O323" s="10">
        <v>5</v>
      </c>
      <c r="P323" s="10">
        <v>3420</v>
      </c>
      <c r="Q323" s="10">
        <v>3</v>
      </c>
      <c r="R323" s="10" t="s">
        <v>245</v>
      </c>
      <c r="S323" s="10" t="s">
        <v>312</v>
      </c>
      <c r="T323" s="10" t="s">
        <v>278</v>
      </c>
      <c r="U323" s="10">
        <v>9342009114</v>
      </c>
      <c r="V323" s="12" t="s">
        <v>257</v>
      </c>
      <c r="W323" t="str">
        <f t="shared" ref="W323:W386" si="37">IF(OR(Q323&lt;=2,V323="Cancelled"),"Blacklisted",IF(AND(P323&gt;100000,Q323&gt;=4,O323&lt;=10%,V323="Completed"),"Platinum",IF(AND(P323&gt;=50000,Q323&gt;=3,V323="Completed"),"Gold",IF(AND(P323&lt;50000,V323="Completed"),"Silver",""))))</f>
        <v>Silver</v>
      </c>
      <c r="X323" t="str">
        <f t="shared" ref="X323:X386" si="38">PROPER(TRIM(F323))</f>
        <v>Arjun Rao</v>
      </c>
      <c r="Y323" t="str">
        <f t="shared" si="36"/>
        <v>Arj007Pu</v>
      </c>
      <c r="Z323" t="str">
        <f t="shared" ref="Z323:Z386" si="39">IF(ISNUMBER(SEARCH("@",T323)),LOWER(TRIM(T323)),"invalid email")</f>
        <v>arjun.rao@company.com</v>
      </c>
      <c r="AA323" t="str">
        <f t="shared" ca="1" si="35"/>
        <v/>
      </c>
      <c r="AB323" t="str">
        <f t="shared" ref="AB323:AB386" si="40">IF(OR(D323="",E323=""),"",IFERROR(DATE(MID(E323,7,4),MID(E323,4,2),LEFT(E323,2))-DATE(MID(D323,7,4),MID(D323,4,2),LEFT(D323,2)),""))</f>
        <v/>
      </c>
      <c r="AC323" t="str">
        <f t="shared" ref="AC323:AC386" si="41">IF(E323="","Pending",IF(AB323&lt;=5,"On time","Delayed"))</f>
        <v>Delayed</v>
      </c>
    </row>
    <row r="324" spans="1:29">
      <c r="A324" s="33" t="s">
        <v>894</v>
      </c>
      <c r="B324" s="5" t="s">
        <v>249</v>
      </c>
      <c r="C324" s="5" t="s">
        <v>267</v>
      </c>
      <c r="D324" s="6">
        <v>45845</v>
      </c>
      <c r="E324" s="5" t="s">
        <v>641</v>
      </c>
      <c r="F324" s="5" t="s">
        <v>251</v>
      </c>
      <c r="G324" s="5" t="s">
        <v>239</v>
      </c>
      <c r="H324" s="5" t="s">
        <v>895</v>
      </c>
      <c r="I324" s="5" t="s">
        <v>306</v>
      </c>
      <c r="J324" s="5" t="s">
        <v>287</v>
      </c>
      <c r="K324" s="5" t="s">
        <v>243</v>
      </c>
      <c r="L324" s="5" t="s">
        <v>271</v>
      </c>
      <c r="M324" s="5">
        <v>9</v>
      </c>
      <c r="N324" s="5">
        <v>1200</v>
      </c>
      <c r="O324" s="5">
        <v>15</v>
      </c>
      <c r="P324" s="5">
        <v>9180</v>
      </c>
      <c r="Q324" s="5">
        <v>3</v>
      </c>
      <c r="R324" s="5" t="s">
        <v>254</v>
      </c>
      <c r="S324" s="5" t="s">
        <v>263</v>
      </c>
      <c r="T324" s="5" t="s">
        <v>264</v>
      </c>
      <c r="U324" s="5">
        <v>9992739960</v>
      </c>
      <c r="V324" s="8" t="s">
        <v>257</v>
      </c>
      <c r="W324" t="str">
        <f t="shared" si="37"/>
        <v>Silver</v>
      </c>
      <c r="X324" t="str">
        <f t="shared" si="38"/>
        <v>Kavya Nair</v>
      </c>
      <c r="Y324" t="str">
        <f t="shared" si="36"/>
        <v>Kav008Ah</v>
      </c>
      <c r="Z324" t="str">
        <f t="shared" si="39"/>
        <v>kavya.nair@company.com</v>
      </c>
      <c r="AA324" t="str">
        <f t="shared" ref="AA324:AA387" ca="1" si="42">IF(H323="","",IFERROR(DATEDIF(IF(ISNUMBER(H323),H323,DATE(VALUE(RIGHT(H323,4)),VALUE(MID(H323,3,2)),VALUE(LEFT(H323,2)))),TODAY(),"Y"),""))</f>
        <v/>
      </c>
      <c r="AB324" t="str">
        <f t="shared" si="40"/>
        <v/>
      </c>
      <c r="AC324" t="str">
        <f t="shared" si="41"/>
        <v>Delayed</v>
      </c>
    </row>
    <row r="325" spans="1:29">
      <c r="A325" s="34" t="s">
        <v>896</v>
      </c>
      <c r="B325" s="10" t="s">
        <v>358</v>
      </c>
      <c r="C325" s="10" t="s">
        <v>347</v>
      </c>
      <c r="D325" s="10" t="s">
        <v>90</v>
      </c>
      <c r="E325" s="10" t="s">
        <v>407</v>
      </c>
      <c r="F325" s="10" t="s">
        <v>359</v>
      </c>
      <c r="G325" s="10" t="s">
        <v>239</v>
      </c>
      <c r="H325" s="10" t="s">
        <v>897</v>
      </c>
      <c r="I325" s="10" t="s">
        <v>286</v>
      </c>
      <c r="J325" s="10" t="s">
        <v>287</v>
      </c>
      <c r="K325" s="10" t="s">
        <v>295</v>
      </c>
      <c r="L325" s="10" t="s">
        <v>349</v>
      </c>
      <c r="M325" s="10">
        <v>5</v>
      </c>
      <c r="N325" s="10">
        <v>20</v>
      </c>
      <c r="O325" s="10">
        <v>5</v>
      </c>
      <c r="P325" s="10">
        <v>95</v>
      </c>
      <c r="Q325" s="10">
        <v>4</v>
      </c>
      <c r="R325" s="10" t="s">
        <v>254</v>
      </c>
      <c r="S325" s="10" t="s">
        <v>312</v>
      </c>
      <c r="T325" s="10" t="s">
        <v>360</v>
      </c>
      <c r="U325" s="10">
        <v>9241987748</v>
      </c>
      <c r="V325" s="12" t="s">
        <v>257</v>
      </c>
      <c r="W325" t="str">
        <f t="shared" si="37"/>
        <v>Silver</v>
      </c>
      <c r="X325" t="str">
        <f t="shared" si="38"/>
        <v>Sneha Joshi</v>
      </c>
      <c r="Y325" t="str">
        <f t="shared" si="36"/>
        <v>Sne006Mu</v>
      </c>
      <c r="Z325" t="str">
        <f t="shared" si="39"/>
        <v>sneha.joshi@company.com</v>
      </c>
      <c r="AA325" t="str">
        <f t="shared" ca="1" si="42"/>
        <v/>
      </c>
      <c r="AB325">
        <f t="shared" si="40"/>
        <v>1</v>
      </c>
      <c r="AC325" t="str">
        <f t="shared" si="41"/>
        <v>On time</v>
      </c>
    </row>
    <row r="326" spans="1:29">
      <c r="A326" s="33" t="s">
        <v>898</v>
      </c>
      <c r="B326" s="5" t="s">
        <v>358</v>
      </c>
      <c r="C326" s="5" t="s">
        <v>250</v>
      </c>
      <c r="D326" s="6">
        <v>45942</v>
      </c>
      <c r="E326" s="5" t="s">
        <v>899</v>
      </c>
      <c r="F326" s="5" t="s">
        <v>359</v>
      </c>
      <c r="G326" s="5" t="s">
        <v>239</v>
      </c>
      <c r="H326" s="5" t="s">
        <v>900</v>
      </c>
      <c r="I326" s="5" t="s">
        <v>306</v>
      </c>
      <c r="J326" s="5" t="s">
        <v>287</v>
      </c>
      <c r="K326" s="5" t="s">
        <v>15</v>
      </c>
      <c r="L326" s="5" t="s">
        <v>253</v>
      </c>
      <c r="M326" s="5">
        <v>8</v>
      </c>
      <c r="N326" s="5">
        <v>2200</v>
      </c>
      <c r="O326" s="5">
        <v>10</v>
      </c>
      <c r="P326" s="5">
        <v>15840</v>
      </c>
      <c r="Q326" s="5">
        <v>4</v>
      </c>
      <c r="R326" s="5" t="s">
        <v>277</v>
      </c>
      <c r="S326" s="5" t="s">
        <v>246</v>
      </c>
      <c r="T326" s="5" t="s">
        <v>360</v>
      </c>
      <c r="U326" s="5">
        <v>9571990711</v>
      </c>
      <c r="V326" s="8" t="s">
        <v>265</v>
      </c>
      <c r="W326" t="str">
        <f t="shared" si="37"/>
        <v>Blacklisted</v>
      </c>
      <c r="X326" t="str">
        <f t="shared" si="38"/>
        <v>Sneha Joshi</v>
      </c>
      <c r="Y326" t="str">
        <f t="shared" si="36"/>
        <v>Sne006Ah</v>
      </c>
      <c r="Z326" t="str">
        <f t="shared" si="39"/>
        <v>sneha.joshi@company.com</v>
      </c>
      <c r="AA326" t="str">
        <f t="shared" ca="1" si="42"/>
        <v/>
      </c>
      <c r="AB326" t="str">
        <f t="shared" si="40"/>
        <v/>
      </c>
      <c r="AC326" t="str">
        <f t="shared" si="41"/>
        <v>Delayed</v>
      </c>
    </row>
    <row r="327" spans="1:29">
      <c r="A327" s="34" t="s">
        <v>901</v>
      </c>
      <c r="B327" s="10" t="s">
        <v>358</v>
      </c>
      <c r="C327" s="10" t="s">
        <v>330</v>
      </c>
      <c r="D327" s="11">
        <v>46237</v>
      </c>
      <c r="E327" s="11">
        <v>46359</v>
      </c>
      <c r="F327" s="10" t="s">
        <v>359</v>
      </c>
      <c r="G327" s="10" t="s">
        <v>239</v>
      </c>
      <c r="H327" s="11">
        <v>29281</v>
      </c>
      <c r="I327" s="10" t="s">
        <v>286</v>
      </c>
      <c r="J327" s="10" t="s">
        <v>287</v>
      </c>
      <c r="K327" s="10" t="s">
        <v>243</v>
      </c>
      <c r="L327" s="10" t="s">
        <v>333</v>
      </c>
      <c r="M327" s="10">
        <v>10</v>
      </c>
      <c r="N327" s="10">
        <v>700</v>
      </c>
      <c r="O327" s="10">
        <v>20</v>
      </c>
      <c r="P327" s="10">
        <v>5600</v>
      </c>
      <c r="Q327" s="10">
        <v>1</v>
      </c>
      <c r="R327" s="10" t="s">
        <v>277</v>
      </c>
      <c r="S327" s="10" t="s">
        <v>292</v>
      </c>
      <c r="T327" s="10" t="s">
        <v>360</v>
      </c>
      <c r="U327" s="10">
        <v>9219231183</v>
      </c>
      <c r="V327" s="12" t="s">
        <v>257</v>
      </c>
      <c r="W327" t="str">
        <f t="shared" si="37"/>
        <v>Blacklisted</v>
      </c>
      <c r="X327" t="str">
        <f t="shared" si="38"/>
        <v>Sneha Joshi</v>
      </c>
      <c r="Y327" t="str">
        <f t="shared" si="36"/>
        <v>Sne006Mu</v>
      </c>
      <c r="Z327" t="str">
        <f t="shared" si="39"/>
        <v>sneha.joshi@company.com</v>
      </c>
      <c r="AA327" t="str">
        <f t="shared" ca="1" si="42"/>
        <v/>
      </c>
      <c r="AB327" t="str">
        <f t="shared" si="40"/>
        <v/>
      </c>
      <c r="AC327" t="str">
        <f t="shared" si="41"/>
        <v>Delayed</v>
      </c>
    </row>
    <row r="328" spans="1:29">
      <c r="A328" s="33" t="s">
        <v>902</v>
      </c>
      <c r="B328" s="5" t="s">
        <v>275</v>
      </c>
      <c r="C328" s="5" t="s">
        <v>330</v>
      </c>
      <c r="D328" s="5" t="s">
        <v>147</v>
      </c>
      <c r="E328" s="5" t="s">
        <v>903</v>
      </c>
      <c r="F328" s="5" t="s">
        <v>328</v>
      </c>
      <c r="G328" s="5" t="s">
        <v>269</v>
      </c>
      <c r="H328" s="6">
        <v>28703</v>
      </c>
      <c r="I328" s="5" t="s">
        <v>241</v>
      </c>
      <c r="J328" s="5" t="s">
        <v>242</v>
      </c>
      <c r="K328" s="5" t="s">
        <v>243</v>
      </c>
      <c r="L328" s="5" t="s">
        <v>333</v>
      </c>
      <c r="M328" s="5">
        <v>2</v>
      </c>
      <c r="N328" s="5">
        <v>700</v>
      </c>
      <c r="O328" s="5">
        <v>20</v>
      </c>
      <c r="P328" s="5">
        <v>1120</v>
      </c>
      <c r="Q328" s="5">
        <v>2</v>
      </c>
      <c r="R328" s="5" t="s">
        <v>254</v>
      </c>
      <c r="S328" s="5" t="s">
        <v>292</v>
      </c>
      <c r="T328" s="5" t="s">
        <v>278</v>
      </c>
      <c r="U328" s="5">
        <v>9847386174</v>
      </c>
      <c r="V328" s="8" t="s">
        <v>248</v>
      </c>
      <c r="W328" t="str">
        <f t="shared" si="37"/>
        <v>Blacklisted</v>
      </c>
      <c r="X328" t="str">
        <f t="shared" si="38"/>
        <v>Arjun Rao</v>
      </c>
      <c r="Y328" t="str">
        <f t="shared" si="36"/>
        <v>Arj007Be</v>
      </c>
      <c r="Z328" t="str">
        <f t="shared" si="39"/>
        <v>arjun.rao@company.com</v>
      </c>
      <c r="AA328">
        <f t="shared" ca="1" si="42"/>
        <v>46</v>
      </c>
      <c r="AB328">
        <f t="shared" si="40"/>
        <v>3</v>
      </c>
      <c r="AC328" t="str">
        <f t="shared" si="41"/>
        <v>On time</v>
      </c>
    </row>
    <row r="329" spans="1:29">
      <c r="A329" s="34" t="s">
        <v>904</v>
      </c>
      <c r="B329" s="10" t="s">
        <v>346</v>
      </c>
      <c r="C329" s="10" t="s">
        <v>280</v>
      </c>
      <c r="D329" s="10" t="s">
        <v>80</v>
      </c>
      <c r="E329" s="10" t="s">
        <v>661</v>
      </c>
      <c r="F329" s="10" t="s">
        <v>348</v>
      </c>
      <c r="G329" s="10" t="s">
        <v>269</v>
      </c>
      <c r="H329" s="11">
        <v>33732</v>
      </c>
      <c r="I329" s="10" t="s">
        <v>291</v>
      </c>
      <c r="J329" s="10" t="s">
        <v>287</v>
      </c>
      <c r="K329" s="10" t="s">
        <v>15</v>
      </c>
      <c r="L329" s="10" t="s">
        <v>282</v>
      </c>
      <c r="M329" s="10">
        <v>16</v>
      </c>
      <c r="N329" s="10">
        <v>3500</v>
      </c>
      <c r="O329" s="10">
        <v>20</v>
      </c>
      <c r="P329" s="10">
        <v>44800</v>
      </c>
      <c r="Q329" s="10">
        <v>2</v>
      </c>
      <c r="R329" s="10" t="s">
        <v>277</v>
      </c>
      <c r="S329" s="10" t="s">
        <v>255</v>
      </c>
      <c r="T329" s="10" t="s">
        <v>350</v>
      </c>
      <c r="U329" s="10">
        <v>9941274924</v>
      </c>
      <c r="V329" s="12" t="s">
        <v>248</v>
      </c>
      <c r="W329" t="str">
        <f t="shared" si="37"/>
        <v>Blacklisted</v>
      </c>
      <c r="X329" t="str">
        <f t="shared" si="38"/>
        <v>Vikas Mehta</v>
      </c>
      <c r="Y329" t="str">
        <f t="shared" si="36"/>
        <v>Vik005Pu</v>
      </c>
      <c r="Z329" t="str">
        <f t="shared" si="39"/>
        <v>vikas.mehta@company.com</v>
      </c>
      <c r="AA329">
        <f t="shared" ca="1" si="42"/>
        <v>48</v>
      </c>
      <c r="AB329">
        <f t="shared" si="40"/>
        <v>9</v>
      </c>
      <c r="AC329" t="str">
        <f t="shared" si="41"/>
        <v>Delayed</v>
      </c>
    </row>
    <row r="330" spans="1:29">
      <c r="A330" s="33" t="s">
        <v>905</v>
      </c>
      <c r="B330" s="5" t="s">
        <v>321</v>
      </c>
      <c r="C330" s="5" t="s">
        <v>280</v>
      </c>
      <c r="D330" s="5" t="s">
        <v>114</v>
      </c>
      <c r="E330" s="6">
        <v>45665</v>
      </c>
      <c r="F330" s="5" t="s">
        <v>408</v>
      </c>
      <c r="G330" s="5" t="s">
        <v>239</v>
      </c>
      <c r="H330" s="5" t="s">
        <v>906</v>
      </c>
      <c r="I330" s="5" t="s">
        <v>260</v>
      </c>
      <c r="J330" s="5" t="s">
        <v>261</v>
      </c>
      <c r="K330" s="5" t="s">
        <v>15</v>
      </c>
      <c r="L330" s="5" t="s">
        <v>282</v>
      </c>
      <c r="M330" s="5">
        <v>9</v>
      </c>
      <c r="N330" s="5">
        <v>3500</v>
      </c>
      <c r="O330" s="5">
        <v>20</v>
      </c>
      <c r="P330" s="5">
        <v>25200</v>
      </c>
      <c r="Q330" s="5">
        <v>1</v>
      </c>
      <c r="R330" s="5" t="s">
        <v>272</v>
      </c>
      <c r="S330" s="5" t="s">
        <v>263</v>
      </c>
      <c r="T330" s="5" t="s">
        <v>326</v>
      </c>
      <c r="U330" s="5">
        <v>9950650508</v>
      </c>
      <c r="V330" s="8" t="s">
        <v>265</v>
      </c>
      <c r="W330" t="str">
        <f t="shared" si="37"/>
        <v>Blacklisted</v>
      </c>
      <c r="X330" t="str">
        <f t="shared" si="38"/>
        <v>Anita Gupta</v>
      </c>
      <c r="Y330" t="str">
        <f t="shared" si="36"/>
        <v>Ani004De</v>
      </c>
      <c r="Z330" t="str">
        <f t="shared" si="39"/>
        <v>anita.gupta@company.com</v>
      </c>
      <c r="AA330">
        <f t="shared" ca="1" si="42"/>
        <v>34</v>
      </c>
      <c r="AB330" t="str">
        <f t="shared" si="40"/>
        <v/>
      </c>
      <c r="AC330" t="str">
        <f t="shared" si="41"/>
        <v>Delayed</v>
      </c>
    </row>
    <row r="331" spans="1:29">
      <c r="A331" s="34" t="s">
        <v>907</v>
      </c>
      <c r="B331" s="10" t="s">
        <v>299</v>
      </c>
      <c r="C331" s="10" t="s">
        <v>330</v>
      </c>
      <c r="D331" s="10" t="s">
        <v>191</v>
      </c>
      <c r="E331" s="10" t="s">
        <v>200</v>
      </c>
      <c r="F331" s="10" t="s">
        <v>301</v>
      </c>
      <c r="G331" s="10" t="s">
        <v>269</v>
      </c>
      <c r="H331" s="11">
        <v>37803</v>
      </c>
      <c r="I331" s="10" t="s">
        <v>252</v>
      </c>
      <c r="J331" s="10" t="s">
        <v>242</v>
      </c>
      <c r="K331" s="10" t="s">
        <v>243</v>
      </c>
      <c r="L331" s="10" t="s">
        <v>333</v>
      </c>
      <c r="M331" s="10">
        <v>15</v>
      </c>
      <c r="N331" s="10">
        <v>700</v>
      </c>
      <c r="O331" s="10">
        <v>5</v>
      </c>
      <c r="P331" s="10">
        <v>9975</v>
      </c>
      <c r="Q331" s="10">
        <v>1</v>
      </c>
      <c r="R331" s="10" t="s">
        <v>254</v>
      </c>
      <c r="S331" s="10" t="s">
        <v>263</v>
      </c>
      <c r="T331" s="10" t="s">
        <v>302</v>
      </c>
      <c r="U331" s="10">
        <v>9464035549</v>
      </c>
      <c r="V331" s="12" t="s">
        <v>265</v>
      </c>
      <c r="W331" t="str">
        <f t="shared" si="37"/>
        <v>Blacklisted</v>
      </c>
      <c r="X331" t="str">
        <f t="shared" si="38"/>
        <v>Rohit Singh</v>
      </c>
      <c r="Y331" t="str">
        <f t="shared" si="36"/>
        <v>Roh003Hy</v>
      </c>
      <c r="Z331" t="str">
        <f t="shared" si="39"/>
        <v>rohit.singh@company.com</v>
      </c>
      <c r="AA331" t="str">
        <f t="shared" ca="1" si="42"/>
        <v/>
      </c>
      <c r="AB331">
        <f t="shared" si="40"/>
        <v>1</v>
      </c>
      <c r="AC331" t="str">
        <f t="shared" si="41"/>
        <v>On time</v>
      </c>
    </row>
    <row r="332" spans="1:29">
      <c r="A332" s="33" t="s">
        <v>908</v>
      </c>
      <c r="B332" s="5" t="s">
        <v>235</v>
      </c>
      <c r="C332" s="5" t="s">
        <v>267</v>
      </c>
      <c r="D332" s="6">
        <v>46145</v>
      </c>
      <c r="E332" s="6">
        <v>46298</v>
      </c>
      <c r="F332" s="5" t="s">
        <v>318</v>
      </c>
      <c r="G332" s="5" t="s">
        <v>239</v>
      </c>
      <c r="H332" s="6">
        <v>34215</v>
      </c>
      <c r="I332" s="5" t="s">
        <v>306</v>
      </c>
      <c r="J332" s="5" t="s">
        <v>287</v>
      </c>
      <c r="K332" s="5" t="s">
        <v>243</v>
      </c>
      <c r="L332" s="5" t="s">
        <v>271</v>
      </c>
      <c r="M332" s="5">
        <v>13</v>
      </c>
      <c r="N332" s="5">
        <v>1200</v>
      </c>
      <c r="O332" s="5">
        <v>0</v>
      </c>
      <c r="P332" s="5">
        <v>15600</v>
      </c>
      <c r="Q332" s="5">
        <v>3</v>
      </c>
      <c r="R332" s="5" t="s">
        <v>245</v>
      </c>
      <c r="S332" s="5" t="s">
        <v>292</v>
      </c>
      <c r="T332" s="5" t="s">
        <v>247</v>
      </c>
      <c r="U332" s="5">
        <v>9142334315</v>
      </c>
      <c r="V332" s="8" t="s">
        <v>265</v>
      </c>
      <c r="W332" t="str">
        <f t="shared" si="37"/>
        <v>Blacklisted</v>
      </c>
      <c r="X332" t="str">
        <f t="shared" si="38"/>
        <v>Pooja Shah</v>
      </c>
      <c r="Y332" t="str">
        <f t="shared" si="36"/>
        <v>Poo010Ah</v>
      </c>
      <c r="Z332" t="str">
        <f t="shared" si="39"/>
        <v>pooja.shah@company.com</v>
      </c>
      <c r="AA332">
        <f t="shared" ca="1" si="42"/>
        <v>23</v>
      </c>
      <c r="AB332" t="str">
        <f t="shared" si="40"/>
        <v/>
      </c>
      <c r="AC332" t="str">
        <f t="shared" si="41"/>
        <v>Delayed</v>
      </c>
    </row>
    <row r="333" spans="1:29">
      <c r="A333" s="34" t="s">
        <v>909</v>
      </c>
      <c r="B333" s="10" t="s">
        <v>392</v>
      </c>
      <c r="C333" s="10" t="s">
        <v>258</v>
      </c>
      <c r="D333" s="10" t="s">
        <v>158</v>
      </c>
      <c r="E333" s="11">
        <v>45847</v>
      </c>
      <c r="F333" s="10" t="s">
        <v>323</v>
      </c>
      <c r="G333" s="10" t="s">
        <v>269</v>
      </c>
      <c r="H333" s="11">
        <v>34034</v>
      </c>
      <c r="I333" s="10" t="s">
        <v>260</v>
      </c>
      <c r="J333" s="10" t="s">
        <v>261</v>
      </c>
      <c r="K333" s="10" t="s">
        <v>243</v>
      </c>
      <c r="L333" s="10" t="s">
        <v>262</v>
      </c>
      <c r="M333" s="10">
        <v>5</v>
      </c>
      <c r="N333" s="10">
        <v>12000</v>
      </c>
      <c r="O333" s="10">
        <v>10</v>
      </c>
      <c r="P333" s="10">
        <v>54000</v>
      </c>
      <c r="Q333" s="10">
        <v>3</v>
      </c>
      <c r="R333" s="10" t="s">
        <v>277</v>
      </c>
      <c r="S333" s="10" t="s">
        <v>263</v>
      </c>
      <c r="T333" s="10" t="s">
        <v>395</v>
      </c>
      <c r="U333" s="10">
        <v>9123961962</v>
      </c>
      <c r="V333" s="12" t="s">
        <v>257</v>
      </c>
      <c r="W333" t="str">
        <f t="shared" si="37"/>
        <v>Gold</v>
      </c>
      <c r="X333" t="str">
        <f t="shared" si="38"/>
        <v>Amit Sharma</v>
      </c>
      <c r="Y333" t="str">
        <f t="shared" si="36"/>
        <v>Ami001De</v>
      </c>
      <c r="Z333" t="str">
        <f t="shared" si="39"/>
        <v>amit.sharma@company.com</v>
      </c>
      <c r="AA333">
        <f t="shared" ca="1" si="42"/>
        <v>33</v>
      </c>
      <c r="AB333" t="str">
        <f t="shared" si="40"/>
        <v/>
      </c>
      <c r="AC333" t="str">
        <f t="shared" si="41"/>
        <v>Delayed</v>
      </c>
    </row>
    <row r="334" spans="1:29">
      <c r="A334" s="33" t="s">
        <v>910</v>
      </c>
      <c r="B334" s="5" t="s">
        <v>235</v>
      </c>
      <c r="C334" s="5" t="s">
        <v>362</v>
      </c>
      <c r="D334" s="6">
        <v>45781</v>
      </c>
      <c r="E334" s="6">
        <v>45873</v>
      </c>
      <c r="F334" s="5" t="s">
        <v>318</v>
      </c>
      <c r="G334" s="5" t="s">
        <v>239</v>
      </c>
      <c r="H334" s="6">
        <v>36445</v>
      </c>
      <c r="I334" s="5" t="s">
        <v>241</v>
      </c>
      <c r="J334" s="5" t="s">
        <v>242</v>
      </c>
      <c r="K334" s="5" t="s">
        <v>295</v>
      </c>
      <c r="L334" s="5" t="s">
        <v>363</v>
      </c>
      <c r="M334" s="5">
        <v>12</v>
      </c>
      <c r="N334" s="5">
        <v>45</v>
      </c>
      <c r="O334" s="5">
        <v>20</v>
      </c>
      <c r="P334" s="5">
        <v>432</v>
      </c>
      <c r="Q334" s="5">
        <v>3</v>
      </c>
      <c r="R334" s="5" t="s">
        <v>245</v>
      </c>
      <c r="S334" s="5" t="s">
        <v>246</v>
      </c>
      <c r="T334" s="5" t="s">
        <v>247</v>
      </c>
      <c r="U334" s="5">
        <v>9741953402</v>
      </c>
      <c r="V334" s="8" t="s">
        <v>257</v>
      </c>
      <c r="W334" t="str">
        <f t="shared" si="37"/>
        <v>Silver</v>
      </c>
      <c r="X334" t="str">
        <f t="shared" si="38"/>
        <v>Pooja Shah</v>
      </c>
      <c r="Y334" t="str">
        <f t="shared" si="36"/>
        <v>Poo010Be</v>
      </c>
      <c r="Z334" t="str">
        <f t="shared" si="39"/>
        <v>pooja.shah@company.com</v>
      </c>
      <c r="AA334">
        <f t="shared" ca="1" si="42"/>
        <v>33</v>
      </c>
      <c r="AB334" t="str">
        <f t="shared" si="40"/>
        <v/>
      </c>
      <c r="AC334" t="str">
        <f t="shared" si="41"/>
        <v>Delayed</v>
      </c>
    </row>
    <row r="335" spans="1:29">
      <c r="A335" s="34" t="s">
        <v>911</v>
      </c>
      <c r="B335" s="10" t="s">
        <v>249</v>
      </c>
      <c r="C335" s="10" t="s">
        <v>280</v>
      </c>
      <c r="D335" s="11">
        <v>45904</v>
      </c>
      <c r="E335" s="10" t="s">
        <v>536</v>
      </c>
      <c r="F335" s="10" t="s">
        <v>251</v>
      </c>
      <c r="G335" s="10" t="s">
        <v>239</v>
      </c>
      <c r="H335" s="11">
        <v>27917</v>
      </c>
      <c r="I335" s="10" t="s">
        <v>241</v>
      </c>
      <c r="J335" s="10" t="s">
        <v>242</v>
      </c>
      <c r="K335" s="10" t="s">
        <v>15</v>
      </c>
      <c r="L335" s="10" t="s">
        <v>282</v>
      </c>
      <c r="M335" s="10">
        <v>2</v>
      </c>
      <c r="N335" s="10">
        <v>3500</v>
      </c>
      <c r="O335" s="10">
        <v>0</v>
      </c>
      <c r="P335" s="10">
        <v>7000</v>
      </c>
      <c r="Q335" s="10">
        <v>1</v>
      </c>
      <c r="R335" s="10" t="s">
        <v>245</v>
      </c>
      <c r="S335" s="10" t="s">
        <v>292</v>
      </c>
      <c r="T335" s="10" t="s">
        <v>264</v>
      </c>
      <c r="U335" s="10">
        <v>9404733633</v>
      </c>
      <c r="V335" s="12" t="s">
        <v>248</v>
      </c>
      <c r="W335" t="str">
        <f t="shared" si="37"/>
        <v>Blacklisted</v>
      </c>
      <c r="X335" t="str">
        <f t="shared" si="38"/>
        <v>Kavya Nair</v>
      </c>
      <c r="Y335" t="str">
        <f t="shared" si="36"/>
        <v>Kav008Be</v>
      </c>
      <c r="Z335" t="str">
        <f t="shared" si="39"/>
        <v>kavya.nair@company.com</v>
      </c>
      <c r="AA335">
        <f t="shared" ca="1" si="42"/>
        <v>27</v>
      </c>
      <c r="AB335" t="str">
        <f t="shared" si="40"/>
        <v/>
      </c>
      <c r="AC335" t="str">
        <f t="shared" si="41"/>
        <v>Delayed</v>
      </c>
    </row>
    <row r="336" spans="1:29">
      <c r="A336" s="33" t="s">
        <v>912</v>
      </c>
      <c r="B336" s="5" t="s">
        <v>249</v>
      </c>
      <c r="C336" s="5" t="s">
        <v>250</v>
      </c>
      <c r="D336" s="5" t="s">
        <v>16</v>
      </c>
      <c r="E336" s="5" t="s">
        <v>47</v>
      </c>
      <c r="F336" s="5" t="s">
        <v>251</v>
      </c>
      <c r="G336" s="5" t="s">
        <v>239</v>
      </c>
      <c r="H336" s="5" t="s">
        <v>913</v>
      </c>
      <c r="I336" s="5" t="s">
        <v>291</v>
      </c>
      <c r="J336" s="5" t="s">
        <v>287</v>
      </c>
      <c r="K336" s="5" t="s">
        <v>15</v>
      </c>
      <c r="L336" s="5" t="s">
        <v>253</v>
      </c>
      <c r="M336" s="5">
        <v>15</v>
      </c>
      <c r="N336" s="5">
        <v>2200</v>
      </c>
      <c r="O336" s="5">
        <v>15</v>
      </c>
      <c r="P336" s="5">
        <v>28050</v>
      </c>
      <c r="Q336" s="5">
        <v>2</v>
      </c>
      <c r="R336" s="5" t="s">
        <v>245</v>
      </c>
      <c r="S336" s="5" t="s">
        <v>263</v>
      </c>
      <c r="T336" s="5" t="s">
        <v>264</v>
      </c>
      <c r="U336" s="5">
        <v>9297492337</v>
      </c>
      <c r="V336" s="8" t="s">
        <v>248</v>
      </c>
      <c r="W336" t="str">
        <f t="shared" si="37"/>
        <v>Blacklisted</v>
      </c>
      <c r="X336" t="str">
        <f t="shared" si="38"/>
        <v>Kavya Nair</v>
      </c>
      <c r="Y336" t="str">
        <f t="shared" si="36"/>
        <v>Kav008Pu</v>
      </c>
      <c r="Z336" t="str">
        <f t="shared" si="39"/>
        <v>kavya.nair@company.com</v>
      </c>
      <c r="AA336">
        <f t="shared" ca="1" si="42"/>
        <v>50</v>
      </c>
      <c r="AB336">
        <f t="shared" si="40"/>
        <v>3</v>
      </c>
      <c r="AC336" t="str">
        <f t="shared" si="41"/>
        <v>On time</v>
      </c>
    </row>
    <row r="337" spans="1:29">
      <c r="A337" s="34" t="s">
        <v>914</v>
      </c>
      <c r="B337" s="10" t="s">
        <v>284</v>
      </c>
      <c r="C337" s="10" t="s">
        <v>347</v>
      </c>
      <c r="D337" s="11">
        <v>45759</v>
      </c>
      <c r="E337" s="11">
        <v>46003</v>
      </c>
      <c r="F337" s="10" t="s">
        <v>285</v>
      </c>
      <c r="G337" s="10" t="s">
        <v>239</v>
      </c>
      <c r="H337" s="10" t="s">
        <v>915</v>
      </c>
      <c r="I337" s="10" t="s">
        <v>306</v>
      </c>
      <c r="J337" s="10" t="s">
        <v>287</v>
      </c>
      <c r="K337" s="10" t="s">
        <v>295</v>
      </c>
      <c r="L337" s="10" t="s">
        <v>349</v>
      </c>
      <c r="M337" s="10">
        <v>8</v>
      </c>
      <c r="N337" s="10">
        <v>20</v>
      </c>
      <c r="O337" s="10">
        <v>20</v>
      </c>
      <c r="P337" s="10">
        <v>128</v>
      </c>
      <c r="Q337" s="10">
        <v>5</v>
      </c>
      <c r="R337" s="10" t="s">
        <v>277</v>
      </c>
      <c r="S337" s="10" t="s">
        <v>263</v>
      </c>
      <c r="T337" s="10" t="s">
        <v>308</v>
      </c>
      <c r="U337" s="10">
        <v>9350338928</v>
      </c>
      <c r="V337" s="12" t="s">
        <v>257</v>
      </c>
      <c r="W337" t="str">
        <f t="shared" si="37"/>
        <v>Silver</v>
      </c>
      <c r="X337" t="str">
        <f t="shared" si="38"/>
        <v>Priya Patel</v>
      </c>
      <c r="Y337" t="str">
        <f t="shared" si="36"/>
        <v>Pri002Ah</v>
      </c>
      <c r="Z337" t="str">
        <f t="shared" si="39"/>
        <v>priya.patel@company.com</v>
      </c>
      <c r="AA337" t="str">
        <f t="shared" ca="1" si="42"/>
        <v/>
      </c>
      <c r="AB337" t="str">
        <f t="shared" si="40"/>
        <v/>
      </c>
      <c r="AC337" t="str">
        <f t="shared" si="41"/>
        <v>Delayed</v>
      </c>
    </row>
    <row r="338" spans="1:29">
      <c r="A338" s="33" t="s">
        <v>916</v>
      </c>
      <c r="B338" s="5" t="s">
        <v>299</v>
      </c>
      <c r="C338" s="5" t="s">
        <v>347</v>
      </c>
      <c r="D338" s="6">
        <v>46237</v>
      </c>
      <c r="E338" s="6">
        <v>46298</v>
      </c>
      <c r="F338" s="5" t="s">
        <v>301</v>
      </c>
      <c r="G338" s="5" t="s">
        <v>269</v>
      </c>
      <c r="H338" s="5" t="s">
        <v>917</v>
      </c>
      <c r="I338" s="5" t="s">
        <v>252</v>
      </c>
      <c r="J338" s="5" t="s">
        <v>242</v>
      </c>
      <c r="K338" s="5" t="s">
        <v>295</v>
      </c>
      <c r="L338" s="5" t="s">
        <v>349</v>
      </c>
      <c r="M338" s="5">
        <v>1</v>
      </c>
      <c r="N338" s="5">
        <v>20</v>
      </c>
      <c r="O338" s="5">
        <v>0</v>
      </c>
      <c r="P338" s="5">
        <v>20</v>
      </c>
      <c r="Q338" s="5">
        <v>3</v>
      </c>
      <c r="R338" s="5" t="s">
        <v>277</v>
      </c>
      <c r="S338" s="5" t="s">
        <v>255</v>
      </c>
      <c r="T338" s="5" t="s">
        <v>302</v>
      </c>
      <c r="U338" s="5">
        <v>9933894798</v>
      </c>
      <c r="V338" s="8" t="s">
        <v>257</v>
      </c>
      <c r="W338" t="str">
        <f t="shared" si="37"/>
        <v>Silver</v>
      </c>
      <c r="X338" t="str">
        <f t="shared" si="38"/>
        <v>Rohit Singh</v>
      </c>
      <c r="Y338" t="str">
        <f t="shared" si="36"/>
        <v>Roh003Hy</v>
      </c>
      <c r="Z338" t="str">
        <f t="shared" si="39"/>
        <v>rohit.singh@company.com</v>
      </c>
      <c r="AA338" t="str">
        <f t="shared" ca="1" si="42"/>
        <v/>
      </c>
      <c r="AB338" t="str">
        <f t="shared" si="40"/>
        <v/>
      </c>
      <c r="AC338" t="str">
        <f t="shared" si="41"/>
        <v>Delayed</v>
      </c>
    </row>
    <row r="339" spans="1:29">
      <c r="A339" s="34" t="s">
        <v>918</v>
      </c>
      <c r="B339" s="10" t="s">
        <v>249</v>
      </c>
      <c r="C339" s="10" t="s">
        <v>330</v>
      </c>
      <c r="D339" s="11">
        <v>46143</v>
      </c>
      <c r="E339" s="10" t="s">
        <v>41</v>
      </c>
      <c r="F339" s="10" t="s">
        <v>251</v>
      </c>
      <c r="G339" s="10" t="s">
        <v>239</v>
      </c>
      <c r="H339" s="10" t="s">
        <v>919</v>
      </c>
      <c r="I339" s="10" t="s">
        <v>342</v>
      </c>
      <c r="J339" s="10" t="s">
        <v>261</v>
      </c>
      <c r="K339" s="10" t="s">
        <v>243</v>
      </c>
      <c r="L339" s="10" t="s">
        <v>333</v>
      </c>
      <c r="M339" s="10">
        <v>15</v>
      </c>
      <c r="N339" s="10">
        <v>700</v>
      </c>
      <c r="O339" s="10">
        <v>0</v>
      </c>
      <c r="P339" s="10">
        <v>10500</v>
      </c>
      <c r="Q339" s="10">
        <v>2</v>
      </c>
      <c r="R339" s="10" t="s">
        <v>277</v>
      </c>
      <c r="S339" s="10" t="s">
        <v>263</v>
      </c>
      <c r="T339" s="10" t="s">
        <v>264</v>
      </c>
      <c r="U339" s="10">
        <v>9705218824</v>
      </c>
      <c r="V339" s="12" t="s">
        <v>257</v>
      </c>
      <c r="W339" t="str">
        <f t="shared" si="37"/>
        <v>Blacklisted</v>
      </c>
      <c r="X339" t="str">
        <f t="shared" si="38"/>
        <v>Kavya Nair</v>
      </c>
      <c r="Y339" t="str">
        <f t="shared" si="36"/>
        <v>Kav008Ja</v>
      </c>
      <c r="Z339" t="str">
        <f t="shared" si="39"/>
        <v>kavya.nair@company.com</v>
      </c>
      <c r="AA339" t="str">
        <f t="shared" ca="1" si="42"/>
        <v/>
      </c>
      <c r="AB339" t="str">
        <f t="shared" si="40"/>
        <v/>
      </c>
      <c r="AC339" t="str">
        <f t="shared" si="41"/>
        <v>Delayed</v>
      </c>
    </row>
    <row r="340" spans="1:29">
      <c r="A340" s="33" t="s">
        <v>920</v>
      </c>
      <c r="B340" s="5" t="s">
        <v>392</v>
      </c>
      <c r="C340" s="5" t="s">
        <v>280</v>
      </c>
      <c r="D340" s="6">
        <v>45840</v>
      </c>
      <c r="E340" s="6">
        <v>45932</v>
      </c>
      <c r="F340" s="5" t="s">
        <v>323</v>
      </c>
      <c r="G340" s="5" t="s">
        <v>269</v>
      </c>
      <c r="H340" s="6">
        <v>30529</v>
      </c>
      <c r="I340" s="5" t="s">
        <v>252</v>
      </c>
      <c r="J340" s="5" t="s">
        <v>242</v>
      </c>
      <c r="K340" s="5" t="s">
        <v>15</v>
      </c>
      <c r="L340" s="5" t="s">
        <v>282</v>
      </c>
      <c r="M340" s="5">
        <v>15</v>
      </c>
      <c r="N340" s="5">
        <v>3500</v>
      </c>
      <c r="O340" s="5">
        <v>10</v>
      </c>
      <c r="P340" s="5">
        <v>47250</v>
      </c>
      <c r="Q340" s="5">
        <v>3</v>
      </c>
      <c r="R340" s="5" t="s">
        <v>254</v>
      </c>
      <c r="S340" s="5" t="s">
        <v>312</v>
      </c>
      <c r="T340" s="5" t="s">
        <v>395</v>
      </c>
      <c r="U340" s="5">
        <v>9229164453</v>
      </c>
      <c r="V340" s="8" t="s">
        <v>248</v>
      </c>
      <c r="W340" t="str">
        <f t="shared" si="37"/>
        <v/>
      </c>
      <c r="X340" t="str">
        <f t="shared" si="38"/>
        <v>Amit Sharma</v>
      </c>
      <c r="Y340" t="str">
        <f t="shared" si="36"/>
        <v>Ami001Hy</v>
      </c>
      <c r="Z340" t="str">
        <f t="shared" si="39"/>
        <v>amit.sharma@company.com</v>
      </c>
      <c r="AA340" t="str">
        <f t="shared" ca="1" si="42"/>
        <v/>
      </c>
      <c r="AB340" t="str">
        <f t="shared" si="40"/>
        <v/>
      </c>
      <c r="AC340" t="str">
        <f t="shared" si="41"/>
        <v>Delayed</v>
      </c>
    </row>
    <row r="341" spans="1:29">
      <c r="A341" s="34" t="s">
        <v>921</v>
      </c>
      <c r="B341" s="10" t="s">
        <v>249</v>
      </c>
      <c r="C341" s="10" t="s">
        <v>294</v>
      </c>
      <c r="D341" s="10" t="s">
        <v>180</v>
      </c>
      <c r="E341" s="11">
        <v>45846</v>
      </c>
      <c r="F341" s="10" t="s">
        <v>251</v>
      </c>
      <c r="G341" s="10" t="s">
        <v>239</v>
      </c>
      <c r="H341" s="10" t="s">
        <v>922</v>
      </c>
      <c r="I341" s="10" t="s">
        <v>379</v>
      </c>
      <c r="J341" s="10" t="s">
        <v>21</v>
      </c>
      <c r="K341" s="10" t="s">
        <v>295</v>
      </c>
      <c r="L341" s="10" t="s">
        <v>296</v>
      </c>
      <c r="M341" s="10">
        <v>16</v>
      </c>
      <c r="N341" s="10">
        <v>60</v>
      </c>
      <c r="O341" s="10">
        <v>10</v>
      </c>
      <c r="P341" s="10">
        <v>864</v>
      </c>
      <c r="Q341" s="10">
        <v>4</v>
      </c>
      <c r="R341" s="10" t="s">
        <v>272</v>
      </c>
      <c r="S341" s="10" t="s">
        <v>246</v>
      </c>
      <c r="T341" s="10" t="s">
        <v>264</v>
      </c>
      <c r="U341" s="10">
        <v>9219806176</v>
      </c>
      <c r="V341" s="12" t="s">
        <v>257</v>
      </c>
      <c r="W341" t="str">
        <f t="shared" si="37"/>
        <v>Silver</v>
      </c>
      <c r="X341" t="str">
        <f t="shared" si="38"/>
        <v>Kavya Nair</v>
      </c>
      <c r="Y341" t="str">
        <f t="shared" si="36"/>
        <v>Kav008Ko</v>
      </c>
      <c r="Z341" t="str">
        <f t="shared" si="39"/>
        <v>kavya.nair@company.com</v>
      </c>
      <c r="AA341">
        <f t="shared" ca="1" si="42"/>
        <v>43</v>
      </c>
      <c r="AB341" t="str">
        <f t="shared" si="40"/>
        <v/>
      </c>
      <c r="AC341" t="str">
        <f t="shared" si="41"/>
        <v>Delayed</v>
      </c>
    </row>
    <row r="342" spans="1:29">
      <c r="A342" s="33" t="s">
        <v>923</v>
      </c>
      <c r="B342" s="5" t="s">
        <v>299</v>
      </c>
      <c r="C342" s="5" t="s">
        <v>362</v>
      </c>
      <c r="D342" s="5" t="s">
        <v>37</v>
      </c>
      <c r="E342" s="5" t="s">
        <v>105</v>
      </c>
      <c r="F342" s="5" t="s">
        <v>301</v>
      </c>
      <c r="G342" s="5" t="s">
        <v>269</v>
      </c>
      <c r="H342" s="5" t="s">
        <v>924</v>
      </c>
      <c r="I342" s="5" t="s">
        <v>260</v>
      </c>
      <c r="J342" s="5" t="s">
        <v>261</v>
      </c>
      <c r="K342" s="5" t="s">
        <v>295</v>
      </c>
      <c r="L342" s="5" t="s">
        <v>363</v>
      </c>
      <c r="M342" s="5">
        <v>2</v>
      </c>
      <c r="N342" s="5">
        <v>45</v>
      </c>
      <c r="O342" s="5">
        <v>15</v>
      </c>
      <c r="P342" s="5">
        <v>76.5</v>
      </c>
      <c r="Q342" s="5">
        <v>1</v>
      </c>
      <c r="R342" s="5" t="s">
        <v>277</v>
      </c>
      <c r="S342" s="5" t="s">
        <v>312</v>
      </c>
      <c r="T342" s="5" t="s">
        <v>302</v>
      </c>
      <c r="U342" s="5">
        <v>9630210250</v>
      </c>
      <c r="V342" s="8" t="s">
        <v>265</v>
      </c>
      <c r="W342" t="str">
        <f t="shared" si="37"/>
        <v>Blacklisted</v>
      </c>
      <c r="X342" t="str">
        <f t="shared" si="38"/>
        <v>Rohit Singh</v>
      </c>
      <c r="Y342" t="str">
        <f t="shared" si="36"/>
        <v>Roh003De</v>
      </c>
      <c r="Z342" t="str">
        <f t="shared" si="39"/>
        <v>rohit.singh@company.com</v>
      </c>
      <c r="AA342" t="str">
        <f t="shared" ca="1" si="42"/>
        <v/>
      </c>
      <c r="AB342">
        <f t="shared" si="40"/>
        <v>6</v>
      </c>
      <c r="AC342" t="str">
        <f t="shared" si="41"/>
        <v>Delayed</v>
      </c>
    </row>
    <row r="343" spans="1:29">
      <c r="A343" s="34" t="s">
        <v>925</v>
      </c>
      <c r="B343" s="10" t="s">
        <v>321</v>
      </c>
      <c r="C343" s="10" t="s">
        <v>294</v>
      </c>
      <c r="D343" s="11">
        <v>45820</v>
      </c>
      <c r="E343" s="10" t="s">
        <v>39</v>
      </c>
      <c r="F343" s="10" t="s">
        <v>408</v>
      </c>
      <c r="G343" s="10" t="s">
        <v>239</v>
      </c>
      <c r="H343" s="10" t="s">
        <v>926</v>
      </c>
      <c r="I343" s="10" t="s">
        <v>260</v>
      </c>
      <c r="J343" s="10" t="s">
        <v>261</v>
      </c>
      <c r="K343" s="10" t="s">
        <v>295</v>
      </c>
      <c r="L343" s="10" t="s">
        <v>296</v>
      </c>
      <c r="M343" s="10">
        <v>13</v>
      </c>
      <c r="N343" s="10">
        <v>60</v>
      </c>
      <c r="O343" s="10">
        <v>15</v>
      </c>
      <c r="P343" s="10">
        <v>663</v>
      </c>
      <c r="Q343" s="10">
        <v>2</v>
      </c>
      <c r="R343" s="10" t="s">
        <v>245</v>
      </c>
      <c r="S343" s="10" t="s">
        <v>246</v>
      </c>
      <c r="T343" s="10" t="s">
        <v>326</v>
      </c>
      <c r="U343" s="10">
        <v>9583354052</v>
      </c>
      <c r="V343" s="12" t="s">
        <v>265</v>
      </c>
      <c r="W343" t="str">
        <f t="shared" si="37"/>
        <v>Blacklisted</v>
      </c>
      <c r="X343" t="str">
        <f t="shared" si="38"/>
        <v>Anita Gupta</v>
      </c>
      <c r="Y343" t="str">
        <f t="shared" si="36"/>
        <v>Ani004De</v>
      </c>
      <c r="Z343" t="str">
        <f t="shared" si="39"/>
        <v>anita.gupta@company.com</v>
      </c>
      <c r="AA343" t="str">
        <f t="shared" ca="1" si="42"/>
        <v/>
      </c>
      <c r="AB343" t="str">
        <f t="shared" si="40"/>
        <v/>
      </c>
      <c r="AC343" t="str">
        <f t="shared" si="41"/>
        <v>Delayed</v>
      </c>
    </row>
    <row r="344" spans="1:29">
      <c r="A344" s="33" t="s">
        <v>927</v>
      </c>
      <c r="B344" s="5" t="s">
        <v>275</v>
      </c>
      <c r="C344" s="5" t="s">
        <v>258</v>
      </c>
      <c r="D344" s="5" t="s">
        <v>91</v>
      </c>
      <c r="E344" s="5" t="s">
        <v>112</v>
      </c>
      <c r="F344" s="5" t="s">
        <v>328</v>
      </c>
      <c r="G344" s="5" t="s">
        <v>269</v>
      </c>
      <c r="H344" s="6">
        <v>34588</v>
      </c>
      <c r="I344" s="5" t="s">
        <v>260</v>
      </c>
      <c r="J344" s="5" t="s">
        <v>261</v>
      </c>
      <c r="K344" s="5" t="s">
        <v>243</v>
      </c>
      <c r="L344" s="5" t="s">
        <v>262</v>
      </c>
      <c r="M344" s="5">
        <v>15</v>
      </c>
      <c r="N344" s="5">
        <v>12000</v>
      </c>
      <c r="O344" s="5">
        <v>20</v>
      </c>
      <c r="P344" s="5">
        <v>144000</v>
      </c>
      <c r="Q344" s="5">
        <v>3</v>
      </c>
      <c r="R344" s="5" t="s">
        <v>272</v>
      </c>
      <c r="S344" s="5" t="s">
        <v>255</v>
      </c>
      <c r="T344" s="5" t="s">
        <v>278</v>
      </c>
      <c r="U344" s="5">
        <v>9242534507</v>
      </c>
      <c r="V344" s="8" t="s">
        <v>265</v>
      </c>
      <c r="W344" t="str">
        <f t="shared" si="37"/>
        <v>Blacklisted</v>
      </c>
      <c r="X344" t="str">
        <f t="shared" si="38"/>
        <v>Arjun Rao</v>
      </c>
      <c r="Y344" t="str">
        <f t="shared" si="36"/>
        <v>Arj007De</v>
      </c>
      <c r="Z344" t="str">
        <f t="shared" si="39"/>
        <v>arjun.rao@company.com</v>
      </c>
      <c r="AA344" t="str">
        <f t="shared" ca="1" si="42"/>
        <v/>
      </c>
      <c r="AB344">
        <f t="shared" si="40"/>
        <v>2</v>
      </c>
      <c r="AC344" t="str">
        <f t="shared" si="41"/>
        <v>On time</v>
      </c>
    </row>
    <row r="345" spans="1:29">
      <c r="A345" s="34" t="s">
        <v>928</v>
      </c>
      <c r="B345" s="10" t="s">
        <v>392</v>
      </c>
      <c r="C345" s="10" t="s">
        <v>347</v>
      </c>
      <c r="D345" s="10" t="s">
        <v>145</v>
      </c>
      <c r="E345" s="11">
        <v>45696</v>
      </c>
      <c r="F345" s="10" t="s">
        <v>323</v>
      </c>
      <c r="G345" s="10" t="s">
        <v>269</v>
      </c>
      <c r="H345" s="10" t="s">
        <v>929</v>
      </c>
      <c r="I345" s="10" t="s">
        <v>260</v>
      </c>
      <c r="J345" s="10" t="s">
        <v>261</v>
      </c>
      <c r="K345" s="10" t="s">
        <v>295</v>
      </c>
      <c r="L345" s="10" t="s">
        <v>349</v>
      </c>
      <c r="M345" s="10">
        <v>2</v>
      </c>
      <c r="N345" s="10">
        <v>20</v>
      </c>
      <c r="O345" s="10">
        <v>20</v>
      </c>
      <c r="P345" s="10">
        <v>32</v>
      </c>
      <c r="Q345" s="10">
        <v>4</v>
      </c>
      <c r="R345" s="10" t="s">
        <v>254</v>
      </c>
      <c r="S345" s="10" t="s">
        <v>255</v>
      </c>
      <c r="T345" s="10" t="s">
        <v>395</v>
      </c>
      <c r="U345" s="10">
        <v>9291239150</v>
      </c>
      <c r="V345" s="12" t="s">
        <v>248</v>
      </c>
      <c r="W345" t="str">
        <f t="shared" si="37"/>
        <v/>
      </c>
      <c r="X345" t="str">
        <f t="shared" si="38"/>
        <v>Amit Sharma</v>
      </c>
      <c r="Y345" t="str">
        <f t="shared" si="36"/>
        <v>Ami001De</v>
      </c>
      <c r="Z345" t="str">
        <f t="shared" si="39"/>
        <v>amit.sharma@company.com</v>
      </c>
      <c r="AA345">
        <f t="shared" ca="1" si="42"/>
        <v>32</v>
      </c>
      <c r="AB345" t="str">
        <f t="shared" si="40"/>
        <v/>
      </c>
      <c r="AC345" t="str">
        <f t="shared" si="41"/>
        <v>Delayed</v>
      </c>
    </row>
    <row r="346" spans="1:29">
      <c r="A346" s="33" t="s">
        <v>930</v>
      </c>
      <c r="B346" s="5" t="s">
        <v>299</v>
      </c>
      <c r="C346" s="5" t="s">
        <v>280</v>
      </c>
      <c r="D346" s="6">
        <v>45785</v>
      </c>
      <c r="E346" s="5" t="s">
        <v>931</v>
      </c>
      <c r="F346" s="5" t="s">
        <v>301</v>
      </c>
      <c r="G346" s="5" t="s">
        <v>269</v>
      </c>
      <c r="H346" s="5" t="s">
        <v>932</v>
      </c>
      <c r="I346" s="5" t="s">
        <v>241</v>
      </c>
      <c r="J346" s="5" t="s">
        <v>242</v>
      </c>
      <c r="K346" s="5" t="s">
        <v>15</v>
      </c>
      <c r="L346" s="5" t="s">
        <v>282</v>
      </c>
      <c r="M346" s="5">
        <v>16</v>
      </c>
      <c r="N346" s="5">
        <v>3500</v>
      </c>
      <c r="O346" s="5">
        <v>0</v>
      </c>
      <c r="P346" s="5">
        <v>56000</v>
      </c>
      <c r="Q346" s="5">
        <v>4</v>
      </c>
      <c r="R346" s="5" t="s">
        <v>254</v>
      </c>
      <c r="S346" s="5" t="s">
        <v>292</v>
      </c>
      <c r="T346" s="5" t="s">
        <v>302</v>
      </c>
      <c r="U346" s="5">
        <v>9550820904</v>
      </c>
      <c r="V346" s="8" t="s">
        <v>257</v>
      </c>
      <c r="W346" t="str">
        <f t="shared" si="37"/>
        <v>Gold</v>
      </c>
      <c r="X346" t="str">
        <f t="shared" si="38"/>
        <v>Rohit Singh</v>
      </c>
      <c r="Y346" t="str">
        <f t="shared" si="36"/>
        <v>Roh003Be</v>
      </c>
      <c r="Z346" t="str">
        <f t="shared" si="39"/>
        <v>rohit.singh@company.com</v>
      </c>
      <c r="AA346" t="str">
        <f t="shared" ca="1" si="42"/>
        <v/>
      </c>
      <c r="AB346" t="str">
        <f t="shared" si="40"/>
        <v/>
      </c>
      <c r="AC346" t="str">
        <f t="shared" si="41"/>
        <v>Delayed</v>
      </c>
    </row>
    <row r="347" spans="1:29">
      <c r="A347" s="34" t="s">
        <v>933</v>
      </c>
      <c r="B347" s="10" t="s">
        <v>235</v>
      </c>
      <c r="C347" s="10" t="s">
        <v>280</v>
      </c>
      <c r="D347" s="10" t="s">
        <v>65</v>
      </c>
      <c r="E347" s="10" t="s">
        <v>139</v>
      </c>
      <c r="F347" s="10" t="s">
        <v>318</v>
      </c>
      <c r="G347" s="10" t="s">
        <v>239</v>
      </c>
      <c r="H347" s="11">
        <v>28369</v>
      </c>
      <c r="I347" s="10" t="s">
        <v>306</v>
      </c>
      <c r="J347" s="10" t="s">
        <v>287</v>
      </c>
      <c r="K347" s="10" t="s">
        <v>15</v>
      </c>
      <c r="L347" s="10" t="s">
        <v>282</v>
      </c>
      <c r="M347" s="10">
        <v>18</v>
      </c>
      <c r="N347" s="10">
        <v>3500</v>
      </c>
      <c r="O347" s="10">
        <v>15</v>
      </c>
      <c r="P347" s="10">
        <v>53550</v>
      </c>
      <c r="Q347" s="10">
        <v>5</v>
      </c>
      <c r="R347" s="10" t="s">
        <v>254</v>
      </c>
      <c r="S347" s="10" t="s">
        <v>312</v>
      </c>
      <c r="T347" s="10" t="s">
        <v>247</v>
      </c>
      <c r="U347" s="10">
        <v>9294486423</v>
      </c>
      <c r="V347" s="12" t="s">
        <v>265</v>
      </c>
      <c r="W347" t="str">
        <f t="shared" si="37"/>
        <v>Blacklisted</v>
      </c>
      <c r="X347" t="str">
        <f t="shared" si="38"/>
        <v>Pooja Shah</v>
      </c>
      <c r="Y347" t="str">
        <f t="shared" si="36"/>
        <v>Poo010Ah</v>
      </c>
      <c r="Z347" t="str">
        <f t="shared" si="39"/>
        <v>pooja.shah@company.com</v>
      </c>
      <c r="AA347" t="str">
        <f t="shared" ca="1" si="42"/>
        <v/>
      </c>
      <c r="AB347">
        <f t="shared" si="40"/>
        <v>7</v>
      </c>
      <c r="AC347" t="str">
        <f t="shared" si="41"/>
        <v>Delayed</v>
      </c>
    </row>
    <row r="348" spans="1:29">
      <c r="A348" s="33" t="s">
        <v>934</v>
      </c>
      <c r="B348" s="5" t="s">
        <v>249</v>
      </c>
      <c r="C348" s="5" t="s">
        <v>362</v>
      </c>
      <c r="D348" s="5" t="s">
        <v>100</v>
      </c>
      <c r="E348" s="5" t="s">
        <v>152</v>
      </c>
      <c r="F348" s="5" t="s">
        <v>251</v>
      </c>
      <c r="G348" s="5" t="s">
        <v>239</v>
      </c>
      <c r="H348" s="5" t="s">
        <v>935</v>
      </c>
      <c r="I348" s="5" t="s">
        <v>306</v>
      </c>
      <c r="J348" s="5" t="s">
        <v>287</v>
      </c>
      <c r="K348" s="5" t="s">
        <v>295</v>
      </c>
      <c r="L348" s="5" t="s">
        <v>363</v>
      </c>
      <c r="M348" s="5">
        <v>20</v>
      </c>
      <c r="N348" s="5">
        <v>45</v>
      </c>
      <c r="O348" s="5">
        <v>15</v>
      </c>
      <c r="P348" s="5">
        <v>765</v>
      </c>
      <c r="Q348" s="5">
        <v>4</v>
      </c>
      <c r="R348" s="5" t="s">
        <v>254</v>
      </c>
      <c r="S348" s="5" t="s">
        <v>312</v>
      </c>
      <c r="T348" s="5" t="s">
        <v>264</v>
      </c>
      <c r="U348" s="5">
        <v>9260258621</v>
      </c>
      <c r="V348" s="8" t="s">
        <v>265</v>
      </c>
      <c r="W348" t="str">
        <f t="shared" si="37"/>
        <v>Blacklisted</v>
      </c>
      <c r="X348" t="str">
        <f t="shared" si="38"/>
        <v>Kavya Nair</v>
      </c>
      <c r="Y348" t="str">
        <f t="shared" si="36"/>
        <v>Kav008Ah</v>
      </c>
      <c r="Z348" t="str">
        <f t="shared" si="39"/>
        <v>kavya.nair@company.com</v>
      </c>
      <c r="AA348">
        <f t="shared" ca="1" si="42"/>
        <v>49</v>
      </c>
      <c r="AB348">
        <f t="shared" si="40"/>
        <v>5</v>
      </c>
      <c r="AC348" t="str">
        <f t="shared" si="41"/>
        <v>On time</v>
      </c>
    </row>
    <row r="349" spans="1:29">
      <c r="A349" s="34" t="s">
        <v>936</v>
      </c>
      <c r="B349" s="10" t="s">
        <v>358</v>
      </c>
      <c r="C349" s="10" t="s">
        <v>250</v>
      </c>
      <c r="D349" s="10" t="s">
        <v>45</v>
      </c>
      <c r="E349" s="10" t="s">
        <v>78</v>
      </c>
      <c r="F349" s="10" t="s">
        <v>359</v>
      </c>
      <c r="G349" s="10" t="s">
        <v>239</v>
      </c>
      <c r="H349" s="11">
        <v>35553</v>
      </c>
      <c r="I349" s="10" t="s">
        <v>260</v>
      </c>
      <c r="J349" s="10" t="s">
        <v>261</v>
      </c>
      <c r="K349" s="10" t="s">
        <v>15</v>
      </c>
      <c r="L349" s="10" t="s">
        <v>253</v>
      </c>
      <c r="M349" s="10">
        <v>13</v>
      </c>
      <c r="N349" s="10">
        <v>2200</v>
      </c>
      <c r="O349" s="10">
        <v>15</v>
      </c>
      <c r="P349" s="10">
        <v>24310</v>
      </c>
      <c r="Q349" s="10">
        <v>2</v>
      </c>
      <c r="R349" s="10" t="s">
        <v>245</v>
      </c>
      <c r="S349" s="10" t="s">
        <v>292</v>
      </c>
      <c r="T349" s="10" t="s">
        <v>360</v>
      </c>
      <c r="U349" s="10">
        <v>9697433584</v>
      </c>
      <c r="V349" s="12" t="s">
        <v>248</v>
      </c>
      <c r="W349" t="str">
        <f t="shared" si="37"/>
        <v>Blacklisted</v>
      </c>
      <c r="X349" t="str">
        <f t="shared" si="38"/>
        <v>Sneha Joshi</v>
      </c>
      <c r="Y349" t="str">
        <f t="shared" si="36"/>
        <v>Sne006De</v>
      </c>
      <c r="Z349" t="str">
        <f t="shared" si="39"/>
        <v>sneha.joshi@company.com</v>
      </c>
      <c r="AA349" t="str">
        <f t="shared" ca="1" si="42"/>
        <v/>
      </c>
      <c r="AB349">
        <f t="shared" si="40"/>
        <v>3</v>
      </c>
      <c r="AC349" t="str">
        <f t="shared" si="41"/>
        <v>On time</v>
      </c>
    </row>
    <row r="350" spans="1:29">
      <c r="A350" s="33" t="s">
        <v>937</v>
      </c>
      <c r="B350" s="5" t="s">
        <v>235</v>
      </c>
      <c r="C350" s="5" t="s">
        <v>938</v>
      </c>
      <c r="D350" s="5" t="s">
        <v>20</v>
      </c>
      <c r="E350" s="5" t="s">
        <v>401</v>
      </c>
      <c r="F350" s="5" t="s">
        <v>318</v>
      </c>
      <c r="G350" s="5" t="s">
        <v>239</v>
      </c>
      <c r="H350" s="6">
        <v>37536</v>
      </c>
      <c r="I350" s="5" t="s">
        <v>379</v>
      </c>
      <c r="J350" s="5" t="s">
        <v>21</v>
      </c>
      <c r="K350" s="5" t="s">
        <v>15</v>
      </c>
      <c r="L350" s="5" t="s">
        <v>325</v>
      </c>
      <c r="M350" s="5">
        <v>11</v>
      </c>
      <c r="N350" s="5">
        <v>8500</v>
      </c>
      <c r="O350" s="5">
        <v>5</v>
      </c>
      <c r="P350" s="5">
        <v>88825</v>
      </c>
      <c r="Q350" s="5">
        <v>1</v>
      </c>
      <c r="R350" s="5" t="s">
        <v>277</v>
      </c>
      <c r="S350" s="5" t="s">
        <v>292</v>
      </c>
      <c r="T350" s="5" t="s">
        <v>247</v>
      </c>
      <c r="U350" s="5">
        <v>9837969758</v>
      </c>
      <c r="V350" s="8" t="s">
        <v>265</v>
      </c>
      <c r="W350" t="str">
        <f t="shared" si="37"/>
        <v>Blacklisted</v>
      </c>
      <c r="X350" t="str">
        <f t="shared" si="38"/>
        <v>Pooja Shah</v>
      </c>
      <c r="Y350" t="str">
        <f t="shared" si="36"/>
        <v>Poo010Ko</v>
      </c>
      <c r="Z350" t="str">
        <f t="shared" si="39"/>
        <v>pooja.shah@company.com</v>
      </c>
      <c r="AA350">
        <f t="shared" ca="1" si="42"/>
        <v>29</v>
      </c>
      <c r="AB350">
        <f t="shared" si="40"/>
        <v>1</v>
      </c>
      <c r="AC350" t="str">
        <f t="shared" si="41"/>
        <v>On time</v>
      </c>
    </row>
    <row r="351" spans="1:29">
      <c r="A351" s="34" t="s">
        <v>939</v>
      </c>
      <c r="B351" s="10" t="s">
        <v>235</v>
      </c>
      <c r="C351" s="10" t="s">
        <v>250</v>
      </c>
      <c r="D351" s="11">
        <v>45789</v>
      </c>
      <c r="E351" s="11">
        <v>45942</v>
      </c>
      <c r="F351" s="10" t="s">
        <v>318</v>
      </c>
      <c r="G351" s="10" t="s">
        <v>239</v>
      </c>
      <c r="H351" s="10" t="s">
        <v>940</v>
      </c>
      <c r="I351" s="10" t="s">
        <v>342</v>
      </c>
      <c r="J351" s="10" t="s">
        <v>261</v>
      </c>
      <c r="K351" s="10" t="s">
        <v>15</v>
      </c>
      <c r="L351" s="10" t="s">
        <v>253</v>
      </c>
      <c r="M351" s="10">
        <v>2</v>
      </c>
      <c r="N351" s="10">
        <v>2200</v>
      </c>
      <c r="O351" s="10">
        <v>0</v>
      </c>
      <c r="P351" s="10">
        <v>4400</v>
      </c>
      <c r="Q351" s="10">
        <v>4</v>
      </c>
      <c r="R351" s="10" t="s">
        <v>277</v>
      </c>
      <c r="S351" s="10" t="s">
        <v>312</v>
      </c>
      <c r="T351" s="10" t="s">
        <v>247</v>
      </c>
      <c r="U351" s="10">
        <v>9209736419</v>
      </c>
      <c r="V351" s="12" t="s">
        <v>248</v>
      </c>
      <c r="W351" t="str">
        <f t="shared" si="37"/>
        <v/>
      </c>
      <c r="X351" t="str">
        <f t="shared" si="38"/>
        <v>Pooja Shah</v>
      </c>
      <c r="Y351" t="str">
        <f t="shared" si="36"/>
        <v>Poo010Ja</v>
      </c>
      <c r="Z351" t="str">
        <f t="shared" si="39"/>
        <v>pooja.shah@company.com</v>
      </c>
      <c r="AA351">
        <f t="shared" ca="1" si="42"/>
        <v>24</v>
      </c>
      <c r="AB351" t="str">
        <f t="shared" si="40"/>
        <v/>
      </c>
      <c r="AC351" t="str">
        <f t="shared" si="41"/>
        <v>Delayed</v>
      </c>
    </row>
    <row r="352" spans="1:29">
      <c r="A352" s="33" t="s">
        <v>941</v>
      </c>
      <c r="B352" s="5" t="s">
        <v>275</v>
      </c>
      <c r="C352" s="5" t="s">
        <v>330</v>
      </c>
      <c r="D352" s="5" t="s">
        <v>198</v>
      </c>
      <c r="E352" s="6">
        <v>45755</v>
      </c>
      <c r="F352" s="5" t="s">
        <v>328</v>
      </c>
      <c r="G352" s="5" t="s">
        <v>269</v>
      </c>
      <c r="H352" s="6">
        <v>37628</v>
      </c>
      <c r="I352" s="5" t="s">
        <v>286</v>
      </c>
      <c r="J352" s="5" t="s">
        <v>287</v>
      </c>
      <c r="K352" s="5" t="s">
        <v>243</v>
      </c>
      <c r="L352" s="5" t="s">
        <v>333</v>
      </c>
      <c r="M352" s="5">
        <v>15</v>
      </c>
      <c r="N352" s="5">
        <v>700</v>
      </c>
      <c r="O352" s="5">
        <v>15</v>
      </c>
      <c r="P352" s="5">
        <v>8925</v>
      </c>
      <c r="Q352" s="5">
        <v>3</v>
      </c>
      <c r="R352" s="5" t="s">
        <v>245</v>
      </c>
      <c r="S352" s="5" t="s">
        <v>292</v>
      </c>
      <c r="T352" s="5" t="s">
        <v>278</v>
      </c>
      <c r="U352" s="5">
        <v>9645907237</v>
      </c>
      <c r="V352" s="8" t="s">
        <v>257</v>
      </c>
      <c r="W352" t="str">
        <f t="shared" si="37"/>
        <v>Silver</v>
      </c>
      <c r="X352" t="str">
        <f t="shared" si="38"/>
        <v>Arjun Rao</v>
      </c>
      <c r="Y352" t="str">
        <f t="shared" si="36"/>
        <v>Arj007Mu</v>
      </c>
      <c r="Z352" t="str">
        <f t="shared" si="39"/>
        <v>arjun.rao@company.com</v>
      </c>
      <c r="AA352" t="str">
        <f t="shared" ca="1" si="42"/>
        <v/>
      </c>
      <c r="AB352" t="str">
        <f t="shared" si="40"/>
        <v/>
      </c>
      <c r="AC352" t="str">
        <f t="shared" si="41"/>
        <v>Delayed</v>
      </c>
    </row>
    <row r="353" spans="1:29">
      <c r="A353" s="34" t="s">
        <v>942</v>
      </c>
      <c r="B353" s="10" t="s">
        <v>299</v>
      </c>
      <c r="C353" s="10" t="s">
        <v>250</v>
      </c>
      <c r="D353" s="10" t="s">
        <v>69</v>
      </c>
      <c r="E353" s="10" t="s">
        <v>604</v>
      </c>
      <c r="F353" s="10" t="s">
        <v>301</v>
      </c>
      <c r="G353" s="10" t="s">
        <v>269</v>
      </c>
      <c r="H353" s="10" t="s">
        <v>943</v>
      </c>
      <c r="I353" s="10" t="s">
        <v>306</v>
      </c>
      <c r="J353" s="10" t="s">
        <v>287</v>
      </c>
      <c r="K353" s="10" t="s">
        <v>15</v>
      </c>
      <c r="L353" s="10" t="s">
        <v>253</v>
      </c>
      <c r="M353" s="10">
        <v>5</v>
      </c>
      <c r="N353" s="10">
        <v>2200</v>
      </c>
      <c r="O353" s="10">
        <v>15</v>
      </c>
      <c r="P353" s="10">
        <v>9350</v>
      </c>
      <c r="Q353" s="10">
        <v>1</v>
      </c>
      <c r="R353" s="10" t="s">
        <v>245</v>
      </c>
      <c r="S353" s="10" t="s">
        <v>292</v>
      </c>
      <c r="T353" s="10" t="s">
        <v>302</v>
      </c>
      <c r="U353" s="10">
        <v>9566149945</v>
      </c>
      <c r="V353" s="12" t="s">
        <v>248</v>
      </c>
      <c r="W353" t="str">
        <f t="shared" si="37"/>
        <v>Blacklisted</v>
      </c>
      <c r="X353" t="str">
        <f t="shared" si="38"/>
        <v>Rohit Singh</v>
      </c>
      <c r="Y353" t="str">
        <f t="shared" si="36"/>
        <v>Roh003Ah</v>
      </c>
      <c r="Z353" t="str">
        <f t="shared" si="39"/>
        <v>rohit.singh@company.com</v>
      </c>
      <c r="AA353">
        <f t="shared" ca="1" si="42"/>
        <v>23</v>
      </c>
      <c r="AB353">
        <f t="shared" si="40"/>
        <v>6</v>
      </c>
      <c r="AC353" t="str">
        <f t="shared" si="41"/>
        <v>Delayed</v>
      </c>
    </row>
    <row r="354" spans="1:29">
      <c r="A354" s="33" t="s">
        <v>944</v>
      </c>
      <c r="B354" s="5" t="s">
        <v>275</v>
      </c>
      <c r="C354" s="5" t="s">
        <v>267</v>
      </c>
      <c r="D354" s="6">
        <v>46329</v>
      </c>
      <c r="E354" s="6">
        <v>46359</v>
      </c>
      <c r="F354" s="5" t="s">
        <v>328</v>
      </c>
      <c r="G354" s="5" t="s">
        <v>269</v>
      </c>
      <c r="H354" s="6">
        <v>32271</v>
      </c>
      <c r="I354" s="5" t="s">
        <v>306</v>
      </c>
      <c r="J354" s="5" t="s">
        <v>287</v>
      </c>
      <c r="K354" s="5" t="s">
        <v>243</v>
      </c>
      <c r="L354" s="5" t="s">
        <v>271</v>
      </c>
      <c r="M354" s="5">
        <v>15</v>
      </c>
      <c r="N354" s="5">
        <v>1200</v>
      </c>
      <c r="O354" s="5">
        <v>0</v>
      </c>
      <c r="P354" s="5">
        <v>18000</v>
      </c>
      <c r="Q354" s="5">
        <v>3</v>
      </c>
      <c r="R354" s="5" t="s">
        <v>245</v>
      </c>
      <c r="S354" s="5" t="s">
        <v>246</v>
      </c>
      <c r="T354" s="5" t="s">
        <v>278</v>
      </c>
      <c r="U354" s="5">
        <v>9935018068</v>
      </c>
      <c r="V354" s="8" t="s">
        <v>265</v>
      </c>
      <c r="W354" t="str">
        <f t="shared" si="37"/>
        <v>Blacklisted</v>
      </c>
      <c r="X354" t="str">
        <f t="shared" si="38"/>
        <v>Arjun Rao</v>
      </c>
      <c r="Y354" t="str">
        <f t="shared" si="36"/>
        <v>Arj007Ah</v>
      </c>
      <c r="Z354" t="str">
        <f t="shared" si="39"/>
        <v>arjun.rao@company.com</v>
      </c>
      <c r="AA354" t="str">
        <f t="shared" ca="1" si="42"/>
        <v/>
      </c>
      <c r="AB354" t="str">
        <f t="shared" si="40"/>
        <v/>
      </c>
      <c r="AC354" t="str">
        <f t="shared" si="41"/>
        <v>Delayed</v>
      </c>
    </row>
    <row r="355" spans="1:29">
      <c r="A355" s="34" t="s">
        <v>945</v>
      </c>
      <c r="B355" s="10" t="s">
        <v>358</v>
      </c>
      <c r="C355" s="10" t="s">
        <v>267</v>
      </c>
      <c r="D355" s="11">
        <v>46238</v>
      </c>
      <c r="E355" s="11">
        <v>46299</v>
      </c>
      <c r="F355" s="10" t="s">
        <v>359</v>
      </c>
      <c r="G355" s="10" t="s">
        <v>239</v>
      </c>
      <c r="H355" s="10" t="s">
        <v>946</v>
      </c>
      <c r="I355" s="10" t="s">
        <v>286</v>
      </c>
      <c r="J355" s="10" t="s">
        <v>287</v>
      </c>
      <c r="K355" s="10" t="s">
        <v>243</v>
      </c>
      <c r="L355" s="10" t="s">
        <v>271</v>
      </c>
      <c r="M355" s="10">
        <v>19</v>
      </c>
      <c r="N355" s="10">
        <v>1200</v>
      </c>
      <c r="O355" s="10">
        <v>0</v>
      </c>
      <c r="P355" s="10">
        <v>22800</v>
      </c>
      <c r="Q355" s="10">
        <v>1</v>
      </c>
      <c r="R355" s="10" t="s">
        <v>254</v>
      </c>
      <c r="S355" s="10" t="s">
        <v>263</v>
      </c>
      <c r="T355" s="10" t="s">
        <v>360</v>
      </c>
      <c r="U355" s="10">
        <v>9171794652</v>
      </c>
      <c r="V355" s="12" t="s">
        <v>265</v>
      </c>
      <c r="W355" t="str">
        <f t="shared" si="37"/>
        <v>Blacklisted</v>
      </c>
      <c r="X355" t="str">
        <f t="shared" si="38"/>
        <v>Sneha Joshi</v>
      </c>
      <c r="Y355" t="str">
        <f t="shared" si="36"/>
        <v>Sne006Mu</v>
      </c>
      <c r="Z355" t="str">
        <f t="shared" si="39"/>
        <v>sneha.joshi@company.com</v>
      </c>
      <c r="AA355">
        <f t="shared" ca="1" si="42"/>
        <v>38</v>
      </c>
      <c r="AB355" t="str">
        <f t="shared" si="40"/>
        <v/>
      </c>
      <c r="AC355" t="str">
        <f t="shared" si="41"/>
        <v>Delayed</v>
      </c>
    </row>
    <row r="356" spans="1:29">
      <c r="A356" s="33" t="s">
        <v>947</v>
      </c>
      <c r="B356" s="5" t="s">
        <v>321</v>
      </c>
      <c r="C356" s="5" t="s">
        <v>258</v>
      </c>
      <c r="D356" s="5" t="s">
        <v>70</v>
      </c>
      <c r="E356" s="5" t="s">
        <v>948</v>
      </c>
      <c r="F356" s="5" t="s">
        <v>408</v>
      </c>
      <c r="G356" s="5" t="s">
        <v>239</v>
      </c>
      <c r="H356" s="5" t="s">
        <v>949</v>
      </c>
      <c r="I356" s="5" t="s">
        <v>286</v>
      </c>
      <c r="J356" s="5" t="s">
        <v>287</v>
      </c>
      <c r="K356" s="5" t="s">
        <v>243</v>
      </c>
      <c r="L356" s="5" t="s">
        <v>262</v>
      </c>
      <c r="M356" s="5">
        <v>9</v>
      </c>
      <c r="N356" s="5">
        <v>12000</v>
      </c>
      <c r="O356" s="5">
        <v>15</v>
      </c>
      <c r="P356" s="5">
        <v>91800</v>
      </c>
      <c r="Q356" s="5">
        <v>3</v>
      </c>
      <c r="R356" s="5" t="s">
        <v>277</v>
      </c>
      <c r="S356" s="5" t="s">
        <v>263</v>
      </c>
      <c r="T356" s="5" t="s">
        <v>326</v>
      </c>
      <c r="U356" s="5">
        <v>9671497416</v>
      </c>
      <c r="V356" s="8" t="s">
        <v>265</v>
      </c>
      <c r="W356" t="str">
        <f t="shared" si="37"/>
        <v>Blacklisted</v>
      </c>
      <c r="X356" t="str">
        <f t="shared" si="38"/>
        <v>Anita Gupta</v>
      </c>
      <c r="Y356" t="str">
        <f t="shared" si="36"/>
        <v>Ani004Mu</v>
      </c>
      <c r="Z356" t="str">
        <f t="shared" si="39"/>
        <v>anita.gupta@company.com</v>
      </c>
      <c r="AA356" t="str">
        <f t="shared" ca="1" si="42"/>
        <v/>
      </c>
      <c r="AB356">
        <f t="shared" si="40"/>
        <v>7</v>
      </c>
      <c r="AC356" t="str">
        <f t="shared" si="41"/>
        <v>Delayed</v>
      </c>
    </row>
    <row r="357" spans="1:29">
      <c r="A357" s="34" t="s">
        <v>950</v>
      </c>
      <c r="B357" s="10" t="s">
        <v>249</v>
      </c>
      <c r="C357" s="10" t="s">
        <v>362</v>
      </c>
      <c r="D357" s="11">
        <v>45971</v>
      </c>
      <c r="E357" s="10" t="s">
        <v>105</v>
      </c>
      <c r="F357" s="10" t="s">
        <v>251</v>
      </c>
      <c r="G357" s="10" t="s">
        <v>239</v>
      </c>
      <c r="H357" s="10" t="s">
        <v>951</v>
      </c>
      <c r="I357" s="10" t="s">
        <v>342</v>
      </c>
      <c r="J357" s="10" t="s">
        <v>261</v>
      </c>
      <c r="K357" s="10" t="s">
        <v>295</v>
      </c>
      <c r="L357" s="10" t="s">
        <v>363</v>
      </c>
      <c r="M357" s="10">
        <v>5</v>
      </c>
      <c r="N357" s="10">
        <v>45</v>
      </c>
      <c r="O357" s="10">
        <v>5</v>
      </c>
      <c r="P357" s="10">
        <v>213.75</v>
      </c>
      <c r="Q357" s="10">
        <v>1</v>
      </c>
      <c r="R357" s="10" t="s">
        <v>272</v>
      </c>
      <c r="S357" s="10" t="s">
        <v>292</v>
      </c>
      <c r="T357" s="10" t="s">
        <v>264</v>
      </c>
      <c r="U357" s="10">
        <v>9810433484</v>
      </c>
      <c r="V357" s="12" t="s">
        <v>257</v>
      </c>
      <c r="W357" t="str">
        <f t="shared" si="37"/>
        <v>Blacklisted</v>
      </c>
      <c r="X357" t="str">
        <f t="shared" si="38"/>
        <v>Kavya Nair</v>
      </c>
      <c r="Y357" t="str">
        <f t="shared" si="36"/>
        <v>Kav008Ja</v>
      </c>
      <c r="Z357" t="str">
        <f t="shared" si="39"/>
        <v>kavya.nair@company.com</v>
      </c>
      <c r="AA357" t="str">
        <f t="shared" ca="1" si="42"/>
        <v/>
      </c>
      <c r="AB357" t="str">
        <f t="shared" si="40"/>
        <v/>
      </c>
      <c r="AC357" t="str">
        <f t="shared" si="41"/>
        <v>Delayed</v>
      </c>
    </row>
    <row r="358" spans="1:29">
      <c r="A358" s="33" t="s">
        <v>952</v>
      </c>
      <c r="B358" s="5" t="s">
        <v>358</v>
      </c>
      <c r="C358" s="5" t="s">
        <v>330</v>
      </c>
      <c r="D358" s="5" t="s">
        <v>4</v>
      </c>
      <c r="E358" s="6">
        <v>45963</v>
      </c>
      <c r="F358" s="5" t="s">
        <v>359</v>
      </c>
      <c r="G358" s="5" t="s">
        <v>239</v>
      </c>
      <c r="H358" s="6">
        <v>32792</v>
      </c>
      <c r="I358" s="5" t="s">
        <v>286</v>
      </c>
      <c r="J358" s="5" t="s">
        <v>287</v>
      </c>
      <c r="K358" s="5" t="s">
        <v>243</v>
      </c>
      <c r="L358" s="5" t="s">
        <v>333</v>
      </c>
      <c r="M358" s="5">
        <v>3</v>
      </c>
      <c r="N358" s="5">
        <v>700</v>
      </c>
      <c r="O358" s="5">
        <v>15</v>
      </c>
      <c r="P358" s="5">
        <v>1785</v>
      </c>
      <c r="Q358" s="5">
        <v>4</v>
      </c>
      <c r="R358" s="5" t="s">
        <v>254</v>
      </c>
      <c r="S358" s="5" t="s">
        <v>312</v>
      </c>
      <c r="T358" s="5" t="s">
        <v>360</v>
      </c>
      <c r="U358" s="5">
        <v>9990243436</v>
      </c>
      <c r="V358" s="8" t="s">
        <v>257</v>
      </c>
      <c r="W358" t="str">
        <f t="shared" si="37"/>
        <v>Silver</v>
      </c>
      <c r="X358" t="str">
        <f t="shared" si="38"/>
        <v>Sneha Joshi</v>
      </c>
      <c r="Y358" t="str">
        <f t="shared" si="36"/>
        <v>Sne006Mu</v>
      </c>
      <c r="Z358" t="str">
        <f t="shared" si="39"/>
        <v>sneha.joshi@company.com</v>
      </c>
      <c r="AA358" t="str">
        <f t="shared" ca="1" si="42"/>
        <v/>
      </c>
      <c r="AB358" t="str">
        <f t="shared" si="40"/>
        <v/>
      </c>
      <c r="AC358" t="str">
        <f t="shared" si="41"/>
        <v>Delayed</v>
      </c>
    </row>
    <row r="359" spans="1:29">
      <c r="A359" s="34" t="s">
        <v>953</v>
      </c>
      <c r="B359" s="10" t="s">
        <v>266</v>
      </c>
      <c r="C359" s="10" t="s">
        <v>322</v>
      </c>
      <c r="D359" s="10" t="s">
        <v>30</v>
      </c>
      <c r="E359" s="10" t="s">
        <v>159</v>
      </c>
      <c r="F359" s="10" t="s">
        <v>268</v>
      </c>
      <c r="G359" s="10" t="s">
        <v>269</v>
      </c>
      <c r="H359" s="11">
        <v>29289</v>
      </c>
      <c r="I359" s="10" t="s">
        <v>342</v>
      </c>
      <c r="J359" s="10" t="s">
        <v>261</v>
      </c>
      <c r="K359" s="10" t="s">
        <v>15</v>
      </c>
      <c r="L359" s="10" t="s">
        <v>325</v>
      </c>
      <c r="M359" s="10">
        <v>12</v>
      </c>
      <c r="N359" s="10">
        <v>8500</v>
      </c>
      <c r="O359" s="10">
        <v>5</v>
      </c>
      <c r="P359" s="10">
        <v>96900</v>
      </c>
      <c r="Q359" s="10">
        <v>3</v>
      </c>
      <c r="R359" s="10" t="s">
        <v>272</v>
      </c>
      <c r="S359" s="10" t="s">
        <v>246</v>
      </c>
      <c r="T359" s="10" t="s">
        <v>273</v>
      </c>
      <c r="U359" s="10">
        <v>9396678031</v>
      </c>
      <c r="V359" s="12" t="s">
        <v>248</v>
      </c>
      <c r="W359" t="str">
        <f t="shared" si="37"/>
        <v/>
      </c>
      <c r="X359" t="str">
        <f t="shared" si="38"/>
        <v>Mohit Verma</v>
      </c>
      <c r="Y359" t="str">
        <f t="shared" si="36"/>
        <v>Moh009Ja</v>
      </c>
      <c r="Z359" t="str">
        <f t="shared" si="39"/>
        <v>mohit.verma@company.com</v>
      </c>
      <c r="AA359">
        <f t="shared" ca="1" si="42"/>
        <v>37</v>
      </c>
      <c r="AB359">
        <f t="shared" si="40"/>
        <v>12</v>
      </c>
      <c r="AC359" t="str">
        <f t="shared" si="41"/>
        <v>Delayed</v>
      </c>
    </row>
    <row r="360" spans="1:29">
      <c r="A360" s="33" t="s">
        <v>954</v>
      </c>
      <c r="B360" s="5" t="s">
        <v>358</v>
      </c>
      <c r="C360" s="5" t="s">
        <v>322</v>
      </c>
      <c r="D360" s="6">
        <v>46330</v>
      </c>
      <c r="E360" s="5" t="s">
        <v>78</v>
      </c>
      <c r="F360" s="5" t="s">
        <v>359</v>
      </c>
      <c r="G360" s="5" t="s">
        <v>239</v>
      </c>
      <c r="H360" s="6">
        <v>29009</v>
      </c>
      <c r="I360" s="5" t="s">
        <v>291</v>
      </c>
      <c r="J360" s="5" t="s">
        <v>287</v>
      </c>
      <c r="K360" s="5" t="s">
        <v>15</v>
      </c>
      <c r="L360" s="5" t="s">
        <v>325</v>
      </c>
      <c r="M360" s="5">
        <v>4</v>
      </c>
      <c r="N360" s="5">
        <v>8500</v>
      </c>
      <c r="O360" s="5">
        <v>15</v>
      </c>
      <c r="P360" s="5">
        <v>28900</v>
      </c>
      <c r="Q360" s="5">
        <v>4</v>
      </c>
      <c r="R360" s="5" t="s">
        <v>245</v>
      </c>
      <c r="S360" s="5" t="s">
        <v>246</v>
      </c>
      <c r="T360" s="5" t="s">
        <v>360</v>
      </c>
      <c r="U360" s="5">
        <v>9818591245</v>
      </c>
      <c r="V360" s="8" t="s">
        <v>248</v>
      </c>
      <c r="W360" t="str">
        <f t="shared" si="37"/>
        <v/>
      </c>
      <c r="X360" t="str">
        <f t="shared" si="38"/>
        <v>Sneha Joshi</v>
      </c>
      <c r="Y360" t="str">
        <f t="shared" si="36"/>
        <v>Sne006Pu</v>
      </c>
      <c r="Z360" t="str">
        <f t="shared" si="39"/>
        <v>sneha.joshi@company.com</v>
      </c>
      <c r="AA360">
        <f t="shared" ca="1" si="42"/>
        <v>46</v>
      </c>
      <c r="AB360" t="str">
        <f t="shared" si="40"/>
        <v/>
      </c>
      <c r="AC360" t="str">
        <f t="shared" si="41"/>
        <v>Delayed</v>
      </c>
    </row>
    <row r="361" spans="1:29">
      <c r="A361" s="34" t="s">
        <v>955</v>
      </c>
      <c r="B361" s="10" t="s">
        <v>299</v>
      </c>
      <c r="C361" s="10" t="s">
        <v>347</v>
      </c>
      <c r="D361" s="10" t="s">
        <v>77</v>
      </c>
      <c r="E361" s="10" t="s">
        <v>110</v>
      </c>
      <c r="F361" s="10" t="s">
        <v>301</v>
      </c>
      <c r="G361" s="10" t="s">
        <v>269</v>
      </c>
      <c r="H361" s="11">
        <v>35164</v>
      </c>
      <c r="I361" s="10" t="s">
        <v>342</v>
      </c>
      <c r="J361" s="10" t="s">
        <v>261</v>
      </c>
      <c r="K361" s="10" t="s">
        <v>295</v>
      </c>
      <c r="L361" s="10" t="s">
        <v>349</v>
      </c>
      <c r="M361" s="10">
        <v>16</v>
      </c>
      <c r="N361" s="10">
        <v>20</v>
      </c>
      <c r="O361" s="10">
        <v>10</v>
      </c>
      <c r="P361" s="10">
        <v>288</v>
      </c>
      <c r="Q361" s="10">
        <v>4</v>
      </c>
      <c r="R361" s="10" t="s">
        <v>254</v>
      </c>
      <c r="S361" s="10" t="s">
        <v>292</v>
      </c>
      <c r="T361" s="10" t="s">
        <v>302</v>
      </c>
      <c r="U361" s="10">
        <v>9505550047</v>
      </c>
      <c r="V361" s="12" t="s">
        <v>265</v>
      </c>
      <c r="W361" t="str">
        <f t="shared" si="37"/>
        <v>Blacklisted</v>
      </c>
      <c r="X361" t="str">
        <f t="shared" si="38"/>
        <v>Rohit Singh</v>
      </c>
      <c r="Y361" t="str">
        <f t="shared" si="36"/>
        <v>Roh003Ja</v>
      </c>
      <c r="Z361" t="str">
        <f t="shared" si="39"/>
        <v>rohit.singh@company.com</v>
      </c>
      <c r="AA361">
        <f t="shared" ca="1" si="42"/>
        <v>47</v>
      </c>
      <c r="AB361">
        <f t="shared" si="40"/>
        <v>3</v>
      </c>
      <c r="AC361" t="str">
        <f t="shared" si="41"/>
        <v>On time</v>
      </c>
    </row>
    <row r="362" spans="1:29">
      <c r="A362" s="33" t="s">
        <v>956</v>
      </c>
      <c r="B362" s="5" t="s">
        <v>299</v>
      </c>
      <c r="C362" s="5" t="s">
        <v>294</v>
      </c>
      <c r="D362" s="6">
        <v>46300</v>
      </c>
      <c r="E362" s="5" t="s">
        <v>957</v>
      </c>
      <c r="F362" s="5" t="s">
        <v>301</v>
      </c>
      <c r="G362" s="5" t="s">
        <v>269</v>
      </c>
      <c r="H362" s="5" t="s">
        <v>958</v>
      </c>
      <c r="I362" s="5" t="s">
        <v>286</v>
      </c>
      <c r="J362" s="5" t="s">
        <v>287</v>
      </c>
      <c r="K362" s="5" t="s">
        <v>295</v>
      </c>
      <c r="L362" s="5" t="s">
        <v>296</v>
      </c>
      <c r="M362" s="5">
        <v>3</v>
      </c>
      <c r="N362" s="5">
        <v>60</v>
      </c>
      <c r="O362" s="5">
        <v>20</v>
      </c>
      <c r="P362" s="5">
        <v>144</v>
      </c>
      <c r="Q362" s="5">
        <v>4</v>
      </c>
      <c r="R362" s="5" t="s">
        <v>277</v>
      </c>
      <c r="S362" s="5" t="s">
        <v>312</v>
      </c>
      <c r="T362" s="5" t="s">
        <v>302</v>
      </c>
      <c r="U362" s="5">
        <v>9469828772</v>
      </c>
      <c r="V362" s="8" t="s">
        <v>248</v>
      </c>
      <c r="W362" t="str">
        <f t="shared" si="37"/>
        <v/>
      </c>
      <c r="X362" t="str">
        <f t="shared" si="38"/>
        <v>Rohit Singh</v>
      </c>
      <c r="Y362" t="str">
        <f t="shared" si="36"/>
        <v>Roh003Mu</v>
      </c>
      <c r="Z362" t="str">
        <f t="shared" si="39"/>
        <v>rohit.singh@company.com</v>
      </c>
      <c r="AA362">
        <f t="shared" ca="1" si="42"/>
        <v>30</v>
      </c>
      <c r="AB362" t="str">
        <f t="shared" si="40"/>
        <v/>
      </c>
      <c r="AC362" t="str">
        <f t="shared" si="41"/>
        <v>Delayed</v>
      </c>
    </row>
    <row r="363" spans="1:29">
      <c r="A363" s="34" t="s">
        <v>959</v>
      </c>
      <c r="B363" s="10" t="s">
        <v>266</v>
      </c>
      <c r="C363" s="10" t="s">
        <v>250</v>
      </c>
      <c r="D363" s="10" t="s">
        <v>93</v>
      </c>
      <c r="E363" s="10" t="s">
        <v>157</v>
      </c>
      <c r="F363" s="10" t="s">
        <v>268</v>
      </c>
      <c r="G363" s="10" t="s">
        <v>269</v>
      </c>
      <c r="H363" s="11">
        <v>30751</v>
      </c>
      <c r="I363" s="10" t="s">
        <v>286</v>
      </c>
      <c r="J363" s="10" t="s">
        <v>287</v>
      </c>
      <c r="K363" s="10" t="s">
        <v>15</v>
      </c>
      <c r="L363" s="10" t="s">
        <v>253</v>
      </c>
      <c r="M363" s="10">
        <v>19</v>
      </c>
      <c r="N363" s="10">
        <v>2200</v>
      </c>
      <c r="O363" s="10">
        <v>10</v>
      </c>
      <c r="P363" s="10">
        <v>37620</v>
      </c>
      <c r="Q363" s="10">
        <v>2</v>
      </c>
      <c r="R363" s="10" t="s">
        <v>254</v>
      </c>
      <c r="S363" s="10" t="s">
        <v>312</v>
      </c>
      <c r="T363" s="10" t="s">
        <v>273</v>
      </c>
      <c r="U363" s="10">
        <v>9885092680</v>
      </c>
      <c r="V363" s="12" t="s">
        <v>248</v>
      </c>
      <c r="W363" t="str">
        <f t="shared" si="37"/>
        <v>Blacklisted</v>
      </c>
      <c r="X363" t="str">
        <f t="shared" si="38"/>
        <v>Mohit Verma</v>
      </c>
      <c r="Y363" t="str">
        <f t="shared" si="36"/>
        <v>Moh009Mu</v>
      </c>
      <c r="Z363" t="str">
        <f t="shared" si="39"/>
        <v>mohit.verma@company.com</v>
      </c>
      <c r="AA363" t="str">
        <f t="shared" ca="1" si="42"/>
        <v/>
      </c>
      <c r="AB363">
        <f t="shared" si="40"/>
        <v>6</v>
      </c>
      <c r="AC363" t="str">
        <f t="shared" si="41"/>
        <v>Delayed</v>
      </c>
    </row>
    <row r="364" spans="1:29">
      <c r="A364" s="33" t="s">
        <v>960</v>
      </c>
      <c r="B364" s="5" t="s">
        <v>266</v>
      </c>
      <c r="C364" s="5" t="s">
        <v>267</v>
      </c>
      <c r="D364" s="5" t="s">
        <v>118</v>
      </c>
      <c r="E364" s="5" t="s">
        <v>161</v>
      </c>
      <c r="F364" s="5" t="s">
        <v>268</v>
      </c>
      <c r="G364" s="5" t="s">
        <v>269</v>
      </c>
      <c r="H364" s="6">
        <v>30932</v>
      </c>
      <c r="I364" s="5" t="s">
        <v>252</v>
      </c>
      <c r="J364" s="5" t="s">
        <v>242</v>
      </c>
      <c r="K364" s="5" t="s">
        <v>243</v>
      </c>
      <c r="L364" s="5" t="s">
        <v>271</v>
      </c>
      <c r="M364" s="5">
        <v>7</v>
      </c>
      <c r="N364" s="5">
        <v>1200</v>
      </c>
      <c r="O364" s="5">
        <v>20</v>
      </c>
      <c r="P364" s="5">
        <v>6720</v>
      </c>
      <c r="Q364" s="5">
        <v>3</v>
      </c>
      <c r="R364" s="5" t="s">
        <v>272</v>
      </c>
      <c r="S364" s="5" t="s">
        <v>292</v>
      </c>
      <c r="T364" s="5" t="s">
        <v>273</v>
      </c>
      <c r="U364" s="5">
        <v>9362319457</v>
      </c>
      <c r="V364" s="8" t="s">
        <v>265</v>
      </c>
      <c r="W364" t="str">
        <f t="shared" si="37"/>
        <v>Blacklisted</v>
      </c>
      <c r="X364" t="str">
        <f t="shared" si="38"/>
        <v>Mohit Verma</v>
      </c>
      <c r="Y364" t="str">
        <f t="shared" si="36"/>
        <v>Moh009Hy</v>
      </c>
      <c r="Z364" t="str">
        <f t="shared" si="39"/>
        <v>mohit.verma@company.com</v>
      </c>
      <c r="AA364">
        <f t="shared" ca="1" si="42"/>
        <v>42</v>
      </c>
      <c r="AB364">
        <f t="shared" si="40"/>
        <v>4</v>
      </c>
      <c r="AC364" t="str">
        <f t="shared" si="41"/>
        <v>On time</v>
      </c>
    </row>
    <row r="365" spans="1:29">
      <c r="A365" s="34" t="s">
        <v>961</v>
      </c>
      <c r="B365" s="10" t="s">
        <v>235</v>
      </c>
      <c r="C365" s="10" t="s">
        <v>347</v>
      </c>
      <c r="D365" s="10" t="s">
        <v>44</v>
      </c>
      <c r="E365" s="10" t="s">
        <v>100</v>
      </c>
      <c r="F365" s="10" t="s">
        <v>318</v>
      </c>
      <c r="G365" s="10" t="s">
        <v>239</v>
      </c>
      <c r="H365" s="11">
        <v>32784</v>
      </c>
      <c r="I365" s="10" t="s">
        <v>241</v>
      </c>
      <c r="J365" s="10" t="s">
        <v>242</v>
      </c>
      <c r="K365" s="10" t="s">
        <v>295</v>
      </c>
      <c r="L365" s="10" t="s">
        <v>349</v>
      </c>
      <c r="M365" s="10">
        <v>20</v>
      </c>
      <c r="N365" s="10">
        <v>20</v>
      </c>
      <c r="O365" s="10">
        <v>20</v>
      </c>
      <c r="P365" s="10">
        <v>320</v>
      </c>
      <c r="Q365" s="10">
        <v>5</v>
      </c>
      <c r="R365" s="10" t="s">
        <v>272</v>
      </c>
      <c r="S365" s="10" t="s">
        <v>292</v>
      </c>
      <c r="T365" s="10" t="s">
        <v>247</v>
      </c>
      <c r="U365" s="10">
        <v>9223945130</v>
      </c>
      <c r="V365" s="12" t="s">
        <v>248</v>
      </c>
      <c r="W365" t="str">
        <f t="shared" si="37"/>
        <v/>
      </c>
      <c r="X365" t="str">
        <f t="shared" si="38"/>
        <v>Pooja Shah</v>
      </c>
      <c r="Y365" t="str">
        <f t="shared" si="36"/>
        <v>Poo010Be</v>
      </c>
      <c r="Z365" t="str">
        <f t="shared" si="39"/>
        <v>pooja.shah@company.com</v>
      </c>
      <c r="AA365">
        <f t="shared" ca="1" si="42"/>
        <v>42</v>
      </c>
      <c r="AB365">
        <f t="shared" si="40"/>
        <v>5</v>
      </c>
      <c r="AC365" t="str">
        <f t="shared" si="41"/>
        <v>On time</v>
      </c>
    </row>
    <row r="366" spans="1:29">
      <c r="A366" s="33" t="s">
        <v>962</v>
      </c>
      <c r="B366" s="5" t="s">
        <v>284</v>
      </c>
      <c r="C366" s="5" t="s">
        <v>267</v>
      </c>
      <c r="D366" s="5" t="s">
        <v>196</v>
      </c>
      <c r="E366" s="6">
        <v>45843</v>
      </c>
      <c r="F366" s="5" t="s">
        <v>285</v>
      </c>
      <c r="G366" s="5" t="s">
        <v>239</v>
      </c>
      <c r="H366" s="5" t="s">
        <v>963</v>
      </c>
      <c r="I366" s="5" t="s">
        <v>252</v>
      </c>
      <c r="J366" s="5" t="s">
        <v>242</v>
      </c>
      <c r="K366" s="5" t="s">
        <v>243</v>
      </c>
      <c r="L366" s="5" t="s">
        <v>271</v>
      </c>
      <c r="M366" s="5">
        <v>19</v>
      </c>
      <c r="N366" s="5">
        <v>1200</v>
      </c>
      <c r="O366" s="5">
        <v>5</v>
      </c>
      <c r="P366" s="5">
        <v>21660</v>
      </c>
      <c r="Q366" s="5">
        <v>3</v>
      </c>
      <c r="R366" s="5" t="s">
        <v>272</v>
      </c>
      <c r="S366" s="5" t="s">
        <v>255</v>
      </c>
      <c r="T366" s="5" t="s">
        <v>308</v>
      </c>
      <c r="U366" s="5">
        <v>9910804926</v>
      </c>
      <c r="V366" s="8" t="s">
        <v>248</v>
      </c>
      <c r="W366" t="str">
        <f t="shared" si="37"/>
        <v/>
      </c>
      <c r="X366" t="str">
        <f t="shared" si="38"/>
        <v>Priya Patel</v>
      </c>
      <c r="Y366" t="str">
        <f t="shared" si="36"/>
        <v>Pri002Hy</v>
      </c>
      <c r="Z366" t="str">
        <f t="shared" si="39"/>
        <v>priya.patel@company.com</v>
      </c>
      <c r="AA366">
        <f t="shared" ca="1" si="42"/>
        <v>37</v>
      </c>
      <c r="AB366" t="str">
        <f t="shared" si="40"/>
        <v/>
      </c>
      <c r="AC366" t="str">
        <f t="shared" si="41"/>
        <v>Delayed</v>
      </c>
    </row>
    <row r="367" spans="1:29">
      <c r="A367" s="34" t="s">
        <v>964</v>
      </c>
      <c r="B367" s="10" t="s">
        <v>235</v>
      </c>
      <c r="C367" s="10" t="s">
        <v>347</v>
      </c>
      <c r="D367" s="11">
        <v>45718</v>
      </c>
      <c r="E367" s="10" t="s">
        <v>7</v>
      </c>
      <c r="F367" s="10" t="s">
        <v>318</v>
      </c>
      <c r="G367" s="10" t="s">
        <v>239</v>
      </c>
      <c r="H367" s="10" t="s">
        <v>965</v>
      </c>
      <c r="I367" s="10" t="s">
        <v>252</v>
      </c>
      <c r="J367" s="10" t="s">
        <v>242</v>
      </c>
      <c r="K367" s="10" t="s">
        <v>295</v>
      </c>
      <c r="L367" s="10" t="s">
        <v>349</v>
      </c>
      <c r="M367" s="10">
        <v>5</v>
      </c>
      <c r="N367" s="10">
        <v>20</v>
      </c>
      <c r="O367" s="10">
        <v>0</v>
      </c>
      <c r="P367" s="10">
        <v>100</v>
      </c>
      <c r="Q367" s="10">
        <v>2</v>
      </c>
      <c r="R367" s="10" t="s">
        <v>277</v>
      </c>
      <c r="S367" s="10" t="s">
        <v>263</v>
      </c>
      <c r="T367" s="10" t="s">
        <v>247</v>
      </c>
      <c r="U367" s="10">
        <v>9274269744</v>
      </c>
      <c r="V367" s="12" t="s">
        <v>248</v>
      </c>
      <c r="W367" t="str">
        <f t="shared" si="37"/>
        <v>Blacklisted</v>
      </c>
      <c r="X367" t="str">
        <f t="shared" si="38"/>
        <v>Pooja Shah</v>
      </c>
      <c r="Y367" t="str">
        <f t="shared" si="36"/>
        <v>Poo010Hy</v>
      </c>
      <c r="Z367" t="str">
        <f t="shared" si="39"/>
        <v>pooja.shah@company.com</v>
      </c>
      <c r="AA367" t="str">
        <f t="shared" ca="1" si="42"/>
        <v/>
      </c>
      <c r="AB367" t="str">
        <f t="shared" si="40"/>
        <v/>
      </c>
      <c r="AC367" t="str">
        <f t="shared" si="41"/>
        <v>Delayed</v>
      </c>
    </row>
    <row r="368" spans="1:29">
      <c r="A368" s="33" t="s">
        <v>966</v>
      </c>
      <c r="B368" s="5" t="s">
        <v>284</v>
      </c>
      <c r="C368" s="5" t="s">
        <v>362</v>
      </c>
      <c r="D368" s="6">
        <v>46206</v>
      </c>
      <c r="E368" s="5" t="s">
        <v>44</v>
      </c>
      <c r="F368" s="5" t="s">
        <v>285</v>
      </c>
      <c r="G368" s="5" t="s">
        <v>239</v>
      </c>
      <c r="H368" s="6">
        <v>30629</v>
      </c>
      <c r="I368" s="5" t="s">
        <v>342</v>
      </c>
      <c r="J368" s="5" t="s">
        <v>261</v>
      </c>
      <c r="K368" s="5" t="s">
        <v>295</v>
      </c>
      <c r="L368" s="5" t="s">
        <v>363</v>
      </c>
      <c r="M368" s="5">
        <v>16</v>
      </c>
      <c r="N368" s="5">
        <v>45</v>
      </c>
      <c r="O368" s="5">
        <v>15</v>
      </c>
      <c r="P368" s="5">
        <v>612</v>
      </c>
      <c r="Q368" s="5">
        <v>5</v>
      </c>
      <c r="R368" s="5" t="s">
        <v>254</v>
      </c>
      <c r="S368" s="5" t="s">
        <v>246</v>
      </c>
      <c r="T368" s="5" t="s">
        <v>308</v>
      </c>
      <c r="U368" s="5">
        <v>9223196101</v>
      </c>
      <c r="V368" s="8" t="s">
        <v>265</v>
      </c>
      <c r="W368" t="str">
        <f t="shared" si="37"/>
        <v>Blacklisted</v>
      </c>
      <c r="X368" t="str">
        <f t="shared" si="38"/>
        <v>Priya Patel</v>
      </c>
      <c r="Y368" t="str">
        <f t="shared" si="36"/>
        <v>Pri002Ja</v>
      </c>
      <c r="Z368" t="str">
        <f t="shared" si="39"/>
        <v>priya.patel@company.com</v>
      </c>
      <c r="AA368" t="str">
        <f t="shared" ca="1" si="42"/>
        <v/>
      </c>
      <c r="AB368" t="str">
        <f t="shared" si="40"/>
        <v/>
      </c>
      <c r="AC368" t="str">
        <f t="shared" si="41"/>
        <v>Delayed</v>
      </c>
    </row>
    <row r="369" spans="1:29">
      <c r="A369" s="34" t="s">
        <v>967</v>
      </c>
      <c r="B369" s="10" t="s">
        <v>249</v>
      </c>
      <c r="C369" s="10" t="s">
        <v>250</v>
      </c>
      <c r="D369" s="11">
        <v>45721</v>
      </c>
      <c r="E369" s="10" t="s">
        <v>34</v>
      </c>
      <c r="F369" s="10" t="s">
        <v>251</v>
      </c>
      <c r="G369" s="10" t="s">
        <v>239</v>
      </c>
      <c r="H369" s="11">
        <v>28070</v>
      </c>
      <c r="I369" s="10" t="s">
        <v>342</v>
      </c>
      <c r="J369" s="10" t="s">
        <v>261</v>
      </c>
      <c r="K369" s="10" t="s">
        <v>15</v>
      </c>
      <c r="L369" s="10" t="s">
        <v>253</v>
      </c>
      <c r="M369" s="10">
        <v>1</v>
      </c>
      <c r="N369" s="10">
        <v>2200</v>
      </c>
      <c r="O369" s="10">
        <v>10</v>
      </c>
      <c r="P369" s="10">
        <v>1980</v>
      </c>
      <c r="Q369" s="10">
        <v>5</v>
      </c>
      <c r="R369" s="10" t="s">
        <v>272</v>
      </c>
      <c r="S369" s="10" t="s">
        <v>263</v>
      </c>
      <c r="T369" s="10" t="s">
        <v>264</v>
      </c>
      <c r="U369" s="10">
        <v>9888477457</v>
      </c>
      <c r="V369" s="12" t="s">
        <v>257</v>
      </c>
      <c r="W369" t="str">
        <f t="shared" si="37"/>
        <v>Silver</v>
      </c>
      <c r="X369" t="str">
        <f t="shared" si="38"/>
        <v>Kavya Nair</v>
      </c>
      <c r="Y369" t="str">
        <f t="shared" si="36"/>
        <v>Kav008Ja</v>
      </c>
      <c r="Z369" t="str">
        <f t="shared" si="39"/>
        <v>kavya.nair@company.com</v>
      </c>
      <c r="AA369">
        <f t="shared" ca="1" si="42"/>
        <v>42</v>
      </c>
      <c r="AB369" t="str">
        <f t="shared" si="40"/>
        <v/>
      </c>
      <c r="AC369" t="str">
        <f t="shared" si="41"/>
        <v>Delayed</v>
      </c>
    </row>
    <row r="370" spans="1:29">
      <c r="A370" s="33" t="s">
        <v>968</v>
      </c>
      <c r="B370" s="5" t="s">
        <v>235</v>
      </c>
      <c r="C370" s="5" t="s">
        <v>294</v>
      </c>
      <c r="D370" s="6">
        <v>46026</v>
      </c>
      <c r="E370" s="6">
        <v>46146</v>
      </c>
      <c r="F370" s="5" t="s">
        <v>318</v>
      </c>
      <c r="G370" s="5" t="s">
        <v>239</v>
      </c>
      <c r="H370" s="6">
        <v>31868</v>
      </c>
      <c r="I370" s="5" t="s">
        <v>252</v>
      </c>
      <c r="J370" s="5" t="s">
        <v>242</v>
      </c>
      <c r="K370" s="5" t="s">
        <v>295</v>
      </c>
      <c r="L370" s="5" t="s">
        <v>296</v>
      </c>
      <c r="M370" s="5">
        <v>19</v>
      </c>
      <c r="N370" s="5">
        <v>60</v>
      </c>
      <c r="O370" s="5">
        <v>15</v>
      </c>
      <c r="P370" s="5">
        <v>969</v>
      </c>
      <c r="Q370" s="5">
        <v>4</v>
      </c>
      <c r="R370" s="5" t="s">
        <v>245</v>
      </c>
      <c r="S370" s="5" t="s">
        <v>292</v>
      </c>
      <c r="T370" s="5" t="s">
        <v>247</v>
      </c>
      <c r="U370" s="5">
        <v>9435947486</v>
      </c>
      <c r="V370" s="8" t="s">
        <v>265</v>
      </c>
      <c r="W370" t="str">
        <f t="shared" si="37"/>
        <v>Blacklisted</v>
      </c>
      <c r="X370" t="str">
        <f t="shared" si="38"/>
        <v>Pooja Shah</v>
      </c>
      <c r="Y370" t="str">
        <f t="shared" si="36"/>
        <v>Poo010Hy</v>
      </c>
      <c r="Z370" t="str">
        <f t="shared" si="39"/>
        <v>pooja.shah@company.com</v>
      </c>
      <c r="AA370">
        <f t="shared" ca="1" si="42"/>
        <v>49</v>
      </c>
      <c r="AB370" t="str">
        <f t="shared" si="40"/>
        <v/>
      </c>
      <c r="AC370" t="str">
        <f t="shared" si="41"/>
        <v>Delayed</v>
      </c>
    </row>
    <row r="371" spans="1:29">
      <c r="A371" s="34" t="s">
        <v>969</v>
      </c>
      <c r="B371" s="10" t="s">
        <v>392</v>
      </c>
      <c r="C371" s="10" t="s">
        <v>236</v>
      </c>
      <c r="D371" s="10"/>
      <c r="E371" s="11">
        <v>45690</v>
      </c>
      <c r="F371" s="10" t="s">
        <v>323</v>
      </c>
      <c r="G371" s="10" t="s">
        <v>269</v>
      </c>
      <c r="H371" s="10" t="s">
        <v>970</v>
      </c>
      <c r="I371" s="10" t="s">
        <v>260</v>
      </c>
      <c r="J371" s="10" t="s">
        <v>261</v>
      </c>
      <c r="K371" s="10" t="s">
        <v>243</v>
      </c>
      <c r="L371" s="10" t="s">
        <v>244</v>
      </c>
      <c r="M371" s="10">
        <v>15</v>
      </c>
      <c r="N371" s="10">
        <v>55000</v>
      </c>
      <c r="O371" s="10">
        <v>0</v>
      </c>
      <c r="P371" s="10">
        <v>825000</v>
      </c>
      <c r="Q371" s="10">
        <v>5</v>
      </c>
      <c r="R371" s="10" t="s">
        <v>272</v>
      </c>
      <c r="S371" s="10" t="s">
        <v>292</v>
      </c>
      <c r="T371" s="10" t="s">
        <v>395</v>
      </c>
      <c r="U371" s="10">
        <v>9411668831</v>
      </c>
      <c r="V371" s="12" t="s">
        <v>265</v>
      </c>
      <c r="W371" t="str">
        <f t="shared" si="37"/>
        <v>Blacklisted</v>
      </c>
      <c r="X371" t="str">
        <f t="shared" si="38"/>
        <v>Amit Sharma</v>
      </c>
      <c r="Y371" t="str">
        <f t="shared" si="36"/>
        <v>Ami001De</v>
      </c>
      <c r="Z371" t="str">
        <f t="shared" si="39"/>
        <v>amit.sharma@company.com</v>
      </c>
      <c r="AA371">
        <f t="shared" ca="1" si="42"/>
        <v>39</v>
      </c>
      <c r="AB371" t="str">
        <f t="shared" si="40"/>
        <v/>
      </c>
      <c r="AC371" t="str">
        <f t="shared" si="41"/>
        <v>Delayed</v>
      </c>
    </row>
    <row r="372" spans="1:29">
      <c r="A372" s="33" t="s">
        <v>971</v>
      </c>
      <c r="B372" s="5" t="s">
        <v>266</v>
      </c>
      <c r="C372" s="5" t="s">
        <v>362</v>
      </c>
      <c r="D372" s="6">
        <v>45818</v>
      </c>
      <c r="E372" s="6">
        <v>45879</v>
      </c>
      <c r="F372" s="5" t="s">
        <v>268</v>
      </c>
      <c r="G372" s="5" t="s">
        <v>269</v>
      </c>
      <c r="H372" s="6">
        <v>32572</v>
      </c>
      <c r="I372" s="5" t="s">
        <v>241</v>
      </c>
      <c r="J372" s="5" t="s">
        <v>242</v>
      </c>
      <c r="K372" s="5" t="s">
        <v>295</v>
      </c>
      <c r="L372" s="5" t="s">
        <v>363</v>
      </c>
      <c r="M372" s="5">
        <v>11</v>
      </c>
      <c r="N372" s="5">
        <v>45</v>
      </c>
      <c r="O372" s="5">
        <v>5</v>
      </c>
      <c r="P372" s="5">
        <v>470.25</v>
      </c>
      <c r="Q372" s="5">
        <v>5</v>
      </c>
      <c r="R372" s="5" t="s">
        <v>245</v>
      </c>
      <c r="S372" s="5" t="s">
        <v>312</v>
      </c>
      <c r="T372" s="5" t="s">
        <v>273</v>
      </c>
      <c r="U372" s="5">
        <v>9523682403</v>
      </c>
      <c r="V372" s="8" t="s">
        <v>257</v>
      </c>
      <c r="W372" t="str">
        <f t="shared" si="37"/>
        <v>Silver</v>
      </c>
      <c r="X372" t="str">
        <f t="shared" si="38"/>
        <v>Mohit Verma</v>
      </c>
      <c r="Y372" t="str">
        <f t="shared" ref="Y372:Y435" si="43">LEFT(F372,3)&amp;MID(B372,2,3)&amp;LEFT(I372,2)</f>
        <v>Moh009Be</v>
      </c>
      <c r="Z372" t="str">
        <f t="shared" si="39"/>
        <v>mohit.verma@company.com</v>
      </c>
      <c r="AA372" t="str">
        <f t="shared" ca="1" si="42"/>
        <v/>
      </c>
      <c r="AB372" t="str">
        <f t="shared" si="40"/>
        <v/>
      </c>
      <c r="AC372" t="str">
        <f t="shared" si="41"/>
        <v>Delayed</v>
      </c>
    </row>
    <row r="373" spans="1:29">
      <c r="A373" s="34" t="s">
        <v>972</v>
      </c>
      <c r="B373" s="10" t="s">
        <v>358</v>
      </c>
      <c r="C373" s="10" t="s">
        <v>347</v>
      </c>
      <c r="D373" s="11">
        <v>45997</v>
      </c>
      <c r="E373" s="10" t="s">
        <v>973</v>
      </c>
      <c r="F373" s="10" t="s">
        <v>359</v>
      </c>
      <c r="G373" s="10" t="s">
        <v>239</v>
      </c>
      <c r="H373" s="10" t="s">
        <v>974</v>
      </c>
      <c r="I373" s="10" t="s">
        <v>342</v>
      </c>
      <c r="J373" s="10" t="s">
        <v>261</v>
      </c>
      <c r="K373" s="10" t="s">
        <v>295</v>
      </c>
      <c r="L373" s="10" t="s">
        <v>349</v>
      </c>
      <c r="M373" s="10">
        <v>9</v>
      </c>
      <c r="N373" s="10">
        <v>20</v>
      </c>
      <c r="O373" s="10">
        <v>10</v>
      </c>
      <c r="P373" s="10">
        <v>162</v>
      </c>
      <c r="Q373" s="10">
        <v>1</v>
      </c>
      <c r="R373" s="10" t="s">
        <v>272</v>
      </c>
      <c r="S373" s="10" t="s">
        <v>263</v>
      </c>
      <c r="T373" s="10" t="s">
        <v>360</v>
      </c>
      <c r="U373" s="10">
        <v>9652936744</v>
      </c>
      <c r="V373" s="12" t="s">
        <v>265</v>
      </c>
      <c r="W373" t="str">
        <f t="shared" si="37"/>
        <v>Blacklisted</v>
      </c>
      <c r="X373" t="str">
        <f t="shared" si="38"/>
        <v>Sneha Joshi</v>
      </c>
      <c r="Y373" t="str">
        <f t="shared" si="43"/>
        <v>Sne006Ja</v>
      </c>
      <c r="Z373" t="str">
        <f t="shared" si="39"/>
        <v>sneha.joshi@company.com</v>
      </c>
      <c r="AA373">
        <f t="shared" ca="1" si="42"/>
        <v>37</v>
      </c>
      <c r="AB373" t="str">
        <f t="shared" si="40"/>
        <v/>
      </c>
      <c r="AC373" t="str">
        <f t="shared" si="41"/>
        <v>Delayed</v>
      </c>
    </row>
    <row r="374" spans="1:29">
      <c r="A374" s="33" t="s">
        <v>975</v>
      </c>
      <c r="B374" s="5" t="s">
        <v>321</v>
      </c>
      <c r="C374" s="5" t="s">
        <v>362</v>
      </c>
      <c r="D374" s="5" t="s">
        <v>72</v>
      </c>
      <c r="E374" s="5" t="s">
        <v>670</v>
      </c>
      <c r="F374" s="5" t="s">
        <v>408</v>
      </c>
      <c r="G374" s="5" t="s">
        <v>239</v>
      </c>
      <c r="H374" s="6">
        <v>34949</v>
      </c>
      <c r="I374" s="5" t="s">
        <v>241</v>
      </c>
      <c r="J374" s="5" t="s">
        <v>242</v>
      </c>
      <c r="K374" s="5" t="s">
        <v>295</v>
      </c>
      <c r="L374" s="5" t="s">
        <v>363</v>
      </c>
      <c r="M374" s="5">
        <v>5</v>
      </c>
      <c r="N374" s="5">
        <v>45</v>
      </c>
      <c r="O374" s="5">
        <v>5</v>
      </c>
      <c r="P374" s="5">
        <v>213.75</v>
      </c>
      <c r="Q374" s="5">
        <v>3</v>
      </c>
      <c r="R374" s="5" t="s">
        <v>272</v>
      </c>
      <c r="S374" s="5" t="s">
        <v>292</v>
      </c>
      <c r="T374" s="5" t="s">
        <v>326</v>
      </c>
      <c r="U374" s="5">
        <v>9726464733</v>
      </c>
      <c r="V374" s="8" t="s">
        <v>248</v>
      </c>
      <c r="W374" t="str">
        <f t="shared" si="37"/>
        <v/>
      </c>
      <c r="X374" t="str">
        <f t="shared" si="38"/>
        <v>Anita Gupta</v>
      </c>
      <c r="Y374" t="str">
        <f t="shared" si="43"/>
        <v>Ani004Be</v>
      </c>
      <c r="Z374" t="str">
        <f t="shared" si="39"/>
        <v>anita.gupta@company.com</v>
      </c>
      <c r="AA374" t="str">
        <f t="shared" ca="1" si="42"/>
        <v/>
      </c>
      <c r="AB374">
        <f t="shared" si="40"/>
        <v>2</v>
      </c>
      <c r="AC374" t="str">
        <f t="shared" si="41"/>
        <v>On time</v>
      </c>
    </row>
    <row r="375" spans="1:29">
      <c r="A375" s="34" t="s">
        <v>976</v>
      </c>
      <c r="B375" s="10" t="s">
        <v>275</v>
      </c>
      <c r="C375" s="10" t="s">
        <v>330</v>
      </c>
      <c r="D375" s="11">
        <v>45668</v>
      </c>
      <c r="E375" s="11">
        <v>45699</v>
      </c>
      <c r="F375" s="10" t="s">
        <v>328</v>
      </c>
      <c r="G375" s="10" t="s">
        <v>269</v>
      </c>
      <c r="H375" s="10" t="s">
        <v>977</v>
      </c>
      <c r="I375" s="10" t="s">
        <v>252</v>
      </c>
      <c r="J375" s="10" t="s">
        <v>242</v>
      </c>
      <c r="K375" s="10" t="s">
        <v>243</v>
      </c>
      <c r="L375" s="10" t="s">
        <v>333</v>
      </c>
      <c r="M375" s="10">
        <v>5</v>
      </c>
      <c r="N375" s="10">
        <v>700</v>
      </c>
      <c r="O375" s="10">
        <v>10</v>
      </c>
      <c r="P375" s="10">
        <v>3150</v>
      </c>
      <c r="Q375" s="10">
        <v>2</v>
      </c>
      <c r="R375" s="10" t="s">
        <v>277</v>
      </c>
      <c r="S375" s="10" t="s">
        <v>263</v>
      </c>
      <c r="T375" s="10" t="s">
        <v>278</v>
      </c>
      <c r="U375" s="10">
        <v>9273520544</v>
      </c>
      <c r="V375" s="12" t="s">
        <v>257</v>
      </c>
      <c r="W375" t="str">
        <f t="shared" si="37"/>
        <v>Blacklisted</v>
      </c>
      <c r="X375" t="str">
        <f t="shared" si="38"/>
        <v>Arjun Rao</v>
      </c>
      <c r="Y375" t="str">
        <f t="shared" si="43"/>
        <v>Arj007Hy</v>
      </c>
      <c r="Z375" t="str">
        <f t="shared" si="39"/>
        <v>arjun.rao@company.com</v>
      </c>
      <c r="AA375">
        <f t="shared" ca="1" si="42"/>
        <v>31</v>
      </c>
      <c r="AB375" t="str">
        <f t="shared" si="40"/>
        <v/>
      </c>
      <c r="AC375" t="str">
        <f t="shared" si="41"/>
        <v>Delayed</v>
      </c>
    </row>
    <row r="376" spans="1:29">
      <c r="A376" s="33" t="s">
        <v>978</v>
      </c>
      <c r="B376" s="5" t="s">
        <v>346</v>
      </c>
      <c r="C376" s="5" t="s">
        <v>330</v>
      </c>
      <c r="D376" s="5" t="s">
        <v>128</v>
      </c>
      <c r="E376" s="5" t="s">
        <v>201</v>
      </c>
      <c r="F376" s="5" t="s">
        <v>348</v>
      </c>
      <c r="G376" s="5" t="s">
        <v>269</v>
      </c>
      <c r="H376" s="5" t="s">
        <v>979</v>
      </c>
      <c r="I376" s="5" t="s">
        <v>379</v>
      </c>
      <c r="J376" s="5" t="s">
        <v>21</v>
      </c>
      <c r="K376" s="5" t="s">
        <v>243</v>
      </c>
      <c r="L376" s="5" t="s">
        <v>333</v>
      </c>
      <c r="M376" s="5">
        <v>1</v>
      </c>
      <c r="N376" s="5">
        <v>700</v>
      </c>
      <c r="O376" s="5">
        <v>0</v>
      </c>
      <c r="P376" s="5">
        <v>700</v>
      </c>
      <c r="Q376" s="5">
        <v>1</v>
      </c>
      <c r="R376" s="5" t="s">
        <v>277</v>
      </c>
      <c r="S376" s="5" t="s">
        <v>312</v>
      </c>
      <c r="T376" s="5" t="s">
        <v>350</v>
      </c>
      <c r="U376" s="5">
        <v>9374259988</v>
      </c>
      <c r="V376" s="8" t="s">
        <v>257</v>
      </c>
      <c r="W376" t="str">
        <f t="shared" si="37"/>
        <v>Blacklisted</v>
      </c>
      <c r="X376" t="str">
        <f t="shared" si="38"/>
        <v>Vikas Mehta</v>
      </c>
      <c r="Y376" t="str">
        <f t="shared" si="43"/>
        <v>Vik005Ko</v>
      </c>
      <c r="Z376" t="str">
        <f t="shared" si="39"/>
        <v>vikas.mehta@company.com</v>
      </c>
      <c r="AA376" t="str">
        <f t="shared" ca="1" si="42"/>
        <v/>
      </c>
      <c r="AB376">
        <f t="shared" si="40"/>
        <v>7</v>
      </c>
      <c r="AC376" t="str">
        <f t="shared" si="41"/>
        <v>Delayed</v>
      </c>
    </row>
    <row r="377" spans="1:29">
      <c r="A377" s="34" t="s">
        <v>980</v>
      </c>
      <c r="B377" s="10" t="s">
        <v>249</v>
      </c>
      <c r="C377" s="10" t="s">
        <v>330</v>
      </c>
      <c r="D377" s="10" t="s">
        <v>9</v>
      </c>
      <c r="E377" s="10" t="s">
        <v>99</v>
      </c>
      <c r="F377" s="10" t="s">
        <v>251</v>
      </c>
      <c r="G377" s="10" t="s">
        <v>239</v>
      </c>
      <c r="H377" s="10" t="s">
        <v>981</v>
      </c>
      <c r="I377" s="10" t="s">
        <v>286</v>
      </c>
      <c r="J377" s="10" t="s">
        <v>287</v>
      </c>
      <c r="K377" s="10" t="s">
        <v>243</v>
      </c>
      <c r="L377" s="10" t="s">
        <v>333</v>
      </c>
      <c r="M377" s="10">
        <v>13</v>
      </c>
      <c r="N377" s="10">
        <v>700</v>
      </c>
      <c r="O377" s="10">
        <v>20</v>
      </c>
      <c r="P377" s="10">
        <v>7280</v>
      </c>
      <c r="Q377" s="10">
        <v>2</v>
      </c>
      <c r="R377" s="10" t="s">
        <v>272</v>
      </c>
      <c r="S377" s="10" t="s">
        <v>255</v>
      </c>
      <c r="T377" s="10" t="s">
        <v>264</v>
      </c>
      <c r="U377" s="10">
        <v>9538129419</v>
      </c>
      <c r="V377" s="12" t="s">
        <v>257</v>
      </c>
      <c r="W377" t="str">
        <f t="shared" si="37"/>
        <v>Blacklisted</v>
      </c>
      <c r="X377" t="str">
        <f t="shared" si="38"/>
        <v>Kavya Nair</v>
      </c>
      <c r="Y377" t="str">
        <f t="shared" si="43"/>
        <v>Kav008Mu</v>
      </c>
      <c r="Z377" t="str">
        <f t="shared" si="39"/>
        <v>kavya.nair@company.com</v>
      </c>
      <c r="AA377" t="str">
        <f t="shared" ca="1" si="42"/>
        <v/>
      </c>
      <c r="AB377">
        <f t="shared" si="40"/>
        <v>8</v>
      </c>
      <c r="AC377" t="str">
        <f t="shared" si="41"/>
        <v>Delayed</v>
      </c>
    </row>
    <row r="378" spans="1:29">
      <c r="A378" s="33" t="s">
        <v>982</v>
      </c>
      <c r="B378" s="5" t="s">
        <v>266</v>
      </c>
      <c r="C378" s="5" t="s">
        <v>258</v>
      </c>
      <c r="D378" s="6">
        <v>45871</v>
      </c>
      <c r="E378" s="5" t="s">
        <v>75</v>
      </c>
      <c r="F378" s="5" t="s">
        <v>268</v>
      </c>
      <c r="G378" s="5" t="s">
        <v>269</v>
      </c>
      <c r="H378" s="5" t="s">
        <v>983</v>
      </c>
      <c r="I378" s="5" t="s">
        <v>291</v>
      </c>
      <c r="J378" s="5" t="s">
        <v>287</v>
      </c>
      <c r="K378" s="5" t="s">
        <v>243</v>
      </c>
      <c r="L378" s="5" t="s">
        <v>262</v>
      </c>
      <c r="M378" s="5">
        <v>20</v>
      </c>
      <c r="N378" s="5">
        <v>12000</v>
      </c>
      <c r="O378" s="5">
        <v>0</v>
      </c>
      <c r="P378" s="5">
        <v>240000</v>
      </c>
      <c r="Q378" s="5">
        <v>2</v>
      </c>
      <c r="R378" s="5" t="s">
        <v>272</v>
      </c>
      <c r="S378" s="5" t="s">
        <v>292</v>
      </c>
      <c r="T378" s="5" t="s">
        <v>273</v>
      </c>
      <c r="U378" s="5">
        <v>9382815686</v>
      </c>
      <c r="V378" s="8" t="s">
        <v>257</v>
      </c>
      <c r="W378" t="str">
        <f t="shared" si="37"/>
        <v>Blacklisted</v>
      </c>
      <c r="X378" t="str">
        <f t="shared" si="38"/>
        <v>Mohit Verma</v>
      </c>
      <c r="Y378" t="str">
        <f t="shared" si="43"/>
        <v>Moh009Pu</v>
      </c>
      <c r="Z378" t="str">
        <f t="shared" si="39"/>
        <v>mohit.verma@company.com</v>
      </c>
      <c r="AA378" t="str">
        <f t="shared" ca="1" si="42"/>
        <v/>
      </c>
      <c r="AB378" t="str">
        <f t="shared" si="40"/>
        <v/>
      </c>
      <c r="AC378" t="str">
        <f t="shared" si="41"/>
        <v>Delayed</v>
      </c>
    </row>
    <row r="379" spans="1:29">
      <c r="A379" s="34" t="s">
        <v>984</v>
      </c>
      <c r="B379" s="10" t="s">
        <v>275</v>
      </c>
      <c r="C379" s="10" t="s">
        <v>267</v>
      </c>
      <c r="D379" s="10" t="s">
        <v>183</v>
      </c>
      <c r="E379" s="11">
        <v>46174</v>
      </c>
      <c r="F379" s="10" t="s">
        <v>328</v>
      </c>
      <c r="G379" s="10" t="s">
        <v>269</v>
      </c>
      <c r="H379" s="10" t="s">
        <v>985</v>
      </c>
      <c r="I379" s="10" t="s">
        <v>379</v>
      </c>
      <c r="J379" s="10" t="s">
        <v>21</v>
      </c>
      <c r="K379" s="10" t="s">
        <v>243</v>
      </c>
      <c r="L379" s="10" t="s">
        <v>271</v>
      </c>
      <c r="M379" s="10">
        <v>9</v>
      </c>
      <c r="N379" s="10">
        <v>1200</v>
      </c>
      <c r="O379" s="10">
        <v>15</v>
      </c>
      <c r="P379" s="10">
        <v>9180</v>
      </c>
      <c r="Q379" s="10">
        <v>1</v>
      </c>
      <c r="R379" s="10" t="s">
        <v>277</v>
      </c>
      <c r="S379" s="10" t="s">
        <v>255</v>
      </c>
      <c r="T379" s="10" t="s">
        <v>278</v>
      </c>
      <c r="U379" s="10">
        <v>9450746157</v>
      </c>
      <c r="V379" s="12" t="s">
        <v>248</v>
      </c>
      <c r="W379" t="str">
        <f t="shared" si="37"/>
        <v>Blacklisted</v>
      </c>
      <c r="X379" t="str">
        <f t="shared" si="38"/>
        <v>Arjun Rao</v>
      </c>
      <c r="Y379" t="str">
        <f t="shared" si="43"/>
        <v>Arj007Ko</v>
      </c>
      <c r="Z379" t="str">
        <f t="shared" si="39"/>
        <v>arjun.rao@company.com</v>
      </c>
      <c r="AA379" t="str">
        <f t="shared" ca="1" si="42"/>
        <v/>
      </c>
      <c r="AB379" t="str">
        <f t="shared" si="40"/>
        <v/>
      </c>
      <c r="AC379" t="str">
        <f t="shared" si="41"/>
        <v>Delayed</v>
      </c>
    </row>
    <row r="380" spans="1:29">
      <c r="A380" s="33" t="s">
        <v>986</v>
      </c>
      <c r="B380" s="5" t="s">
        <v>275</v>
      </c>
      <c r="C380" s="5" t="s">
        <v>347</v>
      </c>
      <c r="D380" s="6">
        <v>45667</v>
      </c>
      <c r="E380" s="6">
        <v>45726</v>
      </c>
      <c r="F380" s="5" t="s">
        <v>328</v>
      </c>
      <c r="G380" s="5" t="s">
        <v>269</v>
      </c>
      <c r="H380" s="5" t="s">
        <v>987</v>
      </c>
      <c r="I380" s="5" t="s">
        <v>342</v>
      </c>
      <c r="J380" s="5" t="s">
        <v>261</v>
      </c>
      <c r="K380" s="5" t="s">
        <v>295</v>
      </c>
      <c r="L380" s="5" t="s">
        <v>349</v>
      </c>
      <c r="M380" s="5">
        <v>3</v>
      </c>
      <c r="N380" s="5">
        <v>20</v>
      </c>
      <c r="O380" s="5">
        <v>15</v>
      </c>
      <c r="P380" s="5">
        <v>51</v>
      </c>
      <c r="Q380" s="5">
        <v>3</v>
      </c>
      <c r="R380" s="5" t="s">
        <v>254</v>
      </c>
      <c r="S380" s="5" t="s">
        <v>292</v>
      </c>
      <c r="T380" s="5" t="s">
        <v>278</v>
      </c>
      <c r="U380" s="5">
        <v>9349012570</v>
      </c>
      <c r="V380" s="8" t="s">
        <v>248</v>
      </c>
      <c r="W380" t="str">
        <f t="shared" si="37"/>
        <v/>
      </c>
      <c r="X380" t="str">
        <f t="shared" si="38"/>
        <v>Arjun Rao</v>
      </c>
      <c r="Y380" t="str">
        <f t="shared" si="43"/>
        <v>Arj007Ja</v>
      </c>
      <c r="Z380" t="str">
        <f t="shared" si="39"/>
        <v>arjun.rao@company.com</v>
      </c>
      <c r="AA380" t="str">
        <f t="shared" ca="1" si="42"/>
        <v/>
      </c>
      <c r="AB380" t="str">
        <f t="shared" si="40"/>
        <v/>
      </c>
      <c r="AC380" t="str">
        <f t="shared" si="41"/>
        <v>Delayed</v>
      </c>
    </row>
    <row r="381" spans="1:29">
      <c r="A381" s="34" t="s">
        <v>988</v>
      </c>
      <c r="B381" s="10" t="s">
        <v>358</v>
      </c>
      <c r="C381" s="10" t="s">
        <v>236</v>
      </c>
      <c r="D381" s="10" t="s">
        <v>73</v>
      </c>
      <c r="E381" s="10" t="s">
        <v>448</v>
      </c>
      <c r="F381" s="10" t="s">
        <v>359</v>
      </c>
      <c r="G381" s="10" t="s">
        <v>239</v>
      </c>
      <c r="H381" s="10" t="s">
        <v>989</v>
      </c>
      <c r="I381" s="10" t="s">
        <v>260</v>
      </c>
      <c r="J381" s="10" t="s">
        <v>261</v>
      </c>
      <c r="K381" s="10" t="s">
        <v>243</v>
      </c>
      <c r="L381" s="10" t="s">
        <v>244</v>
      </c>
      <c r="M381" s="10">
        <v>8</v>
      </c>
      <c r="N381" s="10">
        <v>55000</v>
      </c>
      <c r="O381" s="10">
        <v>20</v>
      </c>
      <c r="P381" s="10">
        <v>352000</v>
      </c>
      <c r="Q381" s="10">
        <v>5</v>
      </c>
      <c r="R381" s="10" t="s">
        <v>272</v>
      </c>
      <c r="S381" s="10" t="s">
        <v>312</v>
      </c>
      <c r="T381" s="10" t="s">
        <v>360</v>
      </c>
      <c r="U381" s="10">
        <v>9442163790</v>
      </c>
      <c r="V381" s="12" t="s">
        <v>248</v>
      </c>
      <c r="W381" t="str">
        <f t="shared" si="37"/>
        <v/>
      </c>
      <c r="X381" t="str">
        <f t="shared" si="38"/>
        <v>Sneha Joshi</v>
      </c>
      <c r="Y381" t="str">
        <f t="shared" si="43"/>
        <v>Sne006De</v>
      </c>
      <c r="Z381" t="str">
        <f t="shared" si="39"/>
        <v>sneha.joshi@company.com</v>
      </c>
      <c r="AA381" t="str">
        <f t="shared" ca="1" si="42"/>
        <v/>
      </c>
      <c r="AB381">
        <f t="shared" si="40"/>
        <v>1</v>
      </c>
      <c r="AC381" t="str">
        <f t="shared" si="41"/>
        <v>On time</v>
      </c>
    </row>
    <row r="382" spans="1:29">
      <c r="A382" s="33" t="s">
        <v>990</v>
      </c>
      <c r="B382" s="5" t="s">
        <v>358</v>
      </c>
      <c r="C382" s="5" t="s">
        <v>294</v>
      </c>
      <c r="D382" s="5" t="s">
        <v>190</v>
      </c>
      <c r="E382" s="6">
        <v>45848</v>
      </c>
      <c r="F382" s="5" t="s">
        <v>359</v>
      </c>
      <c r="G382" s="5" t="s">
        <v>239</v>
      </c>
      <c r="H382" s="5" t="s">
        <v>991</v>
      </c>
      <c r="I382" s="5" t="s">
        <v>260</v>
      </c>
      <c r="J382" s="5" t="s">
        <v>261</v>
      </c>
      <c r="K382" s="5" t="s">
        <v>295</v>
      </c>
      <c r="L382" s="5" t="s">
        <v>296</v>
      </c>
      <c r="M382" s="5">
        <v>17</v>
      </c>
      <c r="N382" s="5">
        <v>60</v>
      </c>
      <c r="O382" s="5">
        <v>20</v>
      </c>
      <c r="P382" s="5">
        <v>816</v>
      </c>
      <c r="Q382" s="5">
        <v>1</v>
      </c>
      <c r="R382" s="5" t="s">
        <v>277</v>
      </c>
      <c r="S382" s="5" t="s">
        <v>255</v>
      </c>
      <c r="T382" s="5" t="s">
        <v>360</v>
      </c>
      <c r="U382" s="5">
        <v>9953329223</v>
      </c>
      <c r="V382" s="8" t="s">
        <v>248</v>
      </c>
      <c r="W382" t="str">
        <f t="shared" si="37"/>
        <v>Blacklisted</v>
      </c>
      <c r="X382" t="str">
        <f t="shared" si="38"/>
        <v>Sneha Joshi</v>
      </c>
      <c r="Y382" t="str">
        <f t="shared" si="43"/>
        <v>Sne006De</v>
      </c>
      <c r="Z382" t="str">
        <f t="shared" si="39"/>
        <v>sneha.joshi@company.com</v>
      </c>
      <c r="AA382" t="str">
        <f t="shared" ca="1" si="42"/>
        <v/>
      </c>
      <c r="AB382" t="str">
        <f t="shared" si="40"/>
        <v/>
      </c>
      <c r="AC382" t="str">
        <f t="shared" si="41"/>
        <v>Delayed</v>
      </c>
    </row>
    <row r="383" spans="1:29">
      <c r="A383" s="34" t="s">
        <v>992</v>
      </c>
      <c r="B383" s="10" t="s">
        <v>299</v>
      </c>
      <c r="C383" s="10" t="s">
        <v>347</v>
      </c>
      <c r="D383" s="10" t="s">
        <v>27</v>
      </c>
      <c r="E383" s="10" t="s">
        <v>112</v>
      </c>
      <c r="F383" s="10" t="s">
        <v>301</v>
      </c>
      <c r="G383" s="10" t="s">
        <v>269</v>
      </c>
      <c r="H383" s="11">
        <v>30957</v>
      </c>
      <c r="I383" s="10" t="s">
        <v>241</v>
      </c>
      <c r="J383" s="10" t="s">
        <v>242</v>
      </c>
      <c r="K383" s="10" t="s">
        <v>295</v>
      </c>
      <c r="L383" s="10" t="s">
        <v>349</v>
      </c>
      <c r="M383" s="10">
        <v>4</v>
      </c>
      <c r="N383" s="10">
        <v>20</v>
      </c>
      <c r="O383" s="10">
        <v>15</v>
      </c>
      <c r="P383" s="10">
        <v>68</v>
      </c>
      <c r="Q383" s="10">
        <v>3</v>
      </c>
      <c r="R383" s="10" t="s">
        <v>245</v>
      </c>
      <c r="S383" s="10" t="s">
        <v>246</v>
      </c>
      <c r="T383" s="10" t="s">
        <v>302</v>
      </c>
      <c r="U383" s="10">
        <v>9202321359</v>
      </c>
      <c r="V383" s="12" t="s">
        <v>248</v>
      </c>
      <c r="W383" t="str">
        <f t="shared" si="37"/>
        <v/>
      </c>
      <c r="X383" t="str">
        <f t="shared" si="38"/>
        <v>Rohit Singh</v>
      </c>
      <c r="Y383" t="str">
        <f t="shared" si="43"/>
        <v>Roh003Be</v>
      </c>
      <c r="Z383" t="str">
        <f t="shared" si="39"/>
        <v>rohit.singh@company.com</v>
      </c>
      <c r="AA383" t="str">
        <f t="shared" ca="1" si="42"/>
        <v/>
      </c>
      <c r="AB383">
        <f t="shared" si="40"/>
        <v>8</v>
      </c>
      <c r="AC383" t="str">
        <f t="shared" si="41"/>
        <v>Delayed</v>
      </c>
    </row>
    <row r="384" spans="1:29">
      <c r="A384" s="33" t="s">
        <v>993</v>
      </c>
      <c r="B384" s="5" t="s">
        <v>299</v>
      </c>
      <c r="C384" s="5" t="s">
        <v>250</v>
      </c>
      <c r="D384" s="6">
        <v>45661</v>
      </c>
      <c r="E384" s="6">
        <v>45965</v>
      </c>
      <c r="F384" s="5" t="s">
        <v>301</v>
      </c>
      <c r="G384" s="5" t="s">
        <v>269</v>
      </c>
      <c r="H384" s="6">
        <v>37291</v>
      </c>
      <c r="I384" s="5" t="s">
        <v>379</v>
      </c>
      <c r="J384" s="5" t="s">
        <v>21</v>
      </c>
      <c r="K384" s="5" t="s">
        <v>15</v>
      </c>
      <c r="L384" s="5" t="s">
        <v>253</v>
      </c>
      <c r="M384" s="5">
        <v>2</v>
      </c>
      <c r="N384" s="5">
        <v>2200</v>
      </c>
      <c r="O384" s="5">
        <v>10</v>
      </c>
      <c r="P384" s="5">
        <v>3960</v>
      </c>
      <c r="Q384" s="5">
        <v>2</v>
      </c>
      <c r="R384" s="5" t="s">
        <v>277</v>
      </c>
      <c r="S384" s="5" t="s">
        <v>263</v>
      </c>
      <c r="T384" s="5" t="s">
        <v>302</v>
      </c>
      <c r="U384" s="5">
        <v>9812564160</v>
      </c>
      <c r="V384" s="8" t="s">
        <v>248</v>
      </c>
      <c r="W384" t="str">
        <f t="shared" si="37"/>
        <v>Blacklisted</v>
      </c>
      <c r="X384" t="str">
        <f t="shared" si="38"/>
        <v>Rohit Singh</v>
      </c>
      <c r="Y384" t="str">
        <f t="shared" si="43"/>
        <v>Roh003Ko</v>
      </c>
      <c r="Z384" t="str">
        <f t="shared" si="39"/>
        <v>rohit.singh@company.com</v>
      </c>
      <c r="AA384">
        <f t="shared" ca="1" si="42"/>
        <v>42</v>
      </c>
      <c r="AB384" t="str">
        <f t="shared" si="40"/>
        <v/>
      </c>
      <c r="AC384" t="str">
        <f t="shared" si="41"/>
        <v>Delayed</v>
      </c>
    </row>
    <row r="385" spans="1:29">
      <c r="A385" s="34" t="s">
        <v>994</v>
      </c>
      <c r="B385" s="10" t="s">
        <v>346</v>
      </c>
      <c r="C385" s="10" t="s">
        <v>294</v>
      </c>
      <c r="D385" s="11">
        <v>45842</v>
      </c>
      <c r="E385" s="10" t="s">
        <v>67</v>
      </c>
      <c r="F385" s="10" t="s">
        <v>348</v>
      </c>
      <c r="G385" s="10" t="s">
        <v>269</v>
      </c>
      <c r="H385" s="10" t="s">
        <v>995</v>
      </c>
      <c r="I385" s="10" t="s">
        <v>241</v>
      </c>
      <c r="J385" s="10" t="s">
        <v>242</v>
      </c>
      <c r="K385" s="10" t="s">
        <v>295</v>
      </c>
      <c r="L385" s="10" t="s">
        <v>296</v>
      </c>
      <c r="M385" s="10">
        <v>5</v>
      </c>
      <c r="N385" s="10">
        <v>60</v>
      </c>
      <c r="O385" s="10">
        <v>5</v>
      </c>
      <c r="P385" s="10">
        <v>285</v>
      </c>
      <c r="Q385" s="10">
        <v>1</v>
      </c>
      <c r="R385" s="10" t="s">
        <v>277</v>
      </c>
      <c r="S385" s="10" t="s">
        <v>255</v>
      </c>
      <c r="T385" s="10" t="s">
        <v>350</v>
      </c>
      <c r="U385" s="10">
        <v>9688458222</v>
      </c>
      <c r="V385" s="12" t="s">
        <v>265</v>
      </c>
      <c r="W385" t="str">
        <f t="shared" si="37"/>
        <v>Blacklisted</v>
      </c>
      <c r="X385" t="str">
        <f t="shared" si="38"/>
        <v>Vikas Mehta</v>
      </c>
      <c r="Y385" t="str">
        <f t="shared" si="43"/>
        <v>Vik005Be</v>
      </c>
      <c r="Z385" t="str">
        <f t="shared" si="39"/>
        <v>vikas.mehta@company.com</v>
      </c>
      <c r="AA385">
        <f t="shared" ca="1" si="42"/>
        <v>24</v>
      </c>
      <c r="AB385" t="str">
        <f t="shared" si="40"/>
        <v/>
      </c>
      <c r="AC385" t="str">
        <f t="shared" si="41"/>
        <v>Delayed</v>
      </c>
    </row>
    <row r="386" spans="1:29">
      <c r="A386" s="33" t="s">
        <v>996</v>
      </c>
      <c r="B386" s="5" t="s">
        <v>299</v>
      </c>
      <c r="C386" s="5" t="s">
        <v>250</v>
      </c>
      <c r="D386" s="5" t="s">
        <v>76</v>
      </c>
      <c r="E386" s="5" t="s">
        <v>997</v>
      </c>
      <c r="F386" s="5" t="s">
        <v>301</v>
      </c>
      <c r="G386" s="5" t="s">
        <v>269</v>
      </c>
      <c r="H386" s="6">
        <v>33399</v>
      </c>
      <c r="I386" s="5" t="s">
        <v>260</v>
      </c>
      <c r="J386" s="5" t="s">
        <v>261</v>
      </c>
      <c r="K386" s="5" t="s">
        <v>15</v>
      </c>
      <c r="L386" s="5" t="s">
        <v>253</v>
      </c>
      <c r="M386" s="5">
        <v>17</v>
      </c>
      <c r="N386" s="5">
        <v>2200</v>
      </c>
      <c r="O386" s="5">
        <v>0</v>
      </c>
      <c r="P386" s="5">
        <v>37400</v>
      </c>
      <c r="Q386" s="5">
        <v>2</v>
      </c>
      <c r="R386" s="5" t="s">
        <v>277</v>
      </c>
      <c r="S386" s="5" t="s">
        <v>312</v>
      </c>
      <c r="T386" s="5" t="s">
        <v>302</v>
      </c>
      <c r="U386" s="5">
        <v>9634473337</v>
      </c>
      <c r="V386" s="8" t="s">
        <v>265</v>
      </c>
      <c r="W386" t="str">
        <f t="shared" si="37"/>
        <v>Blacklisted</v>
      </c>
      <c r="X386" t="str">
        <f t="shared" si="38"/>
        <v>Rohit Singh</v>
      </c>
      <c r="Y386" t="str">
        <f t="shared" si="43"/>
        <v>Roh003De</v>
      </c>
      <c r="Z386" t="str">
        <f t="shared" si="39"/>
        <v>rohit.singh@company.com</v>
      </c>
      <c r="AA386" t="str">
        <f t="shared" ca="1" si="42"/>
        <v/>
      </c>
      <c r="AB386">
        <f t="shared" si="40"/>
        <v>4</v>
      </c>
      <c r="AC386" t="str">
        <f t="shared" si="41"/>
        <v>On time</v>
      </c>
    </row>
    <row r="387" spans="1:29">
      <c r="A387" s="34" t="s">
        <v>998</v>
      </c>
      <c r="B387" s="10" t="s">
        <v>321</v>
      </c>
      <c r="C387" s="10" t="s">
        <v>294</v>
      </c>
      <c r="D387" s="11">
        <v>45759</v>
      </c>
      <c r="E387" s="11">
        <v>45973</v>
      </c>
      <c r="F387" s="10" t="s">
        <v>408</v>
      </c>
      <c r="G387" s="10" t="s">
        <v>239</v>
      </c>
      <c r="H387" s="11">
        <v>30803</v>
      </c>
      <c r="I387" s="10" t="s">
        <v>306</v>
      </c>
      <c r="J387" s="10" t="s">
        <v>287</v>
      </c>
      <c r="K387" s="10" t="s">
        <v>295</v>
      </c>
      <c r="L387" s="10" t="s">
        <v>296</v>
      </c>
      <c r="M387" s="10">
        <v>7</v>
      </c>
      <c r="N387" s="10">
        <v>60</v>
      </c>
      <c r="O387" s="10">
        <v>0</v>
      </c>
      <c r="P387" s="10">
        <v>420</v>
      </c>
      <c r="Q387" s="10">
        <v>2</v>
      </c>
      <c r="R387" s="10" t="s">
        <v>277</v>
      </c>
      <c r="S387" s="10" t="s">
        <v>246</v>
      </c>
      <c r="T387" s="10" t="s">
        <v>326</v>
      </c>
      <c r="U387" s="10">
        <v>9608737026</v>
      </c>
      <c r="V387" s="12" t="s">
        <v>248</v>
      </c>
      <c r="W387" t="str">
        <f t="shared" ref="W387:W450" si="44">IF(OR(Q387&lt;=2,V387="Cancelled"),"Blacklisted",IF(AND(P387&gt;100000,Q387&gt;=4,O387&lt;=10%,V387="Completed"),"Platinum",IF(AND(P387&gt;=50000,Q387&gt;=3,V387="Completed"),"Gold",IF(AND(P387&lt;50000,V387="Completed"),"Silver",""))))</f>
        <v>Blacklisted</v>
      </c>
      <c r="X387" t="str">
        <f t="shared" ref="X387:X450" si="45">PROPER(TRIM(F387))</f>
        <v>Anita Gupta</v>
      </c>
      <c r="Y387" t="str">
        <f t="shared" si="43"/>
        <v>Ani004Ah</v>
      </c>
      <c r="Z387" t="str">
        <f t="shared" ref="Z387:Z450" si="46">IF(ISNUMBER(SEARCH("@",T387)),LOWER(TRIM(T387)),"invalid email")</f>
        <v>anita.gupta@company.com</v>
      </c>
      <c r="AA387">
        <f t="shared" ca="1" si="42"/>
        <v>35</v>
      </c>
      <c r="AB387" t="str">
        <f t="shared" ref="AB387:AB450" si="47">IF(OR(D387="",E387=""),"",IFERROR(DATE(MID(E387,7,4),MID(E387,4,2),LEFT(E387,2))-DATE(MID(D387,7,4),MID(D387,4,2),LEFT(D387,2)),""))</f>
        <v/>
      </c>
      <c r="AC387" t="str">
        <f t="shared" ref="AC387:AC450" si="48">IF(E387="","Pending",IF(AB387&lt;=5,"On time","Delayed"))</f>
        <v>Delayed</v>
      </c>
    </row>
    <row r="388" spans="1:29">
      <c r="A388" s="33" t="s">
        <v>999</v>
      </c>
      <c r="B388" s="5" t="s">
        <v>346</v>
      </c>
      <c r="C388" s="5" t="s">
        <v>236</v>
      </c>
      <c r="D388" s="5" t="s">
        <v>95</v>
      </c>
      <c r="E388" s="5" t="s">
        <v>1000</v>
      </c>
      <c r="F388" s="5" t="s">
        <v>348</v>
      </c>
      <c r="G388" s="5" t="s">
        <v>269</v>
      </c>
      <c r="H388" s="6">
        <v>27731</v>
      </c>
      <c r="I388" s="5" t="s">
        <v>252</v>
      </c>
      <c r="J388" s="5" t="s">
        <v>242</v>
      </c>
      <c r="K388" s="5" t="s">
        <v>243</v>
      </c>
      <c r="L388" s="5" t="s">
        <v>244</v>
      </c>
      <c r="M388" s="5">
        <v>6</v>
      </c>
      <c r="N388" s="5">
        <v>55000</v>
      </c>
      <c r="O388" s="5">
        <v>5</v>
      </c>
      <c r="P388" s="5">
        <v>313500</v>
      </c>
      <c r="Q388" s="5">
        <v>4</v>
      </c>
      <c r="R388" s="5" t="s">
        <v>272</v>
      </c>
      <c r="S388" s="5" t="s">
        <v>246</v>
      </c>
      <c r="T388" s="5" t="s">
        <v>350</v>
      </c>
      <c r="U388" s="5">
        <v>9804498139</v>
      </c>
      <c r="V388" s="8" t="s">
        <v>257</v>
      </c>
      <c r="W388" t="str">
        <f t="shared" si="44"/>
        <v>Gold</v>
      </c>
      <c r="X388" t="str">
        <f t="shared" si="45"/>
        <v>Vikas Mehta</v>
      </c>
      <c r="Y388" t="str">
        <f t="shared" si="43"/>
        <v>Vik005Hy</v>
      </c>
      <c r="Z388" t="str">
        <f t="shared" si="46"/>
        <v>vikas.mehta@company.com</v>
      </c>
      <c r="AA388">
        <f t="shared" ref="AA388:AA451" ca="1" si="49">IF(H387="","",IFERROR(DATEDIF(IF(ISNUMBER(H387),H387,DATE(VALUE(RIGHT(H387,4)),VALUE(MID(H387,3,2)),VALUE(LEFT(H387,2)))),TODAY(),"Y"),""))</f>
        <v>42</v>
      </c>
      <c r="AB388">
        <f t="shared" si="47"/>
        <v>4</v>
      </c>
      <c r="AC388" t="str">
        <f t="shared" si="48"/>
        <v>On time</v>
      </c>
    </row>
    <row r="389" spans="1:29">
      <c r="A389" s="34" t="s">
        <v>1001</v>
      </c>
      <c r="B389" s="10" t="s">
        <v>266</v>
      </c>
      <c r="C389" s="10" t="s">
        <v>347</v>
      </c>
      <c r="D389" s="10" t="s">
        <v>97</v>
      </c>
      <c r="E389" s="10" t="s">
        <v>1002</v>
      </c>
      <c r="F389" s="10" t="s">
        <v>268</v>
      </c>
      <c r="G389" s="10" t="s">
        <v>269</v>
      </c>
      <c r="H389" s="10" t="s">
        <v>1003</v>
      </c>
      <c r="I389" s="10" t="s">
        <v>252</v>
      </c>
      <c r="J389" s="10" t="s">
        <v>242</v>
      </c>
      <c r="K389" s="10" t="s">
        <v>295</v>
      </c>
      <c r="L389" s="10" t="s">
        <v>349</v>
      </c>
      <c r="M389" s="10">
        <v>16</v>
      </c>
      <c r="N389" s="10">
        <v>20</v>
      </c>
      <c r="O389" s="10">
        <v>5</v>
      </c>
      <c r="P389" s="10">
        <v>304</v>
      </c>
      <c r="Q389" s="10">
        <v>1</v>
      </c>
      <c r="R389" s="10" t="s">
        <v>272</v>
      </c>
      <c r="S389" s="10" t="s">
        <v>263</v>
      </c>
      <c r="T389" s="10" t="s">
        <v>273</v>
      </c>
      <c r="U389" s="10">
        <v>9798643580</v>
      </c>
      <c r="V389" s="12" t="s">
        <v>257</v>
      </c>
      <c r="W389" t="str">
        <f t="shared" si="44"/>
        <v>Blacklisted</v>
      </c>
      <c r="X389" t="str">
        <f t="shared" si="45"/>
        <v>Mohit Verma</v>
      </c>
      <c r="Y389" t="str">
        <f t="shared" si="43"/>
        <v>Moh009Hy</v>
      </c>
      <c r="Z389" t="str">
        <f t="shared" si="46"/>
        <v>mohit.verma@company.com</v>
      </c>
      <c r="AA389">
        <f t="shared" ca="1" si="49"/>
        <v>50</v>
      </c>
      <c r="AB389">
        <f t="shared" si="47"/>
        <v>4</v>
      </c>
      <c r="AC389" t="str">
        <f t="shared" si="48"/>
        <v>On time</v>
      </c>
    </row>
    <row r="390" spans="1:29">
      <c r="A390" s="33" t="s">
        <v>1004</v>
      </c>
      <c r="B390" s="5" t="s">
        <v>249</v>
      </c>
      <c r="C390" s="5" t="s">
        <v>250</v>
      </c>
      <c r="D390" s="5" t="s">
        <v>137</v>
      </c>
      <c r="E390" s="5" t="s">
        <v>173</v>
      </c>
      <c r="F390" s="5" t="s">
        <v>251</v>
      </c>
      <c r="G390" s="5" t="s">
        <v>239</v>
      </c>
      <c r="H390" s="5" t="s">
        <v>1005</v>
      </c>
      <c r="I390" s="5" t="s">
        <v>379</v>
      </c>
      <c r="J390" s="5" t="s">
        <v>21</v>
      </c>
      <c r="K390" s="5" t="s">
        <v>15</v>
      </c>
      <c r="L390" s="5" t="s">
        <v>253</v>
      </c>
      <c r="M390" s="5">
        <v>11</v>
      </c>
      <c r="N390" s="5">
        <v>2200</v>
      </c>
      <c r="O390" s="5">
        <v>15</v>
      </c>
      <c r="P390" s="5">
        <v>20570</v>
      </c>
      <c r="Q390" s="5">
        <v>1</v>
      </c>
      <c r="R390" s="5" t="s">
        <v>245</v>
      </c>
      <c r="S390" s="5" t="s">
        <v>292</v>
      </c>
      <c r="T390" s="5" t="s">
        <v>264</v>
      </c>
      <c r="U390" s="5">
        <v>9809823278</v>
      </c>
      <c r="V390" s="8" t="s">
        <v>265</v>
      </c>
      <c r="W390" t="str">
        <f t="shared" si="44"/>
        <v>Blacklisted</v>
      </c>
      <c r="X390" t="str">
        <f t="shared" si="45"/>
        <v>Kavya Nair</v>
      </c>
      <c r="Y390" t="str">
        <f t="shared" si="43"/>
        <v>Kav008Ko</v>
      </c>
      <c r="Z390" t="str">
        <f t="shared" si="46"/>
        <v>kavya.nair@company.com</v>
      </c>
      <c r="AA390" t="str">
        <f t="shared" ca="1" si="49"/>
        <v/>
      </c>
      <c r="AB390">
        <f t="shared" si="47"/>
        <v>3</v>
      </c>
      <c r="AC390" t="str">
        <f t="shared" si="48"/>
        <v>On time</v>
      </c>
    </row>
    <row r="391" spans="1:29">
      <c r="A391" s="34" t="s">
        <v>1006</v>
      </c>
      <c r="B391" s="10" t="s">
        <v>284</v>
      </c>
      <c r="C391" s="10" t="s">
        <v>347</v>
      </c>
      <c r="D391" s="10" t="s">
        <v>175</v>
      </c>
      <c r="E391" s="11">
        <v>45691</v>
      </c>
      <c r="F391" s="10" t="s">
        <v>285</v>
      </c>
      <c r="G391" s="10" t="s">
        <v>239</v>
      </c>
      <c r="H391" s="11">
        <v>31718</v>
      </c>
      <c r="I391" s="10" t="s">
        <v>291</v>
      </c>
      <c r="J391" s="10" t="s">
        <v>287</v>
      </c>
      <c r="K391" s="10" t="s">
        <v>295</v>
      </c>
      <c r="L391" s="10" t="s">
        <v>349</v>
      </c>
      <c r="M391" s="10">
        <v>19</v>
      </c>
      <c r="N391" s="10">
        <v>20</v>
      </c>
      <c r="O391" s="10">
        <v>5</v>
      </c>
      <c r="P391" s="10">
        <v>361</v>
      </c>
      <c r="Q391" s="10">
        <v>4</v>
      </c>
      <c r="R391" s="10" t="s">
        <v>277</v>
      </c>
      <c r="S391" s="10" t="s">
        <v>255</v>
      </c>
      <c r="T391" s="10" t="s">
        <v>308</v>
      </c>
      <c r="U391" s="10">
        <v>9177767854</v>
      </c>
      <c r="V391" s="12" t="s">
        <v>248</v>
      </c>
      <c r="W391" t="str">
        <f>IF(OR(Q391&lt;=2,V391="Cancelled"),"Blacklisted",IF(AND(P391&gt;100000,Q391&gt;=4,O391&lt;=10%,V391="Completed"),"Platinum",IF(AND(P391&gt;=50000,Q391&gt;=3,V391="Completed"),"Gold",IF(AND(P391&lt;50000,V391="Completed"),"Silver",""))))</f>
        <v/>
      </c>
      <c r="X391" t="str">
        <f t="shared" si="45"/>
        <v>Priya Patel</v>
      </c>
      <c r="Y391" t="str">
        <f t="shared" si="43"/>
        <v>Pri002Pu</v>
      </c>
      <c r="Z391" t="str">
        <f t="shared" si="46"/>
        <v>priya.patel@company.com</v>
      </c>
      <c r="AA391" t="str">
        <f t="shared" ca="1" si="49"/>
        <v/>
      </c>
      <c r="AB391" t="str">
        <f t="shared" si="47"/>
        <v/>
      </c>
      <c r="AC391" t="str">
        <f t="shared" si="48"/>
        <v>Delayed</v>
      </c>
    </row>
    <row r="392" spans="1:29">
      <c r="A392" s="33" t="s">
        <v>1007</v>
      </c>
      <c r="B392" s="5" t="s">
        <v>284</v>
      </c>
      <c r="C392" s="5" t="s">
        <v>267</v>
      </c>
      <c r="D392" s="5" t="s">
        <v>92</v>
      </c>
      <c r="E392" s="5" t="s">
        <v>102</v>
      </c>
      <c r="F392" s="5" t="s">
        <v>285</v>
      </c>
      <c r="G392" s="5" t="s">
        <v>239</v>
      </c>
      <c r="H392" s="5" t="s">
        <v>1008</v>
      </c>
      <c r="I392" s="5" t="s">
        <v>291</v>
      </c>
      <c r="J392" s="5" t="s">
        <v>287</v>
      </c>
      <c r="K392" s="5" t="s">
        <v>243</v>
      </c>
      <c r="L392" s="5" t="s">
        <v>271</v>
      </c>
      <c r="M392" s="5">
        <v>20</v>
      </c>
      <c r="N392" s="5">
        <v>1200</v>
      </c>
      <c r="O392" s="5">
        <v>15</v>
      </c>
      <c r="P392" s="5">
        <v>20400</v>
      </c>
      <c r="Q392" s="5">
        <v>4</v>
      </c>
      <c r="R392" s="5" t="s">
        <v>272</v>
      </c>
      <c r="S392" s="5" t="s">
        <v>255</v>
      </c>
      <c r="T392" s="5" t="s">
        <v>308</v>
      </c>
      <c r="U392" s="5">
        <v>9643440006</v>
      </c>
      <c r="V392" s="8" t="s">
        <v>248</v>
      </c>
      <c r="W392" t="str">
        <f t="shared" si="44"/>
        <v/>
      </c>
      <c r="X392" t="str">
        <f t="shared" si="45"/>
        <v>Priya Patel</v>
      </c>
      <c r="Y392" t="str">
        <f t="shared" si="43"/>
        <v>Pri002Pu</v>
      </c>
      <c r="Z392" t="str">
        <f t="shared" si="46"/>
        <v>priya.patel@company.com</v>
      </c>
      <c r="AA392">
        <f t="shared" ca="1" si="49"/>
        <v>39</v>
      </c>
      <c r="AB392">
        <f t="shared" si="47"/>
        <v>1</v>
      </c>
      <c r="AC392" t="str">
        <f t="shared" si="48"/>
        <v>On time</v>
      </c>
    </row>
    <row r="393" spans="1:29">
      <c r="A393" s="34" t="s">
        <v>1009</v>
      </c>
      <c r="B393" s="10" t="s">
        <v>235</v>
      </c>
      <c r="C393" s="10" t="s">
        <v>347</v>
      </c>
      <c r="D393" s="10" t="s">
        <v>179</v>
      </c>
      <c r="E393" s="11">
        <v>45814</v>
      </c>
      <c r="F393" s="10" t="s">
        <v>318</v>
      </c>
      <c r="G393" s="10" t="s">
        <v>239</v>
      </c>
      <c r="H393" s="11">
        <v>35406</v>
      </c>
      <c r="I393" s="10" t="s">
        <v>252</v>
      </c>
      <c r="J393" s="10" t="s">
        <v>242</v>
      </c>
      <c r="K393" s="10" t="s">
        <v>295</v>
      </c>
      <c r="L393" s="10" t="s">
        <v>349</v>
      </c>
      <c r="M393" s="10">
        <v>13</v>
      </c>
      <c r="N393" s="10">
        <v>20</v>
      </c>
      <c r="O393" s="10">
        <v>15</v>
      </c>
      <c r="P393" s="10">
        <v>221</v>
      </c>
      <c r="Q393" s="10">
        <v>4</v>
      </c>
      <c r="R393" s="10" t="s">
        <v>254</v>
      </c>
      <c r="S393" s="10" t="s">
        <v>255</v>
      </c>
      <c r="T393" s="10" t="s">
        <v>247</v>
      </c>
      <c r="U393" s="10">
        <v>9673698825</v>
      </c>
      <c r="V393" s="12" t="s">
        <v>248</v>
      </c>
      <c r="W393" t="str">
        <f t="shared" si="44"/>
        <v/>
      </c>
      <c r="X393" t="str">
        <f t="shared" si="45"/>
        <v>Pooja Shah</v>
      </c>
      <c r="Y393" t="str">
        <f t="shared" si="43"/>
        <v>Poo010Hy</v>
      </c>
      <c r="Z393" t="str">
        <f t="shared" si="46"/>
        <v>pooja.shah@company.com</v>
      </c>
      <c r="AA393" t="str">
        <f t="shared" ca="1" si="49"/>
        <v/>
      </c>
      <c r="AB393" t="str">
        <f t="shared" si="47"/>
        <v/>
      </c>
      <c r="AC393" t="str">
        <f t="shared" si="48"/>
        <v>Delayed</v>
      </c>
    </row>
    <row r="394" spans="1:29">
      <c r="A394" s="33" t="s">
        <v>1010</v>
      </c>
      <c r="B394" s="5" t="s">
        <v>358</v>
      </c>
      <c r="C394" s="5" t="s">
        <v>267</v>
      </c>
      <c r="D394" s="6">
        <v>45717</v>
      </c>
      <c r="E394" s="6">
        <v>45870</v>
      </c>
      <c r="F394" s="5" t="s">
        <v>359</v>
      </c>
      <c r="G394" s="5" t="s">
        <v>239</v>
      </c>
      <c r="H394" s="6">
        <v>33646</v>
      </c>
      <c r="I394" s="5" t="s">
        <v>260</v>
      </c>
      <c r="J394" s="5" t="s">
        <v>261</v>
      </c>
      <c r="K394" s="5" t="s">
        <v>243</v>
      </c>
      <c r="L394" s="5" t="s">
        <v>271</v>
      </c>
      <c r="M394" s="5">
        <v>12</v>
      </c>
      <c r="N394" s="5">
        <v>1200</v>
      </c>
      <c r="O394" s="5">
        <v>10</v>
      </c>
      <c r="P394" s="5">
        <v>12960</v>
      </c>
      <c r="Q394" s="5">
        <v>3</v>
      </c>
      <c r="R394" s="5" t="s">
        <v>245</v>
      </c>
      <c r="S394" s="5" t="s">
        <v>255</v>
      </c>
      <c r="T394" s="5" t="s">
        <v>360</v>
      </c>
      <c r="U394" s="5">
        <v>9706238784</v>
      </c>
      <c r="V394" s="8" t="s">
        <v>248</v>
      </c>
      <c r="W394" t="str">
        <f t="shared" si="44"/>
        <v/>
      </c>
      <c r="X394" t="str">
        <f t="shared" si="45"/>
        <v>Sneha Joshi</v>
      </c>
      <c r="Y394" t="str">
        <f t="shared" si="43"/>
        <v>Sne006De</v>
      </c>
      <c r="Z394" t="str">
        <f t="shared" si="46"/>
        <v>sneha.joshi@company.com</v>
      </c>
      <c r="AA394">
        <f t="shared" ca="1" si="49"/>
        <v>29</v>
      </c>
      <c r="AB394" t="str">
        <f t="shared" si="47"/>
        <v/>
      </c>
      <c r="AC394" t="str">
        <f t="shared" si="48"/>
        <v>Delayed</v>
      </c>
    </row>
    <row r="395" spans="1:29">
      <c r="A395" s="34" t="s">
        <v>1011</v>
      </c>
      <c r="B395" s="10" t="s">
        <v>284</v>
      </c>
      <c r="C395" s="10" t="s">
        <v>322</v>
      </c>
      <c r="D395" s="10" t="s">
        <v>173</v>
      </c>
      <c r="E395" s="10" t="s">
        <v>585</v>
      </c>
      <c r="F395" s="10" t="s">
        <v>285</v>
      </c>
      <c r="G395" s="10" t="s">
        <v>239</v>
      </c>
      <c r="H395" s="10" t="s">
        <v>1012</v>
      </c>
      <c r="I395" s="10" t="s">
        <v>379</v>
      </c>
      <c r="J395" s="10" t="s">
        <v>21</v>
      </c>
      <c r="K395" s="10" t="s">
        <v>15</v>
      </c>
      <c r="L395" s="10" t="s">
        <v>325</v>
      </c>
      <c r="M395" s="10">
        <v>6</v>
      </c>
      <c r="N395" s="10">
        <v>8500</v>
      </c>
      <c r="O395" s="10">
        <v>5</v>
      </c>
      <c r="P395" s="10">
        <v>48450</v>
      </c>
      <c r="Q395" s="10">
        <v>5</v>
      </c>
      <c r="R395" s="10" t="s">
        <v>254</v>
      </c>
      <c r="S395" s="10" t="s">
        <v>292</v>
      </c>
      <c r="T395" s="10" t="s">
        <v>308</v>
      </c>
      <c r="U395" s="10">
        <v>9132959877</v>
      </c>
      <c r="V395" s="12" t="s">
        <v>265</v>
      </c>
      <c r="W395" t="str">
        <f t="shared" si="44"/>
        <v>Blacklisted</v>
      </c>
      <c r="X395" t="str">
        <f t="shared" si="45"/>
        <v>Priya Patel</v>
      </c>
      <c r="Y395" t="str">
        <f t="shared" si="43"/>
        <v>Pri002Ko</v>
      </c>
      <c r="Z395" t="str">
        <f t="shared" si="46"/>
        <v>priya.patel@company.com</v>
      </c>
      <c r="AA395">
        <f t="shared" ca="1" si="49"/>
        <v>34</v>
      </c>
      <c r="AB395">
        <f t="shared" si="47"/>
        <v>1</v>
      </c>
      <c r="AC395" t="str">
        <f t="shared" si="48"/>
        <v>On time</v>
      </c>
    </row>
    <row r="396" spans="1:29">
      <c r="A396" s="33" t="s">
        <v>1013</v>
      </c>
      <c r="B396" s="5" t="s">
        <v>249</v>
      </c>
      <c r="C396" s="5" t="s">
        <v>322</v>
      </c>
      <c r="D396" s="5" t="s">
        <v>65</v>
      </c>
      <c r="E396" s="5" t="s">
        <v>1014</v>
      </c>
      <c r="F396" s="5" t="s">
        <v>251</v>
      </c>
      <c r="G396" s="5" t="s">
        <v>239</v>
      </c>
      <c r="H396" s="5" t="s">
        <v>1015</v>
      </c>
      <c r="I396" s="5" t="s">
        <v>306</v>
      </c>
      <c r="J396" s="5" t="s">
        <v>287</v>
      </c>
      <c r="K396" s="5" t="s">
        <v>15</v>
      </c>
      <c r="L396" s="5" t="s">
        <v>325</v>
      </c>
      <c r="M396" s="5">
        <v>15</v>
      </c>
      <c r="N396" s="5">
        <v>8500</v>
      </c>
      <c r="O396" s="5">
        <v>10</v>
      </c>
      <c r="P396" s="5">
        <v>114750</v>
      </c>
      <c r="Q396" s="5">
        <v>1</v>
      </c>
      <c r="R396" s="5" t="s">
        <v>254</v>
      </c>
      <c r="S396" s="5" t="s">
        <v>292</v>
      </c>
      <c r="T396" s="5" t="s">
        <v>264</v>
      </c>
      <c r="U396" s="5">
        <v>9295011645</v>
      </c>
      <c r="V396" s="8" t="s">
        <v>257</v>
      </c>
      <c r="W396" t="str">
        <f t="shared" si="44"/>
        <v>Blacklisted</v>
      </c>
      <c r="X396" t="str">
        <f t="shared" si="45"/>
        <v>Kavya Nair</v>
      </c>
      <c r="Y396" t="str">
        <f t="shared" si="43"/>
        <v>Kav008Ah</v>
      </c>
      <c r="Z396" t="str">
        <f t="shared" si="46"/>
        <v>kavya.nair@company.com</v>
      </c>
      <c r="AA396" t="str">
        <f t="shared" ca="1" si="49"/>
        <v/>
      </c>
      <c r="AB396">
        <f t="shared" si="47"/>
        <v>8</v>
      </c>
      <c r="AC396" t="str">
        <f t="shared" si="48"/>
        <v>Delayed</v>
      </c>
    </row>
    <row r="397" spans="1:29">
      <c r="A397" s="34" t="s">
        <v>1016</v>
      </c>
      <c r="B397" s="10" t="s">
        <v>299</v>
      </c>
      <c r="C397" s="10" t="s">
        <v>258</v>
      </c>
      <c r="D397" s="11">
        <v>45724</v>
      </c>
      <c r="E397" s="10" t="s">
        <v>1017</v>
      </c>
      <c r="F397" s="10" t="s">
        <v>301</v>
      </c>
      <c r="G397" s="10" t="s">
        <v>269</v>
      </c>
      <c r="H397" s="11">
        <v>29253</v>
      </c>
      <c r="I397" s="10" t="s">
        <v>252</v>
      </c>
      <c r="J397" s="10" t="s">
        <v>242</v>
      </c>
      <c r="K397" s="10" t="s">
        <v>243</v>
      </c>
      <c r="L397" s="10" t="s">
        <v>262</v>
      </c>
      <c r="M397" s="10">
        <v>19</v>
      </c>
      <c r="N397" s="10">
        <v>12000</v>
      </c>
      <c r="O397" s="10">
        <v>20</v>
      </c>
      <c r="P397" s="10">
        <v>182400</v>
      </c>
      <c r="Q397" s="10">
        <v>5</v>
      </c>
      <c r="R397" s="10" t="s">
        <v>254</v>
      </c>
      <c r="S397" s="10" t="s">
        <v>292</v>
      </c>
      <c r="T397" s="10" t="s">
        <v>302</v>
      </c>
      <c r="U397" s="10">
        <v>9677606427</v>
      </c>
      <c r="V397" s="12" t="s">
        <v>257</v>
      </c>
      <c r="W397" t="str">
        <f t="shared" si="44"/>
        <v>Gold</v>
      </c>
      <c r="X397" t="str">
        <f t="shared" si="45"/>
        <v>Rohit Singh</v>
      </c>
      <c r="Y397" t="str">
        <f t="shared" si="43"/>
        <v>Roh003Hy</v>
      </c>
      <c r="Z397" t="str">
        <f t="shared" si="46"/>
        <v>rohit.singh@company.com</v>
      </c>
      <c r="AA397" t="str">
        <f t="shared" ca="1" si="49"/>
        <v/>
      </c>
      <c r="AB397" t="str">
        <f t="shared" si="47"/>
        <v/>
      </c>
      <c r="AC397" t="str">
        <f t="shared" si="48"/>
        <v>Delayed</v>
      </c>
    </row>
    <row r="398" spans="1:29">
      <c r="A398" s="33" t="s">
        <v>1018</v>
      </c>
      <c r="B398" s="5" t="s">
        <v>275</v>
      </c>
      <c r="C398" s="5" t="s">
        <v>330</v>
      </c>
      <c r="D398" s="5" t="s">
        <v>31</v>
      </c>
      <c r="E398" s="5" t="s">
        <v>1019</v>
      </c>
      <c r="F398" s="5" t="s">
        <v>328</v>
      </c>
      <c r="G398" s="5" t="s">
        <v>269</v>
      </c>
      <c r="H398" s="5" t="s">
        <v>1020</v>
      </c>
      <c r="I398" s="5" t="s">
        <v>260</v>
      </c>
      <c r="J398" s="5" t="s">
        <v>261</v>
      </c>
      <c r="K398" s="5" t="s">
        <v>243</v>
      </c>
      <c r="L398" s="5" t="s">
        <v>333</v>
      </c>
      <c r="M398" s="5">
        <v>5</v>
      </c>
      <c r="N398" s="5">
        <v>700</v>
      </c>
      <c r="O398" s="5">
        <v>0</v>
      </c>
      <c r="P398" s="5">
        <v>3500</v>
      </c>
      <c r="Q398" s="5">
        <v>2</v>
      </c>
      <c r="R398" s="5" t="s">
        <v>272</v>
      </c>
      <c r="S398" s="5" t="s">
        <v>246</v>
      </c>
      <c r="T398" s="5" t="s">
        <v>278</v>
      </c>
      <c r="U398" s="5">
        <v>9161631566</v>
      </c>
      <c r="V398" s="8" t="s">
        <v>265</v>
      </c>
      <c r="W398" t="str">
        <f t="shared" si="44"/>
        <v>Blacklisted</v>
      </c>
      <c r="X398" t="str">
        <f t="shared" si="45"/>
        <v>Arjun Rao</v>
      </c>
      <c r="Y398" t="str">
        <f t="shared" si="43"/>
        <v>Arj007De</v>
      </c>
      <c r="Z398" t="str">
        <f t="shared" si="46"/>
        <v>arjun.rao@company.com</v>
      </c>
      <c r="AA398">
        <f t="shared" ca="1" si="49"/>
        <v>46</v>
      </c>
      <c r="AB398">
        <f t="shared" si="47"/>
        <v>3</v>
      </c>
      <c r="AC398" t="str">
        <f t="shared" si="48"/>
        <v>On time</v>
      </c>
    </row>
    <row r="399" spans="1:29">
      <c r="A399" s="34" t="s">
        <v>1021</v>
      </c>
      <c r="B399" s="10" t="s">
        <v>275</v>
      </c>
      <c r="C399" s="10" t="s">
        <v>258</v>
      </c>
      <c r="D399" s="10" t="s">
        <v>201</v>
      </c>
      <c r="E399" s="11">
        <v>45749</v>
      </c>
      <c r="F399" s="10" t="s">
        <v>328</v>
      </c>
      <c r="G399" s="10" t="s">
        <v>269</v>
      </c>
      <c r="H399" s="11">
        <v>28775</v>
      </c>
      <c r="I399" s="10" t="s">
        <v>379</v>
      </c>
      <c r="J399" s="10" t="s">
        <v>21</v>
      </c>
      <c r="K399" s="10" t="s">
        <v>243</v>
      </c>
      <c r="L399" s="10" t="s">
        <v>262</v>
      </c>
      <c r="M399" s="10">
        <v>19</v>
      </c>
      <c r="N399" s="10">
        <v>12000</v>
      </c>
      <c r="O399" s="10">
        <v>0</v>
      </c>
      <c r="P399" s="10">
        <v>228000</v>
      </c>
      <c r="Q399" s="10">
        <v>4</v>
      </c>
      <c r="R399" s="10" t="s">
        <v>277</v>
      </c>
      <c r="S399" s="10" t="s">
        <v>246</v>
      </c>
      <c r="T399" s="10" t="s">
        <v>278</v>
      </c>
      <c r="U399" s="10">
        <v>9136906750</v>
      </c>
      <c r="V399" s="12" t="s">
        <v>248</v>
      </c>
      <c r="W399" t="str">
        <f t="shared" si="44"/>
        <v/>
      </c>
      <c r="X399" t="str">
        <f t="shared" si="45"/>
        <v>Arjun Rao</v>
      </c>
      <c r="Y399" t="str">
        <f t="shared" si="43"/>
        <v>Arj007Ko</v>
      </c>
      <c r="Z399" t="str">
        <f t="shared" si="46"/>
        <v>arjun.rao@company.com</v>
      </c>
      <c r="AA399" t="str">
        <f t="shared" ca="1" si="49"/>
        <v/>
      </c>
      <c r="AB399" t="str">
        <f t="shared" si="47"/>
        <v/>
      </c>
      <c r="AC399" t="str">
        <f t="shared" si="48"/>
        <v>Delayed</v>
      </c>
    </row>
    <row r="400" spans="1:29">
      <c r="A400" s="33" t="s">
        <v>1022</v>
      </c>
      <c r="B400" s="5" t="s">
        <v>392</v>
      </c>
      <c r="C400" s="5" t="s">
        <v>330</v>
      </c>
      <c r="D400" s="5"/>
      <c r="E400" s="6">
        <v>45727</v>
      </c>
      <c r="F400" s="5" t="s">
        <v>323</v>
      </c>
      <c r="G400" s="5" t="s">
        <v>269</v>
      </c>
      <c r="H400" s="6">
        <v>28864</v>
      </c>
      <c r="I400" s="5" t="s">
        <v>241</v>
      </c>
      <c r="J400" s="5" t="s">
        <v>242</v>
      </c>
      <c r="K400" s="5" t="s">
        <v>243</v>
      </c>
      <c r="L400" s="5" t="s">
        <v>333</v>
      </c>
      <c r="M400" s="5">
        <v>12</v>
      </c>
      <c r="N400" s="5">
        <v>700</v>
      </c>
      <c r="O400" s="5">
        <v>15</v>
      </c>
      <c r="P400" s="5">
        <v>7140</v>
      </c>
      <c r="Q400" s="5">
        <v>3</v>
      </c>
      <c r="R400" s="5" t="s">
        <v>272</v>
      </c>
      <c r="S400" s="5" t="s">
        <v>255</v>
      </c>
      <c r="T400" s="5" t="s">
        <v>395</v>
      </c>
      <c r="U400" s="5">
        <v>9485286324</v>
      </c>
      <c r="V400" s="8" t="s">
        <v>257</v>
      </c>
      <c r="W400" t="str">
        <f t="shared" si="44"/>
        <v>Silver</v>
      </c>
      <c r="X400" t="str">
        <f t="shared" si="45"/>
        <v>Amit Sharma</v>
      </c>
      <c r="Y400" t="str">
        <f t="shared" si="43"/>
        <v>Ami001Be</v>
      </c>
      <c r="Z400" t="str">
        <f t="shared" si="46"/>
        <v>amit.sharma@company.com</v>
      </c>
      <c r="AA400">
        <f t="shared" ca="1" si="49"/>
        <v>48</v>
      </c>
      <c r="AB400" t="str">
        <f t="shared" si="47"/>
        <v/>
      </c>
      <c r="AC400" t="str">
        <f t="shared" si="48"/>
        <v>Delayed</v>
      </c>
    </row>
    <row r="401" spans="1:29">
      <c r="A401" s="34" t="s">
        <v>1023</v>
      </c>
      <c r="B401" s="10" t="s">
        <v>249</v>
      </c>
      <c r="C401" s="10" t="s">
        <v>267</v>
      </c>
      <c r="D401" s="10" t="s">
        <v>14</v>
      </c>
      <c r="E401" s="10" t="s">
        <v>553</v>
      </c>
      <c r="F401" s="10" t="s">
        <v>251</v>
      </c>
      <c r="G401" s="10" t="s">
        <v>239</v>
      </c>
      <c r="H401" s="11">
        <v>37107</v>
      </c>
      <c r="I401" s="10" t="s">
        <v>260</v>
      </c>
      <c r="J401" s="10" t="s">
        <v>261</v>
      </c>
      <c r="K401" s="10" t="s">
        <v>243</v>
      </c>
      <c r="L401" s="10" t="s">
        <v>271</v>
      </c>
      <c r="M401" s="10">
        <v>16</v>
      </c>
      <c r="N401" s="10">
        <v>1200</v>
      </c>
      <c r="O401" s="10">
        <v>20</v>
      </c>
      <c r="P401" s="10">
        <v>15360</v>
      </c>
      <c r="Q401" s="10">
        <v>1</v>
      </c>
      <c r="R401" s="10" t="s">
        <v>254</v>
      </c>
      <c r="S401" s="10" t="s">
        <v>263</v>
      </c>
      <c r="T401" s="10" t="s">
        <v>264</v>
      </c>
      <c r="U401" s="10">
        <v>9414633966</v>
      </c>
      <c r="V401" s="12" t="s">
        <v>248</v>
      </c>
      <c r="W401" t="str">
        <f t="shared" si="44"/>
        <v>Blacklisted</v>
      </c>
      <c r="X401" t="str">
        <f t="shared" si="45"/>
        <v>Kavya Nair</v>
      </c>
      <c r="Y401" t="str">
        <f t="shared" si="43"/>
        <v>Kav008De</v>
      </c>
      <c r="Z401" t="str">
        <f t="shared" si="46"/>
        <v>kavya.nair@company.com</v>
      </c>
      <c r="AA401">
        <f t="shared" ca="1" si="49"/>
        <v>47</v>
      </c>
      <c r="AB401">
        <f t="shared" si="47"/>
        <v>8</v>
      </c>
      <c r="AC401" t="str">
        <f t="shared" si="48"/>
        <v>Delayed</v>
      </c>
    </row>
    <row r="402" spans="1:29">
      <c r="A402" s="33" t="s">
        <v>1024</v>
      </c>
      <c r="B402" s="5" t="s">
        <v>266</v>
      </c>
      <c r="C402" s="5" t="s">
        <v>322</v>
      </c>
      <c r="D402" s="5" t="s">
        <v>172</v>
      </c>
      <c r="E402" s="6">
        <v>46113</v>
      </c>
      <c r="F402" s="5" t="s">
        <v>268</v>
      </c>
      <c r="G402" s="5" t="s">
        <v>269</v>
      </c>
      <c r="H402" s="6">
        <v>30317</v>
      </c>
      <c r="I402" s="5" t="s">
        <v>252</v>
      </c>
      <c r="J402" s="5" t="s">
        <v>242</v>
      </c>
      <c r="K402" s="5" t="s">
        <v>15</v>
      </c>
      <c r="L402" s="5" t="s">
        <v>325</v>
      </c>
      <c r="M402" s="5">
        <v>10</v>
      </c>
      <c r="N402" s="5">
        <v>8500</v>
      </c>
      <c r="O402" s="5">
        <v>5</v>
      </c>
      <c r="P402" s="5">
        <v>80750</v>
      </c>
      <c r="Q402" s="5">
        <v>5</v>
      </c>
      <c r="R402" s="5" t="s">
        <v>245</v>
      </c>
      <c r="S402" s="5" t="s">
        <v>255</v>
      </c>
      <c r="T402" s="5" t="s">
        <v>273</v>
      </c>
      <c r="U402" s="5">
        <v>9833735234</v>
      </c>
      <c r="V402" s="8" t="s">
        <v>257</v>
      </c>
      <c r="W402" t="str">
        <f t="shared" si="44"/>
        <v>Gold</v>
      </c>
      <c r="X402" t="str">
        <f t="shared" si="45"/>
        <v>Mohit Verma</v>
      </c>
      <c r="Y402" t="str">
        <f t="shared" si="43"/>
        <v>Moh009Hy</v>
      </c>
      <c r="Z402" t="str">
        <f t="shared" si="46"/>
        <v>mohit.verma@company.com</v>
      </c>
      <c r="AA402">
        <f t="shared" ca="1" si="49"/>
        <v>25</v>
      </c>
      <c r="AB402" t="str">
        <f t="shared" si="47"/>
        <v/>
      </c>
      <c r="AC402" t="str">
        <f t="shared" si="48"/>
        <v>Delayed</v>
      </c>
    </row>
    <row r="403" spans="1:29">
      <c r="A403" s="34" t="s">
        <v>1025</v>
      </c>
      <c r="B403" s="10" t="s">
        <v>249</v>
      </c>
      <c r="C403" s="10" t="s">
        <v>347</v>
      </c>
      <c r="D403" s="11">
        <v>45963</v>
      </c>
      <c r="E403" s="10" t="s">
        <v>98</v>
      </c>
      <c r="F403" s="10" t="s">
        <v>251</v>
      </c>
      <c r="G403" s="10" t="s">
        <v>239</v>
      </c>
      <c r="H403" s="11">
        <v>32759</v>
      </c>
      <c r="I403" s="10" t="s">
        <v>306</v>
      </c>
      <c r="J403" s="10" t="s">
        <v>287</v>
      </c>
      <c r="K403" s="10" t="s">
        <v>295</v>
      </c>
      <c r="L403" s="10" t="s">
        <v>349</v>
      </c>
      <c r="M403" s="10">
        <v>18</v>
      </c>
      <c r="N403" s="10">
        <v>20</v>
      </c>
      <c r="O403" s="10">
        <v>20</v>
      </c>
      <c r="P403" s="10">
        <v>288</v>
      </c>
      <c r="Q403" s="10">
        <v>1</v>
      </c>
      <c r="R403" s="10" t="s">
        <v>277</v>
      </c>
      <c r="S403" s="10" t="s">
        <v>255</v>
      </c>
      <c r="T403" s="10" t="s">
        <v>264</v>
      </c>
      <c r="U403" s="10">
        <v>9523689108</v>
      </c>
      <c r="V403" s="12" t="s">
        <v>248</v>
      </c>
      <c r="W403" t="str">
        <f t="shared" si="44"/>
        <v>Blacklisted</v>
      </c>
      <c r="X403" t="str">
        <f t="shared" si="45"/>
        <v>Kavya Nair</v>
      </c>
      <c r="Y403" t="str">
        <f t="shared" si="43"/>
        <v>Kav008Ah</v>
      </c>
      <c r="Z403" t="str">
        <f t="shared" si="46"/>
        <v>kavya.nair@company.com</v>
      </c>
      <c r="AA403">
        <f t="shared" ca="1" si="49"/>
        <v>43</v>
      </c>
      <c r="AB403" t="str">
        <f t="shared" si="47"/>
        <v/>
      </c>
      <c r="AC403" t="str">
        <f t="shared" si="48"/>
        <v>Delayed</v>
      </c>
    </row>
    <row r="404" spans="1:29">
      <c r="A404" s="33" t="s">
        <v>1026</v>
      </c>
      <c r="B404" s="5" t="s">
        <v>266</v>
      </c>
      <c r="C404" s="5" t="s">
        <v>322</v>
      </c>
      <c r="D404" s="5" t="s">
        <v>11</v>
      </c>
      <c r="E404" s="5" t="s">
        <v>425</v>
      </c>
      <c r="F404" s="5" t="s">
        <v>268</v>
      </c>
      <c r="G404" s="5" t="s">
        <v>269</v>
      </c>
      <c r="H404" s="5" t="s">
        <v>1027</v>
      </c>
      <c r="I404" s="5" t="s">
        <v>286</v>
      </c>
      <c r="J404" s="5" t="s">
        <v>287</v>
      </c>
      <c r="K404" s="5" t="s">
        <v>15</v>
      </c>
      <c r="L404" s="5" t="s">
        <v>325</v>
      </c>
      <c r="M404" s="5">
        <v>9</v>
      </c>
      <c r="N404" s="5">
        <v>8500</v>
      </c>
      <c r="O404" s="5">
        <v>0</v>
      </c>
      <c r="P404" s="5">
        <v>76500</v>
      </c>
      <c r="Q404" s="5">
        <v>2</v>
      </c>
      <c r="R404" s="5" t="s">
        <v>272</v>
      </c>
      <c r="S404" s="5" t="s">
        <v>255</v>
      </c>
      <c r="T404" s="5" t="s">
        <v>273</v>
      </c>
      <c r="U404" s="5">
        <v>9812909831</v>
      </c>
      <c r="V404" s="8" t="s">
        <v>248</v>
      </c>
      <c r="W404" t="str">
        <f t="shared" si="44"/>
        <v>Blacklisted</v>
      </c>
      <c r="X404" t="str">
        <f t="shared" si="45"/>
        <v>Mohit Verma</v>
      </c>
      <c r="Y404" t="str">
        <f t="shared" si="43"/>
        <v>Moh009Mu</v>
      </c>
      <c r="Z404" t="str">
        <f t="shared" si="46"/>
        <v>mohit.verma@company.com</v>
      </c>
      <c r="AA404">
        <f t="shared" ca="1" si="49"/>
        <v>37</v>
      </c>
      <c r="AB404">
        <f t="shared" si="47"/>
        <v>6</v>
      </c>
      <c r="AC404" t="str">
        <f t="shared" si="48"/>
        <v>Delayed</v>
      </c>
    </row>
    <row r="405" spans="1:29">
      <c r="A405" s="34" t="s">
        <v>1028</v>
      </c>
      <c r="B405" s="10" t="s">
        <v>249</v>
      </c>
      <c r="C405" s="10" t="s">
        <v>322</v>
      </c>
      <c r="D405" s="11">
        <v>45667</v>
      </c>
      <c r="E405" s="11">
        <v>46001</v>
      </c>
      <c r="F405" s="10" t="s">
        <v>251</v>
      </c>
      <c r="G405" s="10" t="s">
        <v>239</v>
      </c>
      <c r="H405" s="11">
        <v>36651</v>
      </c>
      <c r="I405" s="10" t="s">
        <v>286</v>
      </c>
      <c r="J405" s="10" t="s">
        <v>287</v>
      </c>
      <c r="K405" s="10" t="s">
        <v>15</v>
      </c>
      <c r="L405" s="10" t="s">
        <v>325</v>
      </c>
      <c r="M405" s="10">
        <v>8</v>
      </c>
      <c r="N405" s="10">
        <v>8500</v>
      </c>
      <c r="O405" s="10">
        <v>10</v>
      </c>
      <c r="P405" s="10">
        <v>61200</v>
      </c>
      <c r="Q405" s="10">
        <v>4</v>
      </c>
      <c r="R405" s="10" t="s">
        <v>254</v>
      </c>
      <c r="S405" s="10" t="s">
        <v>292</v>
      </c>
      <c r="T405" s="10" t="s">
        <v>264</v>
      </c>
      <c r="U405" s="10">
        <v>9106290987</v>
      </c>
      <c r="V405" s="12" t="s">
        <v>265</v>
      </c>
      <c r="W405" t="str">
        <f t="shared" si="44"/>
        <v>Blacklisted</v>
      </c>
      <c r="X405" t="str">
        <f t="shared" si="45"/>
        <v>Kavya Nair</v>
      </c>
      <c r="Y405" t="str">
        <f t="shared" si="43"/>
        <v>Kav008Mu</v>
      </c>
      <c r="Z405" t="str">
        <f t="shared" si="46"/>
        <v>kavya.nair@company.com</v>
      </c>
      <c r="AA405" t="str">
        <f t="shared" ca="1" si="49"/>
        <v/>
      </c>
      <c r="AB405" t="str">
        <f t="shared" si="47"/>
        <v/>
      </c>
      <c r="AC405" t="str">
        <f t="shared" si="48"/>
        <v>Delayed</v>
      </c>
    </row>
    <row r="406" spans="1:29">
      <c r="A406" s="33" t="s">
        <v>1029</v>
      </c>
      <c r="B406" s="5" t="s">
        <v>235</v>
      </c>
      <c r="C406" s="5" t="s">
        <v>347</v>
      </c>
      <c r="D406" s="5" t="s">
        <v>149</v>
      </c>
      <c r="E406" s="6">
        <v>46024</v>
      </c>
      <c r="F406" s="5" t="s">
        <v>318</v>
      </c>
      <c r="G406" s="5" t="s">
        <v>239</v>
      </c>
      <c r="H406" s="5" t="s">
        <v>1030</v>
      </c>
      <c r="I406" s="5" t="s">
        <v>291</v>
      </c>
      <c r="J406" s="5" t="s">
        <v>287</v>
      </c>
      <c r="K406" s="5" t="s">
        <v>295</v>
      </c>
      <c r="L406" s="5" t="s">
        <v>349</v>
      </c>
      <c r="M406" s="5">
        <v>3</v>
      </c>
      <c r="N406" s="5">
        <v>20</v>
      </c>
      <c r="O406" s="5">
        <v>10</v>
      </c>
      <c r="P406" s="5">
        <v>54</v>
      </c>
      <c r="Q406" s="5">
        <v>3</v>
      </c>
      <c r="R406" s="5" t="s">
        <v>272</v>
      </c>
      <c r="S406" s="5" t="s">
        <v>312</v>
      </c>
      <c r="T406" s="5" t="s">
        <v>247</v>
      </c>
      <c r="U406" s="5">
        <v>9767727724</v>
      </c>
      <c r="V406" s="8" t="s">
        <v>248</v>
      </c>
      <c r="W406" t="str">
        <f t="shared" si="44"/>
        <v/>
      </c>
      <c r="X406" t="str">
        <f t="shared" si="45"/>
        <v>Pooja Shah</v>
      </c>
      <c r="Y406" t="str">
        <f t="shared" si="43"/>
        <v>Poo010Pu</v>
      </c>
      <c r="Z406" t="str">
        <f t="shared" si="46"/>
        <v>pooja.shah@company.com</v>
      </c>
      <c r="AA406">
        <f t="shared" ca="1" si="49"/>
        <v>26</v>
      </c>
      <c r="AB406" t="str">
        <f t="shared" si="47"/>
        <v/>
      </c>
      <c r="AC406" t="str">
        <f t="shared" si="48"/>
        <v>Delayed</v>
      </c>
    </row>
    <row r="407" spans="1:29">
      <c r="A407" s="34" t="s">
        <v>1031</v>
      </c>
      <c r="B407" s="10" t="s">
        <v>321</v>
      </c>
      <c r="C407" s="10" t="s">
        <v>322</v>
      </c>
      <c r="D407" s="11">
        <v>45695</v>
      </c>
      <c r="E407" s="11">
        <v>45998</v>
      </c>
      <c r="F407" s="10" t="s">
        <v>408</v>
      </c>
      <c r="G407" s="10" t="s">
        <v>239</v>
      </c>
      <c r="H407" s="10" t="s">
        <v>1032</v>
      </c>
      <c r="I407" s="10" t="s">
        <v>379</v>
      </c>
      <c r="J407" s="10" t="s">
        <v>21</v>
      </c>
      <c r="K407" s="10" t="s">
        <v>15</v>
      </c>
      <c r="L407" s="10" t="s">
        <v>325</v>
      </c>
      <c r="M407" s="10">
        <v>18</v>
      </c>
      <c r="N407" s="10">
        <v>8500</v>
      </c>
      <c r="O407" s="10">
        <v>10</v>
      </c>
      <c r="P407" s="10">
        <v>137700</v>
      </c>
      <c r="Q407" s="10">
        <v>4</v>
      </c>
      <c r="R407" s="10" t="s">
        <v>254</v>
      </c>
      <c r="S407" s="10" t="s">
        <v>263</v>
      </c>
      <c r="T407" s="10" t="s">
        <v>326</v>
      </c>
      <c r="U407" s="10">
        <v>9865401727</v>
      </c>
      <c r="V407" s="12" t="s">
        <v>265</v>
      </c>
      <c r="W407" t="str">
        <f t="shared" si="44"/>
        <v>Blacklisted</v>
      </c>
      <c r="X407" t="str">
        <f t="shared" si="45"/>
        <v>Anita Gupta</v>
      </c>
      <c r="Y407" t="str">
        <f t="shared" si="43"/>
        <v>Ani004Ko</v>
      </c>
      <c r="Z407" t="str">
        <f t="shared" si="46"/>
        <v>anita.gupta@company.com</v>
      </c>
      <c r="AA407" t="str">
        <f t="shared" ca="1" si="49"/>
        <v/>
      </c>
      <c r="AB407" t="str">
        <f t="shared" si="47"/>
        <v/>
      </c>
      <c r="AC407" t="str">
        <f t="shared" si="48"/>
        <v>Delayed</v>
      </c>
    </row>
    <row r="408" spans="1:29">
      <c r="A408" s="33" t="s">
        <v>1033</v>
      </c>
      <c r="B408" s="5" t="s">
        <v>235</v>
      </c>
      <c r="C408" s="5" t="s">
        <v>362</v>
      </c>
      <c r="D408" s="6">
        <v>45787</v>
      </c>
      <c r="E408" s="6">
        <v>45910</v>
      </c>
      <c r="F408" s="5" t="s">
        <v>318</v>
      </c>
      <c r="G408" s="5" t="s">
        <v>239</v>
      </c>
      <c r="H408" s="5" t="s">
        <v>1034</v>
      </c>
      <c r="I408" s="5" t="s">
        <v>291</v>
      </c>
      <c r="J408" s="5" t="s">
        <v>287</v>
      </c>
      <c r="K408" s="5" t="s">
        <v>295</v>
      </c>
      <c r="L408" s="5" t="s">
        <v>363</v>
      </c>
      <c r="M408" s="5">
        <v>5</v>
      </c>
      <c r="N408" s="5">
        <v>45</v>
      </c>
      <c r="O408" s="5">
        <v>10</v>
      </c>
      <c r="P408" s="5">
        <v>202.5</v>
      </c>
      <c r="Q408" s="5">
        <v>3</v>
      </c>
      <c r="R408" s="5" t="s">
        <v>254</v>
      </c>
      <c r="S408" s="5" t="s">
        <v>292</v>
      </c>
      <c r="T408" s="5" t="s">
        <v>247</v>
      </c>
      <c r="U408" s="5">
        <v>9603848571</v>
      </c>
      <c r="V408" s="8" t="s">
        <v>248</v>
      </c>
      <c r="W408" t="str">
        <f t="shared" si="44"/>
        <v/>
      </c>
      <c r="X408" t="str">
        <f t="shared" si="45"/>
        <v>Pooja Shah</v>
      </c>
      <c r="Y408" t="str">
        <f t="shared" si="43"/>
        <v>Poo010Pu</v>
      </c>
      <c r="Z408" t="str">
        <f t="shared" si="46"/>
        <v>pooja.shah@company.com</v>
      </c>
      <c r="AA408" t="str">
        <f t="shared" ca="1" si="49"/>
        <v/>
      </c>
      <c r="AB408" t="str">
        <f t="shared" si="47"/>
        <v/>
      </c>
      <c r="AC408" t="str">
        <f t="shared" si="48"/>
        <v>Delayed</v>
      </c>
    </row>
    <row r="409" spans="1:29">
      <c r="A409" s="34" t="s">
        <v>1035</v>
      </c>
      <c r="B409" s="10" t="s">
        <v>266</v>
      </c>
      <c r="C409" s="10" t="s">
        <v>362</v>
      </c>
      <c r="D409" s="10" t="s">
        <v>197</v>
      </c>
      <c r="E409" s="11">
        <v>45694</v>
      </c>
      <c r="F409" s="10" t="s">
        <v>268</v>
      </c>
      <c r="G409" s="10" t="s">
        <v>269</v>
      </c>
      <c r="H409" s="10" t="s">
        <v>1036</v>
      </c>
      <c r="I409" s="10" t="s">
        <v>286</v>
      </c>
      <c r="J409" s="10" t="s">
        <v>287</v>
      </c>
      <c r="K409" s="10" t="s">
        <v>295</v>
      </c>
      <c r="L409" s="10" t="s">
        <v>363</v>
      </c>
      <c r="M409" s="10">
        <v>2</v>
      </c>
      <c r="N409" s="10">
        <v>45</v>
      </c>
      <c r="O409" s="10">
        <v>20</v>
      </c>
      <c r="P409" s="10">
        <v>72</v>
      </c>
      <c r="Q409" s="10">
        <v>5</v>
      </c>
      <c r="R409" s="10" t="s">
        <v>277</v>
      </c>
      <c r="S409" s="10" t="s">
        <v>246</v>
      </c>
      <c r="T409" s="10" t="s">
        <v>273</v>
      </c>
      <c r="U409" s="10">
        <v>9101231789</v>
      </c>
      <c r="V409" s="12" t="s">
        <v>265</v>
      </c>
      <c r="W409" t="str">
        <f t="shared" si="44"/>
        <v>Blacklisted</v>
      </c>
      <c r="X409" t="str">
        <f t="shared" si="45"/>
        <v>Mohit Verma</v>
      </c>
      <c r="Y409" t="str">
        <f t="shared" si="43"/>
        <v>Moh009Mu</v>
      </c>
      <c r="Z409" t="str">
        <f t="shared" si="46"/>
        <v>mohit.verma@company.com</v>
      </c>
      <c r="AA409" t="str">
        <f t="shared" ca="1" si="49"/>
        <v/>
      </c>
      <c r="AB409" t="str">
        <f t="shared" si="47"/>
        <v/>
      </c>
      <c r="AC409" t="str">
        <f t="shared" si="48"/>
        <v>Delayed</v>
      </c>
    </row>
    <row r="410" spans="1:29">
      <c r="A410" s="33" t="s">
        <v>1037</v>
      </c>
      <c r="B410" s="5" t="s">
        <v>284</v>
      </c>
      <c r="C410" s="5" t="s">
        <v>362</v>
      </c>
      <c r="D410" s="5" t="s">
        <v>160</v>
      </c>
      <c r="E410" s="6">
        <v>45810</v>
      </c>
      <c r="F410" s="5" t="s">
        <v>285</v>
      </c>
      <c r="G410" s="5" t="s">
        <v>239</v>
      </c>
      <c r="H410" s="5" t="s">
        <v>1038</v>
      </c>
      <c r="I410" s="5" t="s">
        <v>252</v>
      </c>
      <c r="J410" s="5" t="s">
        <v>242</v>
      </c>
      <c r="K410" s="5" t="s">
        <v>295</v>
      </c>
      <c r="L410" s="5" t="s">
        <v>363</v>
      </c>
      <c r="M410" s="5">
        <v>18</v>
      </c>
      <c r="N410" s="5">
        <v>45</v>
      </c>
      <c r="O410" s="5">
        <v>10</v>
      </c>
      <c r="P410" s="5">
        <v>729</v>
      </c>
      <c r="Q410" s="5">
        <v>2</v>
      </c>
      <c r="R410" s="5" t="s">
        <v>245</v>
      </c>
      <c r="S410" s="5" t="s">
        <v>292</v>
      </c>
      <c r="T410" s="5" t="s">
        <v>308</v>
      </c>
      <c r="U410" s="5">
        <v>9485017802</v>
      </c>
      <c r="V410" s="8" t="s">
        <v>248</v>
      </c>
      <c r="W410" t="str">
        <f t="shared" si="44"/>
        <v>Blacklisted</v>
      </c>
      <c r="X410" t="str">
        <f t="shared" si="45"/>
        <v>Priya Patel</v>
      </c>
      <c r="Y410" t="str">
        <f t="shared" si="43"/>
        <v>Pri002Hy</v>
      </c>
      <c r="Z410" t="str">
        <f t="shared" si="46"/>
        <v>priya.patel@company.com</v>
      </c>
      <c r="AA410" t="str">
        <f t="shared" ca="1" si="49"/>
        <v/>
      </c>
      <c r="AB410" t="str">
        <f t="shared" si="47"/>
        <v/>
      </c>
      <c r="AC410" t="str">
        <f t="shared" si="48"/>
        <v>Delayed</v>
      </c>
    </row>
    <row r="411" spans="1:29">
      <c r="A411" s="34" t="s">
        <v>1039</v>
      </c>
      <c r="B411" s="10" t="s">
        <v>299</v>
      </c>
      <c r="C411" s="10" t="s">
        <v>267</v>
      </c>
      <c r="D411" s="10" t="s">
        <v>136</v>
      </c>
      <c r="E411" s="11">
        <v>46023</v>
      </c>
      <c r="F411" s="10" t="s">
        <v>301</v>
      </c>
      <c r="G411" s="10" t="s">
        <v>269</v>
      </c>
      <c r="H411" s="10" t="s">
        <v>1040</v>
      </c>
      <c r="I411" s="10" t="s">
        <v>379</v>
      </c>
      <c r="J411" s="10" t="s">
        <v>21</v>
      </c>
      <c r="K411" s="10" t="s">
        <v>243</v>
      </c>
      <c r="L411" s="10" t="s">
        <v>271</v>
      </c>
      <c r="M411" s="10">
        <v>13</v>
      </c>
      <c r="N411" s="10">
        <v>1200</v>
      </c>
      <c r="O411" s="10">
        <v>5</v>
      </c>
      <c r="P411" s="10">
        <v>14820</v>
      </c>
      <c r="Q411" s="10">
        <v>4</v>
      </c>
      <c r="R411" s="10" t="s">
        <v>272</v>
      </c>
      <c r="S411" s="10" t="s">
        <v>292</v>
      </c>
      <c r="T411" s="10" t="s">
        <v>302</v>
      </c>
      <c r="U411" s="10">
        <v>9815464650</v>
      </c>
      <c r="V411" s="12" t="s">
        <v>257</v>
      </c>
      <c r="W411" t="str">
        <f t="shared" si="44"/>
        <v>Silver</v>
      </c>
      <c r="X411" t="str">
        <f t="shared" si="45"/>
        <v>Rohit Singh</v>
      </c>
      <c r="Y411" t="str">
        <f t="shared" si="43"/>
        <v>Roh003Ko</v>
      </c>
      <c r="Z411" t="str">
        <f t="shared" si="46"/>
        <v>rohit.singh@company.com</v>
      </c>
      <c r="AA411" t="str">
        <f t="shared" ca="1" si="49"/>
        <v/>
      </c>
      <c r="AB411" t="str">
        <f t="shared" si="47"/>
        <v/>
      </c>
      <c r="AC411" t="str">
        <f t="shared" si="48"/>
        <v>Delayed</v>
      </c>
    </row>
    <row r="412" spans="1:29">
      <c r="A412" s="33" t="s">
        <v>1041</v>
      </c>
      <c r="B412" s="5" t="s">
        <v>249</v>
      </c>
      <c r="C412" s="5" t="s">
        <v>347</v>
      </c>
      <c r="D412" s="6">
        <v>46331</v>
      </c>
      <c r="E412" s="5" t="s">
        <v>1042</v>
      </c>
      <c r="F412" s="5" t="s">
        <v>251</v>
      </c>
      <c r="G412" s="5" t="s">
        <v>239</v>
      </c>
      <c r="H412" s="6">
        <v>38048</v>
      </c>
      <c r="I412" s="5" t="s">
        <v>252</v>
      </c>
      <c r="J412" s="5" t="s">
        <v>242</v>
      </c>
      <c r="K412" s="5" t="s">
        <v>295</v>
      </c>
      <c r="L412" s="5" t="s">
        <v>349</v>
      </c>
      <c r="M412" s="5">
        <v>14</v>
      </c>
      <c r="N412" s="5">
        <v>20</v>
      </c>
      <c r="O412" s="5">
        <v>20</v>
      </c>
      <c r="P412" s="5">
        <v>224</v>
      </c>
      <c r="Q412" s="5">
        <v>5</v>
      </c>
      <c r="R412" s="5" t="s">
        <v>277</v>
      </c>
      <c r="S412" s="5" t="s">
        <v>263</v>
      </c>
      <c r="T412" s="5" t="s">
        <v>264</v>
      </c>
      <c r="U412" s="5">
        <v>9860715839</v>
      </c>
      <c r="V412" s="8" t="s">
        <v>248</v>
      </c>
      <c r="W412" t="str">
        <f t="shared" si="44"/>
        <v/>
      </c>
      <c r="X412" t="str">
        <f t="shared" si="45"/>
        <v>Kavya Nair</v>
      </c>
      <c r="Y412" t="str">
        <f t="shared" si="43"/>
        <v>Kav008Hy</v>
      </c>
      <c r="Z412" t="str">
        <f t="shared" si="46"/>
        <v>kavya.nair@company.com</v>
      </c>
      <c r="AA412" t="str">
        <f t="shared" ca="1" si="49"/>
        <v/>
      </c>
      <c r="AB412" t="str">
        <f t="shared" si="47"/>
        <v/>
      </c>
      <c r="AC412" t="str">
        <f t="shared" si="48"/>
        <v>Delayed</v>
      </c>
    </row>
    <row r="413" spans="1:29">
      <c r="A413" s="34" t="s">
        <v>1043</v>
      </c>
      <c r="B413" s="10" t="s">
        <v>284</v>
      </c>
      <c r="C413" s="10" t="s">
        <v>280</v>
      </c>
      <c r="D413" s="11">
        <v>46328</v>
      </c>
      <c r="E413" s="10" t="s">
        <v>997</v>
      </c>
      <c r="F413" s="10" t="s">
        <v>285</v>
      </c>
      <c r="G413" s="10" t="s">
        <v>239</v>
      </c>
      <c r="H413" s="10" t="s">
        <v>1044</v>
      </c>
      <c r="I413" s="10" t="s">
        <v>252</v>
      </c>
      <c r="J413" s="10" t="s">
        <v>242</v>
      </c>
      <c r="K413" s="10" t="s">
        <v>15</v>
      </c>
      <c r="L413" s="10" t="s">
        <v>282</v>
      </c>
      <c r="M413" s="10">
        <v>16</v>
      </c>
      <c r="N413" s="10">
        <v>3500</v>
      </c>
      <c r="O413" s="10">
        <v>15</v>
      </c>
      <c r="P413" s="10">
        <v>47600</v>
      </c>
      <c r="Q413" s="10">
        <v>3</v>
      </c>
      <c r="R413" s="10" t="s">
        <v>277</v>
      </c>
      <c r="S413" s="10" t="s">
        <v>246</v>
      </c>
      <c r="T413" s="10" t="s">
        <v>308</v>
      </c>
      <c r="U413" s="10">
        <v>9207561051</v>
      </c>
      <c r="V413" s="12" t="s">
        <v>265</v>
      </c>
      <c r="W413" t="str">
        <f t="shared" si="44"/>
        <v>Blacklisted</v>
      </c>
      <c r="X413" t="str">
        <f t="shared" si="45"/>
        <v>Priya Patel</v>
      </c>
      <c r="Y413" t="str">
        <f t="shared" si="43"/>
        <v>Pri002Hy</v>
      </c>
      <c r="Z413" t="str">
        <f t="shared" si="46"/>
        <v>priya.patel@company.com</v>
      </c>
      <c r="AA413">
        <f t="shared" ca="1" si="49"/>
        <v>22</v>
      </c>
      <c r="AB413" t="str">
        <f t="shared" si="47"/>
        <v/>
      </c>
      <c r="AC413" t="str">
        <f t="shared" si="48"/>
        <v>Delayed</v>
      </c>
    </row>
    <row r="414" spans="1:29">
      <c r="A414" s="33" t="s">
        <v>1045</v>
      </c>
      <c r="B414" s="5" t="s">
        <v>358</v>
      </c>
      <c r="C414" s="5" t="s">
        <v>347</v>
      </c>
      <c r="D414" s="5" t="s">
        <v>42</v>
      </c>
      <c r="E414" s="5" t="s">
        <v>728</v>
      </c>
      <c r="F414" s="5" t="s">
        <v>359</v>
      </c>
      <c r="G414" s="5" t="s">
        <v>239</v>
      </c>
      <c r="H414" s="5" t="s">
        <v>1046</v>
      </c>
      <c r="I414" s="5" t="s">
        <v>241</v>
      </c>
      <c r="J414" s="5" t="s">
        <v>242</v>
      </c>
      <c r="K414" s="5" t="s">
        <v>295</v>
      </c>
      <c r="L414" s="5" t="s">
        <v>349</v>
      </c>
      <c r="M414" s="5">
        <v>20</v>
      </c>
      <c r="N414" s="5">
        <v>20</v>
      </c>
      <c r="O414" s="5">
        <v>15</v>
      </c>
      <c r="P414" s="5">
        <v>340</v>
      </c>
      <c r="Q414" s="5">
        <v>1</v>
      </c>
      <c r="R414" s="5" t="s">
        <v>245</v>
      </c>
      <c r="S414" s="5" t="s">
        <v>246</v>
      </c>
      <c r="T414" s="5" t="s">
        <v>360</v>
      </c>
      <c r="U414" s="5">
        <v>9159894508</v>
      </c>
      <c r="V414" s="8" t="s">
        <v>265</v>
      </c>
      <c r="W414" t="str">
        <f t="shared" si="44"/>
        <v>Blacklisted</v>
      </c>
      <c r="X414" t="str">
        <f t="shared" si="45"/>
        <v>Sneha Joshi</v>
      </c>
      <c r="Y414" t="str">
        <f t="shared" si="43"/>
        <v>Sne006Be</v>
      </c>
      <c r="Z414" t="str">
        <f t="shared" si="46"/>
        <v>sneha.joshi@company.com</v>
      </c>
      <c r="AA414" t="str">
        <f t="shared" ca="1" si="49"/>
        <v/>
      </c>
      <c r="AB414">
        <f t="shared" si="47"/>
        <v>8</v>
      </c>
      <c r="AC414" t="str">
        <f t="shared" si="48"/>
        <v>Delayed</v>
      </c>
    </row>
    <row r="415" spans="1:29">
      <c r="A415" s="34" t="s">
        <v>1047</v>
      </c>
      <c r="B415" s="10" t="s">
        <v>321</v>
      </c>
      <c r="C415" s="10" t="s">
        <v>236</v>
      </c>
      <c r="D415" s="11">
        <v>45904</v>
      </c>
      <c r="E415" s="10" t="s">
        <v>536</v>
      </c>
      <c r="F415" s="10" t="s">
        <v>408</v>
      </c>
      <c r="G415" s="10" t="s">
        <v>239</v>
      </c>
      <c r="H415" s="11">
        <v>29201</v>
      </c>
      <c r="I415" s="10" t="s">
        <v>306</v>
      </c>
      <c r="J415" s="10" t="s">
        <v>287</v>
      </c>
      <c r="K415" s="10" t="s">
        <v>243</v>
      </c>
      <c r="L415" s="10" t="s">
        <v>244</v>
      </c>
      <c r="M415" s="10">
        <v>1</v>
      </c>
      <c r="N415" s="10">
        <v>55000</v>
      </c>
      <c r="O415" s="10">
        <v>15</v>
      </c>
      <c r="P415" s="10">
        <v>46750</v>
      </c>
      <c r="Q415" s="10">
        <v>2</v>
      </c>
      <c r="R415" s="10" t="s">
        <v>277</v>
      </c>
      <c r="S415" s="10" t="s">
        <v>292</v>
      </c>
      <c r="T415" s="10" t="s">
        <v>326</v>
      </c>
      <c r="U415" s="10">
        <v>9531465024</v>
      </c>
      <c r="V415" s="12" t="s">
        <v>265</v>
      </c>
      <c r="W415" t="str">
        <f t="shared" si="44"/>
        <v>Blacklisted</v>
      </c>
      <c r="X415" t="str">
        <f t="shared" si="45"/>
        <v>Anita Gupta</v>
      </c>
      <c r="Y415" t="str">
        <f t="shared" si="43"/>
        <v>Ani004Ah</v>
      </c>
      <c r="Z415" t="str">
        <f t="shared" si="46"/>
        <v>anita.gupta@company.com</v>
      </c>
      <c r="AA415" t="str">
        <f t="shared" ca="1" si="49"/>
        <v/>
      </c>
      <c r="AB415" t="str">
        <f t="shared" si="47"/>
        <v/>
      </c>
      <c r="AC415" t="str">
        <f t="shared" si="48"/>
        <v>Delayed</v>
      </c>
    </row>
    <row r="416" spans="1:29">
      <c r="A416" s="33" t="s">
        <v>1048</v>
      </c>
      <c r="B416" s="5" t="s">
        <v>284</v>
      </c>
      <c r="C416" s="5" t="s">
        <v>294</v>
      </c>
      <c r="D416" s="5" t="s">
        <v>31</v>
      </c>
      <c r="E416" s="5" t="s">
        <v>519</v>
      </c>
      <c r="F416" s="5" t="s">
        <v>285</v>
      </c>
      <c r="G416" s="5" t="s">
        <v>239</v>
      </c>
      <c r="H416" s="5" t="s">
        <v>1049</v>
      </c>
      <c r="I416" s="5" t="s">
        <v>306</v>
      </c>
      <c r="J416" s="5" t="s">
        <v>287</v>
      </c>
      <c r="K416" s="5" t="s">
        <v>295</v>
      </c>
      <c r="L416" s="5" t="s">
        <v>296</v>
      </c>
      <c r="M416" s="5">
        <v>15</v>
      </c>
      <c r="N416" s="5">
        <v>60</v>
      </c>
      <c r="O416" s="5">
        <v>5</v>
      </c>
      <c r="P416" s="5">
        <v>855</v>
      </c>
      <c r="Q416" s="5">
        <v>4</v>
      </c>
      <c r="R416" s="5" t="s">
        <v>245</v>
      </c>
      <c r="S416" s="5" t="s">
        <v>246</v>
      </c>
      <c r="T416" s="5" t="s">
        <v>308</v>
      </c>
      <c r="U416" s="5">
        <v>9158813608</v>
      </c>
      <c r="V416" s="8" t="s">
        <v>257</v>
      </c>
      <c r="W416" t="str">
        <f t="shared" si="44"/>
        <v>Silver</v>
      </c>
      <c r="X416" t="str">
        <f t="shared" si="45"/>
        <v>Priya Patel</v>
      </c>
      <c r="Y416" t="str">
        <f t="shared" si="43"/>
        <v>Pri002Ah</v>
      </c>
      <c r="Z416" t="str">
        <f t="shared" si="46"/>
        <v>priya.patel@company.com</v>
      </c>
      <c r="AA416">
        <f t="shared" ca="1" si="49"/>
        <v>46</v>
      </c>
      <c r="AB416">
        <f t="shared" si="47"/>
        <v>5</v>
      </c>
      <c r="AC416" t="str">
        <f t="shared" si="48"/>
        <v>On time</v>
      </c>
    </row>
    <row r="417" spans="1:29">
      <c r="A417" s="34" t="s">
        <v>1050</v>
      </c>
      <c r="B417" s="10" t="s">
        <v>275</v>
      </c>
      <c r="C417" s="10" t="s">
        <v>330</v>
      </c>
      <c r="D417" s="10" t="s">
        <v>164</v>
      </c>
      <c r="E417" s="11">
        <v>46057</v>
      </c>
      <c r="F417" s="10" t="s">
        <v>328</v>
      </c>
      <c r="G417" s="10" t="s">
        <v>269</v>
      </c>
      <c r="H417" s="11">
        <v>28006</v>
      </c>
      <c r="I417" s="10" t="s">
        <v>286</v>
      </c>
      <c r="J417" s="10" t="s">
        <v>287</v>
      </c>
      <c r="K417" s="10" t="s">
        <v>243</v>
      </c>
      <c r="L417" s="10" t="s">
        <v>333</v>
      </c>
      <c r="M417" s="10">
        <v>15</v>
      </c>
      <c r="N417" s="10">
        <v>700</v>
      </c>
      <c r="O417" s="10">
        <v>0</v>
      </c>
      <c r="P417" s="10">
        <v>10500</v>
      </c>
      <c r="Q417" s="10">
        <v>5</v>
      </c>
      <c r="R417" s="10" t="s">
        <v>245</v>
      </c>
      <c r="S417" s="10" t="s">
        <v>292</v>
      </c>
      <c r="T417" s="10" t="s">
        <v>278</v>
      </c>
      <c r="U417" s="10">
        <v>9308461700</v>
      </c>
      <c r="V417" s="12" t="s">
        <v>257</v>
      </c>
      <c r="W417" t="str">
        <f t="shared" si="44"/>
        <v>Silver</v>
      </c>
      <c r="X417" t="str">
        <f t="shared" si="45"/>
        <v>Arjun Rao</v>
      </c>
      <c r="Y417" t="str">
        <f t="shared" si="43"/>
        <v>Arj007Mu</v>
      </c>
      <c r="Z417" t="str">
        <f t="shared" si="46"/>
        <v>arjun.rao@company.com</v>
      </c>
      <c r="AA417" t="str">
        <f t="shared" ca="1" si="49"/>
        <v/>
      </c>
      <c r="AB417" t="str">
        <f t="shared" si="47"/>
        <v/>
      </c>
      <c r="AC417" t="str">
        <f t="shared" si="48"/>
        <v>Delayed</v>
      </c>
    </row>
    <row r="418" spans="1:29">
      <c r="A418" s="33" t="s">
        <v>1051</v>
      </c>
      <c r="B418" s="5" t="s">
        <v>346</v>
      </c>
      <c r="C418" s="5" t="s">
        <v>258</v>
      </c>
      <c r="D418" s="6">
        <v>46143</v>
      </c>
      <c r="E418" s="6">
        <v>46266</v>
      </c>
      <c r="F418" s="5" t="s">
        <v>348</v>
      </c>
      <c r="G418" s="5" t="s">
        <v>269</v>
      </c>
      <c r="H418" s="5" t="s">
        <v>1052</v>
      </c>
      <c r="I418" s="5" t="s">
        <v>379</v>
      </c>
      <c r="J418" s="5" t="s">
        <v>21</v>
      </c>
      <c r="K418" s="5" t="s">
        <v>243</v>
      </c>
      <c r="L418" s="5" t="s">
        <v>262</v>
      </c>
      <c r="M418" s="5">
        <v>13</v>
      </c>
      <c r="N418" s="5">
        <v>12000</v>
      </c>
      <c r="O418" s="5">
        <v>10</v>
      </c>
      <c r="P418" s="5">
        <v>140400</v>
      </c>
      <c r="Q418" s="5">
        <v>1</v>
      </c>
      <c r="R418" s="5" t="s">
        <v>254</v>
      </c>
      <c r="S418" s="5" t="s">
        <v>312</v>
      </c>
      <c r="T418" s="5" t="s">
        <v>350</v>
      </c>
      <c r="U418" s="5">
        <v>9882279049</v>
      </c>
      <c r="V418" s="8" t="s">
        <v>265</v>
      </c>
      <c r="W418" t="str">
        <f t="shared" si="44"/>
        <v>Blacklisted</v>
      </c>
      <c r="X418" t="str">
        <f t="shared" si="45"/>
        <v>Vikas Mehta</v>
      </c>
      <c r="Y418" t="str">
        <f t="shared" si="43"/>
        <v>Vik005Ko</v>
      </c>
      <c r="Z418" t="str">
        <f t="shared" si="46"/>
        <v>vikas.mehta@company.com</v>
      </c>
      <c r="AA418">
        <f t="shared" ca="1" si="49"/>
        <v>50</v>
      </c>
      <c r="AB418" t="str">
        <f t="shared" si="47"/>
        <v/>
      </c>
      <c r="AC418" t="str">
        <f t="shared" si="48"/>
        <v>Delayed</v>
      </c>
    </row>
    <row r="419" spans="1:29">
      <c r="A419" s="34" t="s">
        <v>1053</v>
      </c>
      <c r="B419" s="10" t="s">
        <v>275</v>
      </c>
      <c r="C419" s="10" t="s">
        <v>258</v>
      </c>
      <c r="D419" s="10" t="s">
        <v>60</v>
      </c>
      <c r="E419" s="10" t="s">
        <v>186</v>
      </c>
      <c r="F419" s="10" t="s">
        <v>328</v>
      </c>
      <c r="G419" s="10" t="s">
        <v>269</v>
      </c>
      <c r="H419" s="10" t="s">
        <v>1054</v>
      </c>
      <c r="I419" s="10" t="s">
        <v>252</v>
      </c>
      <c r="J419" s="10" t="s">
        <v>242</v>
      </c>
      <c r="K419" s="10" t="s">
        <v>243</v>
      </c>
      <c r="L419" s="10" t="s">
        <v>262</v>
      </c>
      <c r="M419" s="10">
        <v>12</v>
      </c>
      <c r="N419" s="10">
        <v>12000</v>
      </c>
      <c r="O419" s="10">
        <v>20</v>
      </c>
      <c r="P419" s="10">
        <v>115200</v>
      </c>
      <c r="Q419" s="10">
        <v>2</v>
      </c>
      <c r="R419" s="10" t="s">
        <v>254</v>
      </c>
      <c r="S419" s="10" t="s">
        <v>255</v>
      </c>
      <c r="T419" s="10" t="s">
        <v>278</v>
      </c>
      <c r="U419" s="10">
        <v>9961801338</v>
      </c>
      <c r="V419" s="12" t="s">
        <v>257</v>
      </c>
      <c r="W419" t="str">
        <f t="shared" si="44"/>
        <v>Blacklisted</v>
      </c>
      <c r="X419" t="str">
        <f t="shared" si="45"/>
        <v>Arjun Rao</v>
      </c>
      <c r="Y419" t="str">
        <f t="shared" si="43"/>
        <v>Arj007Hy</v>
      </c>
      <c r="Z419" t="str">
        <f t="shared" si="46"/>
        <v>arjun.rao@company.com</v>
      </c>
      <c r="AA419" t="str">
        <f t="shared" ca="1" si="49"/>
        <v/>
      </c>
      <c r="AB419">
        <f t="shared" si="47"/>
        <v>12</v>
      </c>
      <c r="AC419" t="str">
        <f t="shared" si="48"/>
        <v>Delayed</v>
      </c>
    </row>
    <row r="420" spans="1:29">
      <c r="A420" s="33" t="s">
        <v>1055</v>
      </c>
      <c r="B420" s="5" t="s">
        <v>275</v>
      </c>
      <c r="C420" s="5" t="s">
        <v>362</v>
      </c>
      <c r="D420" s="5" t="s">
        <v>140</v>
      </c>
      <c r="E420" s="5" t="s">
        <v>184</v>
      </c>
      <c r="F420" s="5" t="s">
        <v>328</v>
      </c>
      <c r="G420" s="5" t="s">
        <v>269</v>
      </c>
      <c r="H420" s="6">
        <v>37931</v>
      </c>
      <c r="I420" s="5" t="s">
        <v>286</v>
      </c>
      <c r="J420" s="5" t="s">
        <v>287</v>
      </c>
      <c r="K420" s="5" t="s">
        <v>295</v>
      </c>
      <c r="L420" s="5" t="s">
        <v>363</v>
      </c>
      <c r="M420" s="5">
        <v>10</v>
      </c>
      <c r="N420" s="5">
        <v>45</v>
      </c>
      <c r="O420" s="5">
        <v>0</v>
      </c>
      <c r="P420" s="5">
        <v>450</v>
      </c>
      <c r="Q420" s="5">
        <v>5</v>
      </c>
      <c r="R420" s="5" t="s">
        <v>272</v>
      </c>
      <c r="S420" s="5" t="s">
        <v>292</v>
      </c>
      <c r="T420" s="5" t="s">
        <v>278</v>
      </c>
      <c r="U420" s="5">
        <v>9853525026</v>
      </c>
      <c r="V420" s="8" t="s">
        <v>265</v>
      </c>
      <c r="W420" t="str">
        <f t="shared" si="44"/>
        <v>Blacklisted</v>
      </c>
      <c r="X420" t="str">
        <f t="shared" si="45"/>
        <v>Arjun Rao</v>
      </c>
      <c r="Y420" t="str">
        <f t="shared" si="43"/>
        <v>Arj007Mu</v>
      </c>
      <c r="Z420" t="str">
        <f t="shared" si="46"/>
        <v>arjun.rao@company.com</v>
      </c>
      <c r="AA420" t="str">
        <f t="shared" ca="1" si="49"/>
        <v/>
      </c>
      <c r="AB420">
        <f t="shared" si="47"/>
        <v>4</v>
      </c>
      <c r="AC420" t="str">
        <f t="shared" si="48"/>
        <v>On time</v>
      </c>
    </row>
    <row r="421" spans="1:29">
      <c r="A421" s="34" t="s">
        <v>1056</v>
      </c>
      <c r="B421" s="10" t="s">
        <v>299</v>
      </c>
      <c r="C421" s="10" t="s">
        <v>267</v>
      </c>
      <c r="D421" s="10" t="s">
        <v>165</v>
      </c>
      <c r="E421" s="11">
        <v>45905</v>
      </c>
      <c r="F421" s="10" t="s">
        <v>301</v>
      </c>
      <c r="G421" s="10" t="s">
        <v>269</v>
      </c>
      <c r="H421" s="11">
        <v>29871</v>
      </c>
      <c r="I421" s="10" t="s">
        <v>286</v>
      </c>
      <c r="J421" s="10" t="s">
        <v>287</v>
      </c>
      <c r="K421" s="10" t="s">
        <v>243</v>
      </c>
      <c r="L421" s="10" t="s">
        <v>271</v>
      </c>
      <c r="M421" s="10">
        <v>20</v>
      </c>
      <c r="N421" s="10">
        <v>1200</v>
      </c>
      <c r="O421" s="10">
        <v>20</v>
      </c>
      <c r="P421" s="10">
        <v>19200</v>
      </c>
      <c r="Q421" s="10">
        <v>5</v>
      </c>
      <c r="R421" s="10" t="s">
        <v>245</v>
      </c>
      <c r="S421" s="10" t="s">
        <v>246</v>
      </c>
      <c r="T421" s="10" t="s">
        <v>302</v>
      </c>
      <c r="U421" s="10">
        <v>9209649485</v>
      </c>
      <c r="V421" s="12" t="s">
        <v>265</v>
      </c>
      <c r="W421" t="str">
        <f t="shared" si="44"/>
        <v>Blacklisted</v>
      </c>
      <c r="X421" t="str">
        <f t="shared" si="45"/>
        <v>Rohit Singh</v>
      </c>
      <c r="Y421" t="str">
        <f t="shared" si="43"/>
        <v>Roh003Mu</v>
      </c>
      <c r="Z421" t="str">
        <f t="shared" si="46"/>
        <v>rohit.singh@company.com</v>
      </c>
      <c r="AA421">
        <f t="shared" ca="1" si="49"/>
        <v>22</v>
      </c>
      <c r="AB421" t="str">
        <f t="shared" si="47"/>
        <v/>
      </c>
      <c r="AC421" t="str">
        <f t="shared" si="48"/>
        <v>Delayed</v>
      </c>
    </row>
    <row r="422" spans="1:29">
      <c r="A422" s="33" t="s">
        <v>1057</v>
      </c>
      <c r="B422" s="5" t="s">
        <v>266</v>
      </c>
      <c r="C422" s="5" t="s">
        <v>267</v>
      </c>
      <c r="D422" s="5" t="s">
        <v>83</v>
      </c>
      <c r="E422" s="5" t="s">
        <v>1058</v>
      </c>
      <c r="F422" s="5" t="s">
        <v>268</v>
      </c>
      <c r="G422" s="5" t="s">
        <v>269</v>
      </c>
      <c r="H422" s="5" t="s">
        <v>1059</v>
      </c>
      <c r="I422" s="5" t="s">
        <v>291</v>
      </c>
      <c r="J422" s="5" t="s">
        <v>287</v>
      </c>
      <c r="K422" s="5" t="s">
        <v>243</v>
      </c>
      <c r="L422" s="5" t="s">
        <v>271</v>
      </c>
      <c r="M422" s="5">
        <v>8</v>
      </c>
      <c r="N422" s="5">
        <v>1200</v>
      </c>
      <c r="O422" s="5">
        <v>10</v>
      </c>
      <c r="P422" s="5">
        <v>8640</v>
      </c>
      <c r="Q422" s="5">
        <v>4</v>
      </c>
      <c r="R422" s="5" t="s">
        <v>245</v>
      </c>
      <c r="S422" s="5" t="s">
        <v>246</v>
      </c>
      <c r="T422" s="5" t="s">
        <v>273</v>
      </c>
      <c r="U422" s="5">
        <v>9712905525</v>
      </c>
      <c r="V422" s="8" t="s">
        <v>257</v>
      </c>
      <c r="W422" t="str">
        <f t="shared" si="44"/>
        <v>Silver</v>
      </c>
      <c r="X422" t="str">
        <f t="shared" si="45"/>
        <v>Mohit Verma</v>
      </c>
      <c r="Y422" t="str">
        <f t="shared" si="43"/>
        <v>Moh009Pu</v>
      </c>
      <c r="Z422" t="str">
        <f t="shared" si="46"/>
        <v>mohit.verma@company.com</v>
      </c>
      <c r="AA422">
        <f t="shared" ca="1" si="49"/>
        <v>45</v>
      </c>
      <c r="AB422">
        <f t="shared" si="47"/>
        <v>7</v>
      </c>
      <c r="AC422" t="str">
        <f t="shared" si="48"/>
        <v>Delayed</v>
      </c>
    </row>
    <row r="423" spans="1:29">
      <c r="A423" s="34" t="s">
        <v>1060</v>
      </c>
      <c r="B423" s="10" t="s">
        <v>299</v>
      </c>
      <c r="C423" s="10" t="s">
        <v>267</v>
      </c>
      <c r="D423" s="10" t="s">
        <v>68</v>
      </c>
      <c r="E423" s="10" t="s">
        <v>91</v>
      </c>
      <c r="F423" s="10" t="s">
        <v>301</v>
      </c>
      <c r="G423" s="10" t="s">
        <v>269</v>
      </c>
      <c r="H423" s="10" t="s">
        <v>1061</v>
      </c>
      <c r="I423" s="10" t="s">
        <v>342</v>
      </c>
      <c r="J423" s="10" t="s">
        <v>261</v>
      </c>
      <c r="K423" s="10" t="s">
        <v>243</v>
      </c>
      <c r="L423" s="10" t="s">
        <v>271</v>
      </c>
      <c r="M423" s="10">
        <v>8</v>
      </c>
      <c r="N423" s="10">
        <v>1200</v>
      </c>
      <c r="O423" s="10">
        <v>10</v>
      </c>
      <c r="P423" s="10">
        <v>8640</v>
      </c>
      <c r="Q423" s="10">
        <v>5</v>
      </c>
      <c r="R423" s="10" t="s">
        <v>272</v>
      </c>
      <c r="S423" s="10" t="s">
        <v>263</v>
      </c>
      <c r="T423" s="10" t="s">
        <v>302</v>
      </c>
      <c r="U423" s="10">
        <v>9812472447</v>
      </c>
      <c r="V423" s="12" t="s">
        <v>265</v>
      </c>
      <c r="W423" t="str">
        <f t="shared" si="44"/>
        <v>Blacklisted</v>
      </c>
      <c r="X423" t="str">
        <f t="shared" si="45"/>
        <v>Rohit Singh</v>
      </c>
      <c r="Y423" t="str">
        <f t="shared" si="43"/>
        <v>Roh003Ja</v>
      </c>
      <c r="Z423" t="str">
        <f t="shared" si="46"/>
        <v>rohit.singh@company.com</v>
      </c>
      <c r="AA423" t="str">
        <f t="shared" ca="1" si="49"/>
        <v/>
      </c>
      <c r="AB423">
        <f t="shared" si="47"/>
        <v>2</v>
      </c>
      <c r="AC423" t="str">
        <f t="shared" si="48"/>
        <v>On time</v>
      </c>
    </row>
    <row r="424" spans="1:29">
      <c r="A424" s="33" t="s">
        <v>1062</v>
      </c>
      <c r="B424" s="5" t="s">
        <v>392</v>
      </c>
      <c r="C424" s="5" t="s">
        <v>250</v>
      </c>
      <c r="D424" s="5" t="s">
        <v>193</v>
      </c>
      <c r="E424" s="5" t="s">
        <v>882</v>
      </c>
      <c r="F424" s="5" t="s">
        <v>323</v>
      </c>
      <c r="G424" s="5" t="s">
        <v>269</v>
      </c>
      <c r="H424" s="5" t="s">
        <v>1063</v>
      </c>
      <c r="I424" s="5" t="s">
        <v>342</v>
      </c>
      <c r="J424" s="5" t="s">
        <v>261</v>
      </c>
      <c r="K424" s="5" t="s">
        <v>15</v>
      </c>
      <c r="L424" s="5" t="s">
        <v>253</v>
      </c>
      <c r="M424" s="5">
        <v>9</v>
      </c>
      <c r="N424" s="5">
        <v>2200</v>
      </c>
      <c r="O424" s="5">
        <v>20</v>
      </c>
      <c r="P424" s="5">
        <v>15840</v>
      </c>
      <c r="Q424" s="5">
        <v>1</v>
      </c>
      <c r="R424" s="5" t="s">
        <v>245</v>
      </c>
      <c r="S424" s="5" t="s">
        <v>292</v>
      </c>
      <c r="T424" s="5" t="s">
        <v>395</v>
      </c>
      <c r="U424" s="5">
        <v>9281127052</v>
      </c>
      <c r="V424" s="8" t="s">
        <v>257</v>
      </c>
      <c r="W424" t="str">
        <f t="shared" si="44"/>
        <v>Blacklisted</v>
      </c>
      <c r="X424" t="str">
        <f t="shared" si="45"/>
        <v>Amit Sharma</v>
      </c>
      <c r="Y424" t="str">
        <f t="shared" si="43"/>
        <v>Ami001Ja</v>
      </c>
      <c r="Z424" t="str">
        <f t="shared" si="46"/>
        <v>amit.sharma@company.com</v>
      </c>
      <c r="AA424" t="str">
        <f t="shared" ca="1" si="49"/>
        <v/>
      </c>
      <c r="AB424">
        <f t="shared" si="47"/>
        <v>1</v>
      </c>
      <c r="AC424" t="str">
        <f t="shared" si="48"/>
        <v>On time</v>
      </c>
    </row>
    <row r="425" spans="1:29">
      <c r="A425" s="34" t="s">
        <v>1064</v>
      </c>
      <c r="B425" s="10" t="s">
        <v>299</v>
      </c>
      <c r="C425" s="10" t="s">
        <v>347</v>
      </c>
      <c r="D425" s="11">
        <v>45992</v>
      </c>
      <c r="E425" s="10" t="s">
        <v>40</v>
      </c>
      <c r="F425" s="10" t="s">
        <v>301</v>
      </c>
      <c r="G425" s="10" t="s">
        <v>269</v>
      </c>
      <c r="H425" s="10" t="s">
        <v>1065</v>
      </c>
      <c r="I425" s="10" t="s">
        <v>379</v>
      </c>
      <c r="J425" s="10" t="s">
        <v>21</v>
      </c>
      <c r="K425" s="10" t="s">
        <v>295</v>
      </c>
      <c r="L425" s="10" t="s">
        <v>349</v>
      </c>
      <c r="M425" s="10">
        <v>8</v>
      </c>
      <c r="N425" s="10">
        <v>20</v>
      </c>
      <c r="O425" s="10">
        <v>20</v>
      </c>
      <c r="P425" s="10">
        <v>128</v>
      </c>
      <c r="Q425" s="10">
        <v>4</v>
      </c>
      <c r="R425" s="10" t="s">
        <v>254</v>
      </c>
      <c r="S425" s="10" t="s">
        <v>255</v>
      </c>
      <c r="T425" s="10" t="s">
        <v>302</v>
      </c>
      <c r="U425" s="10">
        <v>9346312555</v>
      </c>
      <c r="V425" s="12" t="s">
        <v>265</v>
      </c>
      <c r="W425" t="str">
        <f t="shared" si="44"/>
        <v>Blacklisted</v>
      </c>
      <c r="X425" t="str">
        <f t="shared" si="45"/>
        <v>Rohit Singh</v>
      </c>
      <c r="Y425" t="str">
        <f t="shared" si="43"/>
        <v>Roh003Ko</v>
      </c>
      <c r="Z425" t="str">
        <f t="shared" si="46"/>
        <v>rohit.singh@company.com</v>
      </c>
      <c r="AA425" t="str">
        <f t="shared" ca="1" si="49"/>
        <v/>
      </c>
      <c r="AB425" t="str">
        <f t="shared" si="47"/>
        <v/>
      </c>
      <c r="AC425" t="str">
        <f t="shared" si="48"/>
        <v>Delayed</v>
      </c>
    </row>
    <row r="426" spans="1:29">
      <c r="A426" s="33" t="s">
        <v>1066</v>
      </c>
      <c r="B426" s="5" t="s">
        <v>346</v>
      </c>
      <c r="C426" s="5" t="s">
        <v>236</v>
      </c>
      <c r="D426" s="5" t="s">
        <v>6</v>
      </c>
      <c r="E426" s="5" t="s">
        <v>1067</v>
      </c>
      <c r="F426" s="5" t="s">
        <v>348</v>
      </c>
      <c r="G426" s="5" t="s">
        <v>269</v>
      </c>
      <c r="H426" s="5" t="s">
        <v>683</v>
      </c>
      <c r="I426" s="5" t="s">
        <v>291</v>
      </c>
      <c r="J426" s="5" t="s">
        <v>287</v>
      </c>
      <c r="K426" s="5" t="s">
        <v>243</v>
      </c>
      <c r="L426" s="5" t="s">
        <v>244</v>
      </c>
      <c r="M426" s="5">
        <v>5</v>
      </c>
      <c r="N426" s="5">
        <v>55000</v>
      </c>
      <c r="O426" s="5">
        <v>0</v>
      </c>
      <c r="P426" s="5">
        <v>275000</v>
      </c>
      <c r="Q426" s="5">
        <v>1</v>
      </c>
      <c r="R426" s="5" t="s">
        <v>272</v>
      </c>
      <c r="S426" s="5" t="s">
        <v>292</v>
      </c>
      <c r="T426" s="5" t="s">
        <v>350</v>
      </c>
      <c r="U426" s="5">
        <v>9443786067</v>
      </c>
      <c r="V426" s="8" t="s">
        <v>257</v>
      </c>
      <c r="W426" t="str">
        <f t="shared" si="44"/>
        <v>Blacklisted</v>
      </c>
      <c r="X426" t="str">
        <f t="shared" si="45"/>
        <v>Vikas Mehta</v>
      </c>
      <c r="Y426" t="str">
        <f t="shared" si="43"/>
        <v>Vik005Pu</v>
      </c>
      <c r="Z426" t="str">
        <f t="shared" si="46"/>
        <v>vikas.mehta@company.com</v>
      </c>
      <c r="AA426" t="str">
        <f t="shared" ca="1" si="49"/>
        <v/>
      </c>
      <c r="AB426">
        <f t="shared" si="47"/>
        <v>9</v>
      </c>
      <c r="AC426" t="str">
        <f t="shared" si="48"/>
        <v>Delayed</v>
      </c>
    </row>
    <row r="427" spans="1:29">
      <c r="A427" s="34" t="s">
        <v>1068</v>
      </c>
      <c r="B427" s="10" t="s">
        <v>284</v>
      </c>
      <c r="C427" s="10" t="s">
        <v>267</v>
      </c>
      <c r="D427" s="10" t="s">
        <v>32</v>
      </c>
      <c r="E427" s="10" t="s">
        <v>525</v>
      </c>
      <c r="F427" s="10" t="s">
        <v>285</v>
      </c>
      <c r="G427" s="10" t="s">
        <v>239</v>
      </c>
      <c r="H427" s="10" t="s">
        <v>1069</v>
      </c>
      <c r="I427" s="10" t="s">
        <v>286</v>
      </c>
      <c r="J427" s="10" t="s">
        <v>287</v>
      </c>
      <c r="K427" s="10" t="s">
        <v>243</v>
      </c>
      <c r="L427" s="10" t="s">
        <v>271</v>
      </c>
      <c r="M427" s="10">
        <v>13</v>
      </c>
      <c r="N427" s="10">
        <v>1200</v>
      </c>
      <c r="O427" s="10">
        <v>5</v>
      </c>
      <c r="P427" s="10">
        <v>14820</v>
      </c>
      <c r="Q427" s="10">
        <v>2</v>
      </c>
      <c r="R427" s="10" t="s">
        <v>272</v>
      </c>
      <c r="S427" s="10" t="s">
        <v>255</v>
      </c>
      <c r="T427" s="10" t="s">
        <v>308</v>
      </c>
      <c r="U427" s="10">
        <v>9452540528</v>
      </c>
      <c r="V427" s="12" t="s">
        <v>265</v>
      </c>
      <c r="W427" t="str">
        <f t="shared" si="44"/>
        <v>Blacklisted</v>
      </c>
      <c r="X427" t="str">
        <f t="shared" si="45"/>
        <v>Priya Patel</v>
      </c>
      <c r="Y427" t="str">
        <f t="shared" si="43"/>
        <v>Pri002Mu</v>
      </c>
      <c r="Z427" t="str">
        <f t="shared" si="46"/>
        <v>priya.patel@company.com</v>
      </c>
      <c r="AA427" t="str">
        <f t="shared" ca="1" si="49"/>
        <v/>
      </c>
      <c r="AB427">
        <f t="shared" si="47"/>
        <v>3</v>
      </c>
      <c r="AC427" t="str">
        <f t="shared" si="48"/>
        <v>On time</v>
      </c>
    </row>
    <row r="428" spans="1:29">
      <c r="A428" s="33" t="s">
        <v>1070</v>
      </c>
      <c r="B428" s="5" t="s">
        <v>275</v>
      </c>
      <c r="C428" s="5" t="s">
        <v>322</v>
      </c>
      <c r="D428" s="5" t="s">
        <v>147</v>
      </c>
      <c r="E428" s="5" t="s">
        <v>1071</v>
      </c>
      <c r="F428" s="5" t="s">
        <v>328</v>
      </c>
      <c r="G428" s="5" t="s">
        <v>269</v>
      </c>
      <c r="H428" s="6">
        <v>37602</v>
      </c>
      <c r="I428" s="5" t="s">
        <v>342</v>
      </c>
      <c r="J428" s="5" t="s">
        <v>261</v>
      </c>
      <c r="K428" s="5" t="s">
        <v>15</v>
      </c>
      <c r="L428" s="5" t="s">
        <v>325</v>
      </c>
      <c r="M428" s="5">
        <v>13</v>
      </c>
      <c r="N428" s="5">
        <v>8500</v>
      </c>
      <c r="O428" s="5">
        <v>20</v>
      </c>
      <c r="P428" s="5">
        <v>88400</v>
      </c>
      <c r="Q428" s="5">
        <v>5</v>
      </c>
      <c r="R428" s="5" t="s">
        <v>254</v>
      </c>
      <c r="S428" s="5" t="s">
        <v>263</v>
      </c>
      <c r="T428" s="5" t="s">
        <v>278</v>
      </c>
      <c r="U428" s="5">
        <v>9750918728</v>
      </c>
      <c r="V428" s="8" t="s">
        <v>248</v>
      </c>
      <c r="W428" t="str">
        <f t="shared" si="44"/>
        <v/>
      </c>
      <c r="X428" t="str">
        <f t="shared" si="45"/>
        <v>Arjun Rao</v>
      </c>
      <c r="Y428" t="str">
        <f t="shared" si="43"/>
        <v>Arj007Ja</v>
      </c>
      <c r="Z428" t="str">
        <f t="shared" si="46"/>
        <v>arjun.rao@company.com</v>
      </c>
      <c r="AA428" t="str">
        <f t="shared" ca="1" si="49"/>
        <v/>
      </c>
      <c r="AB428">
        <f t="shared" si="47"/>
        <v>5</v>
      </c>
      <c r="AC428" t="str">
        <f t="shared" si="48"/>
        <v>On time</v>
      </c>
    </row>
    <row r="429" spans="1:29">
      <c r="A429" s="34" t="s">
        <v>1072</v>
      </c>
      <c r="B429" s="10" t="s">
        <v>266</v>
      </c>
      <c r="C429" s="10" t="s">
        <v>294</v>
      </c>
      <c r="D429" s="11">
        <v>45749</v>
      </c>
      <c r="E429" s="10" t="s">
        <v>1073</v>
      </c>
      <c r="F429" s="10" t="s">
        <v>268</v>
      </c>
      <c r="G429" s="10" t="s">
        <v>269</v>
      </c>
      <c r="H429" s="10" t="s">
        <v>1074</v>
      </c>
      <c r="I429" s="10" t="s">
        <v>291</v>
      </c>
      <c r="J429" s="10" t="s">
        <v>287</v>
      </c>
      <c r="K429" s="10" t="s">
        <v>295</v>
      </c>
      <c r="L429" s="10" t="s">
        <v>296</v>
      </c>
      <c r="M429" s="10">
        <v>14</v>
      </c>
      <c r="N429" s="10">
        <v>60</v>
      </c>
      <c r="O429" s="10">
        <v>10</v>
      </c>
      <c r="P429" s="10">
        <v>756</v>
      </c>
      <c r="Q429" s="10">
        <v>1</v>
      </c>
      <c r="R429" s="10" t="s">
        <v>254</v>
      </c>
      <c r="S429" s="10" t="s">
        <v>246</v>
      </c>
      <c r="T429" s="10" t="s">
        <v>273</v>
      </c>
      <c r="U429" s="10">
        <v>9375975834</v>
      </c>
      <c r="V429" s="12" t="s">
        <v>265</v>
      </c>
      <c r="W429" t="str">
        <f t="shared" si="44"/>
        <v>Blacklisted</v>
      </c>
      <c r="X429" t="str">
        <f t="shared" si="45"/>
        <v>Mohit Verma</v>
      </c>
      <c r="Y429" t="str">
        <f t="shared" si="43"/>
        <v>Moh009Pu</v>
      </c>
      <c r="Z429" t="str">
        <f t="shared" si="46"/>
        <v>mohit.verma@company.com</v>
      </c>
      <c r="AA429">
        <f t="shared" ca="1" si="49"/>
        <v>23</v>
      </c>
      <c r="AB429" t="str">
        <f t="shared" si="47"/>
        <v/>
      </c>
      <c r="AC429" t="str">
        <f t="shared" si="48"/>
        <v>Delayed</v>
      </c>
    </row>
    <row r="430" spans="1:29">
      <c r="A430" s="33" t="s">
        <v>1075</v>
      </c>
      <c r="B430" s="5" t="s">
        <v>358</v>
      </c>
      <c r="C430" s="5" t="s">
        <v>250</v>
      </c>
      <c r="D430" s="5" t="s">
        <v>178</v>
      </c>
      <c r="E430" s="5" t="s">
        <v>511</v>
      </c>
      <c r="F430" s="5" t="s">
        <v>359</v>
      </c>
      <c r="G430" s="5" t="s">
        <v>239</v>
      </c>
      <c r="H430" s="5" t="s">
        <v>1076</v>
      </c>
      <c r="I430" s="5" t="s">
        <v>241</v>
      </c>
      <c r="J430" s="5" t="s">
        <v>242</v>
      </c>
      <c r="K430" s="5" t="s">
        <v>15</v>
      </c>
      <c r="L430" s="5" t="s">
        <v>253</v>
      </c>
      <c r="M430" s="5">
        <v>15</v>
      </c>
      <c r="N430" s="5">
        <v>2200</v>
      </c>
      <c r="O430" s="5">
        <v>0</v>
      </c>
      <c r="P430" s="5">
        <v>33000</v>
      </c>
      <c r="Q430" s="5">
        <v>1</v>
      </c>
      <c r="R430" s="5" t="s">
        <v>254</v>
      </c>
      <c r="S430" s="5" t="s">
        <v>246</v>
      </c>
      <c r="T430" s="5" t="s">
        <v>360</v>
      </c>
      <c r="U430" s="5">
        <v>9497321112</v>
      </c>
      <c r="V430" s="8" t="s">
        <v>257</v>
      </c>
      <c r="W430" t="str">
        <f t="shared" si="44"/>
        <v>Blacklisted</v>
      </c>
      <c r="X430" t="str">
        <f t="shared" si="45"/>
        <v>Sneha Joshi</v>
      </c>
      <c r="Y430" t="str">
        <f t="shared" si="43"/>
        <v>Sne006Be</v>
      </c>
      <c r="Z430" t="str">
        <f t="shared" si="46"/>
        <v>sneha.joshi@company.com</v>
      </c>
      <c r="AA430" t="str">
        <f t="shared" ca="1" si="49"/>
        <v/>
      </c>
      <c r="AB430">
        <f t="shared" si="47"/>
        <v>1</v>
      </c>
      <c r="AC430" t="str">
        <f t="shared" si="48"/>
        <v>On time</v>
      </c>
    </row>
    <row r="431" spans="1:29">
      <c r="A431" s="34" t="s">
        <v>1077</v>
      </c>
      <c r="B431" s="10" t="s">
        <v>275</v>
      </c>
      <c r="C431" s="10" t="s">
        <v>294</v>
      </c>
      <c r="D431" s="10" t="s">
        <v>169</v>
      </c>
      <c r="E431" s="10" t="s">
        <v>1078</v>
      </c>
      <c r="F431" s="10" t="s">
        <v>328</v>
      </c>
      <c r="G431" s="10" t="s">
        <v>269</v>
      </c>
      <c r="H431" s="10" t="s">
        <v>1079</v>
      </c>
      <c r="I431" s="10" t="s">
        <v>342</v>
      </c>
      <c r="J431" s="10" t="s">
        <v>261</v>
      </c>
      <c r="K431" s="10" t="s">
        <v>295</v>
      </c>
      <c r="L431" s="10" t="s">
        <v>296</v>
      </c>
      <c r="M431" s="10">
        <v>19</v>
      </c>
      <c r="N431" s="10">
        <v>60</v>
      </c>
      <c r="O431" s="10">
        <v>20</v>
      </c>
      <c r="P431" s="10">
        <v>912</v>
      </c>
      <c r="Q431" s="10">
        <v>3</v>
      </c>
      <c r="R431" s="10" t="s">
        <v>254</v>
      </c>
      <c r="S431" s="10" t="s">
        <v>312</v>
      </c>
      <c r="T431" s="10" t="s">
        <v>278</v>
      </c>
      <c r="U431" s="10">
        <v>9828749888</v>
      </c>
      <c r="V431" s="12" t="s">
        <v>248</v>
      </c>
      <c r="W431" t="str">
        <f t="shared" si="44"/>
        <v/>
      </c>
      <c r="X431" t="str">
        <f t="shared" si="45"/>
        <v>Arjun Rao</v>
      </c>
      <c r="Y431" t="str">
        <f t="shared" si="43"/>
        <v>Arj007Ja</v>
      </c>
      <c r="Z431" t="str">
        <f t="shared" si="46"/>
        <v>arjun.rao@company.com</v>
      </c>
      <c r="AA431" t="str">
        <f t="shared" ca="1" si="49"/>
        <v/>
      </c>
      <c r="AB431">
        <f t="shared" si="47"/>
        <v>2</v>
      </c>
      <c r="AC431" t="str">
        <f t="shared" si="48"/>
        <v>On time</v>
      </c>
    </row>
    <row r="432" spans="1:29">
      <c r="A432" s="33" t="s">
        <v>1080</v>
      </c>
      <c r="B432" s="5" t="s">
        <v>235</v>
      </c>
      <c r="C432" s="5" t="s">
        <v>362</v>
      </c>
      <c r="D432" s="6">
        <v>46001</v>
      </c>
      <c r="E432" s="5" t="s">
        <v>126</v>
      </c>
      <c r="F432" s="5" t="s">
        <v>318</v>
      </c>
      <c r="G432" s="5" t="s">
        <v>239</v>
      </c>
      <c r="H432" s="5" t="s">
        <v>1081</v>
      </c>
      <c r="I432" s="5" t="s">
        <v>342</v>
      </c>
      <c r="J432" s="5" t="s">
        <v>261</v>
      </c>
      <c r="K432" s="5" t="s">
        <v>295</v>
      </c>
      <c r="L432" s="5" t="s">
        <v>363</v>
      </c>
      <c r="M432" s="5">
        <v>13</v>
      </c>
      <c r="N432" s="5">
        <v>45</v>
      </c>
      <c r="O432" s="5">
        <v>15</v>
      </c>
      <c r="P432" s="5">
        <v>497.25</v>
      </c>
      <c r="Q432" s="5">
        <v>2</v>
      </c>
      <c r="R432" s="5" t="s">
        <v>254</v>
      </c>
      <c r="S432" s="5" t="s">
        <v>263</v>
      </c>
      <c r="T432" s="5" t="s">
        <v>247</v>
      </c>
      <c r="U432" s="5">
        <v>9814267382</v>
      </c>
      <c r="V432" s="8" t="s">
        <v>257</v>
      </c>
      <c r="W432" t="str">
        <f t="shared" si="44"/>
        <v>Blacklisted</v>
      </c>
      <c r="X432" t="str">
        <f t="shared" si="45"/>
        <v>Pooja Shah</v>
      </c>
      <c r="Y432" t="str">
        <f t="shared" si="43"/>
        <v>Poo010Ja</v>
      </c>
      <c r="Z432" t="str">
        <f t="shared" si="46"/>
        <v>pooja.shah@company.com</v>
      </c>
      <c r="AA432" t="str">
        <f t="shared" ca="1" si="49"/>
        <v/>
      </c>
      <c r="AB432" t="str">
        <f t="shared" si="47"/>
        <v/>
      </c>
      <c r="AC432" t="str">
        <f t="shared" si="48"/>
        <v>Delayed</v>
      </c>
    </row>
    <row r="433" spans="1:29">
      <c r="A433" s="34" t="s">
        <v>1082</v>
      </c>
      <c r="B433" s="10" t="s">
        <v>358</v>
      </c>
      <c r="C433" s="10" t="s">
        <v>258</v>
      </c>
      <c r="D433" s="10" t="s">
        <v>23</v>
      </c>
      <c r="E433" s="10" t="s">
        <v>129</v>
      </c>
      <c r="F433" s="10" t="s">
        <v>359</v>
      </c>
      <c r="G433" s="10" t="s">
        <v>239</v>
      </c>
      <c r="H433" s="11">
        <v>27520</v>
      </c>
      <c r="I433" s="10" t="s">
        <v>286</v>
      </c>
      <c r="J433" s="10" t="s">
        <v>287</v>
      </c>
      <c r="K433" s="10" t="s">
        <v>243</v>
      </c>
      <c r="L433" s="10" t="s">
        <v>262</v>
      </c>
      <c r="M433" s="10">
        <v>7</v>
      </c>
      <c r="N433" s="10">
        <v>12000</v>
      </c>
      <c r="O433" s="10">
        <v>5</v>
      </c>
      <c r="P433" s="10">
        <v>79800</v>
      </c>
      <c r="Q433" s="10">
        <v>4</v>
      </c>
      <c r="R433" s="10" t="s">
        <v>272</v>
      </c>
      <c r="S433" s="10" t="s">
        <v>312</v>
      </c>
      <c r="T433" s="10" t="s">
        <v>360</v>
      </c>
      <c r="U433" s="10">
        <v>9937007439</v>
      </c>
      <c r="V433" s="12" t="s">
        <v>265</v>
      </c>
      <c r="W433" t="str">
        <f t="shared" si="44"/>
        <v>Blacklisted</v>
      </c>
      <c r="X433" t="str">
        <f t="shared" si="45"/>
        <v>Sneha Joshi</v>
      </c>
      <c r="Y433" t="str">
        <f t="shared" si="43"/>
        <v>Sne006Mu</v>
      </c>
      <c r="Z433" t="str">
        <f t="shared" si="46"/>
        <v>sneha.joshi@company.com</v>
      </c>
      <c r="AA433" t="str">
        <f t="shared" ca="1" si="49"/>
        <v/>
      </c>
      <c r="AB433">
        <f t="shared" si="47"/>
        <v>10</v>
      </c>
      <c r="AC433" t="str">
        <f t="shared" si="48"/>
        <v>Delayed</v>
      </c>
    </row>
    <row r="434" spans="1:29">
      <c r="A434" s="33" t="s">
        <v>1083</v>
      </c>
      <c r="B434" s="5" t="s">
        <v>392</v>
      </c>
      <c r="C434" s="5" t="s">
        <v>347</v>
      </c>
      <c r="D434" s="16">
        <v>46300</v>
      </c>
      <c r="E434" s="5"/>
      <c r="F434" s="5" t="s">
        <v>323</v>
      </c>
      <c r="G434" s="5" t="s">
        <v>269</v>
      </c>
      <c r="H434" s="5" t="s">
        <v>1084</v>
      </c>
      <c r="I434" s="5" t="s">
        <v>379</v>
      </c>
      <c r="J434" s="5" t="s">
        <v>21</v>
      </c>
      <c r="K434" s="5" t="s">
        <v>295</v>
      </c>
      <c r="L434" s="5" t="s">
        <v>349</v>
      </c>
      <c r="M434" s="5">
        <v>8</v>
      </c>
      <c r="N434" s="5">
        <v>20</v>
      </c>
      <c r="O434" s="5">
        <v>0</v>
      </c>
      <c r="P434" s="5">
        <v>160</v>
      </c>
      <c r="Q434" s="5">
        <v>4</v>
      </c>
      <c r="R434" s="5" t="s">
        <v>272</v>
      </c>
      <c r="S434" s="5" t="s">
        <v>246</v>
      </c>
      <c r="T434" s="5" t="s">
        <v>395</v>
      </c>
      <c r="U434" s="5">
        <v>9657513435</v>
      </c>
      <c r="V434" s="8" t="s">
        <v>248</v>
      </c>
      <c r="W434" t="str">
        <f t="shared" si="44"/>
        <v/>
      </c>
      <c r="X434" t="str">
        <f t="shared" si="45"/>
        <v>Amit Sharma</v>
      </c>
      <c r="Y434" t="str">
        <f t="shared" si="43"/>
        <v>Ami001Ko</v>
      </c>
      <c r="Z434" t="str">
        <f t="shared" si="46"/>
        <v>amit.sharma@company.com</v>
      </c>
      <c r="AA434">
        <f t="shared" ca="1" si="49"/>
        <v>51</v>
      </c>
      <c r="AB434" t="str">
        <f t="shared" si="47"/>
        <v/>
      </c>
      <c r="AC434" t="str">
        <f t="shared" si="48"/>
        <v>Pending</v>
      </c>
    </row>
    <row r="435" spans="1:29">
      <c r="A435" s="34" t="s">
        <v>1085</v>
      </c>
      <c r="B435" s="10" t="s">
        <v>249</v>
      </c>
      <c r="C435" s="10" t="s">
        <v>280</v>
      </c>
      <c r="D435" s="11">
        <v>45659</v>
      </c>
      <c r="E435" s="11">
        <v>45810</v>
      </c>
      <c r="F435" s="10" t="s">
        <v>251</v>
      </c>
      <c r="G435" s="10" t="s">
        <v>239</v>
      </c>
      <c r="H435" s="10" t="s">
        <v>1086</v>
      </c>
      <c r="I435" s="10" t="s">
        <v>379</v>
      </c>
      <c r="J435" s="10" t="s">
        <v>21</v>
      </c>
      <c r="K435" s="10" t="s">
        <v>15</v>
      </c>
      <c r="L435" s="10" t="s">
        <v>282</v>
      </c>
      <c r="M435" s="10">
        <v>16</v>
      </c>
      <c r="N435" s="10">
        <v>3500</v>
      </c>
      <c r="O435" s="10">
        <v>5</v>
      </c>
      <c r="P435" s="10">
        <v>53200</v>
      </c>
      <c r="Q435" s="10">
        <v>1</v>
      </c>
      <c r="R435" s="10" t="s">
        <v>272</v>
      </c>
      <c r="S435" s="10" t="s">
        <v>246</v>
      </c>
      <c r="T435" s="10" t="s">
        <v>264</v>
      </c>
      <c r="U435" s="10">
        <v>9999406260</v>
      </c>
      <c r="V435" s="12" t="s">
        <v>265</v>
      </c>
      <c r="W435" t="str">
        <f t="shared" si="44"/>
        <v>Blacklisted</v>
      </c>
      <c r="X435" t="str">
        <f t="shared" si="45"/>
        <v>Kavya Nair</v>
      </c>
      <c r="Y435" t="str">
        <f t="shared" si="43"/>
        <v>Kav008Ko</v>
      </c>
      <c r="Z435" t="str">
        <f t="shared" si="46"/>
        <v>kavya.nair@company.com</v>
      </c>
      <c r="AA435" t="str">
        <f t="shared" ca="1" si="49"/>
        <v/>
      </c>
      <c r="AB435" t="str">
        <f t="shared" si="47"/>
        <v/>
      </c>
      <c r="AC435" t="str">
        <f t="shared" si="48"/>
        <v>Delayed</v>
      </c>
    </row>
    <row r="436" spans="1:29">
      <c r="A436" s="33" t="s">
        <v>1087</v>
      </c>
      <c r="B436" s="5" t="s">
        <v>392</v>
      </c>
      <c r="C436" s="5" t="s">
        <v>322</v>
      </c>
      <c r="D436" s="5" t="s">
        <v>107</v>
      </c>
      <c r="E436" s="6">
        <v>45750</v>
      </c>
      <c r="F436" s="5" t="s">
        <v>323</v>
      </c>
      <c r="G436" s="5" t="s">
        <v>269</v>
      </c>
      <c r="H436" s="5" t="s">
        <v>1088</v>
      </c>
      <c r="I436" s="5" t="s">
        <v>286</v>
      </c>
      <c r="J436" s="5" t="s">
        <v>287</v>
      </c>
      <c r="K436" s="5" t="s">
        <v>15</v>
      </c>
      <c r="L436" s="5" t="s">
        <v>325</v>
      </c>
      <c r="M436" s="5">
        <v>12</v>
      </c>
      <c r="N436" s="5">
        <v>8500</v>
      </c>
      <c r="O436" s="5">
        <v>10</v>
      </c>
      <c r="P436" s="5">
        <v>91800</v>
      </c>
      <c r="Q436" s="5">
        <v>3</v>
      </c>
      <c r="R436" s="5" t="s">
        <v>272</v>
      </c>
      <c r="S436" s="5" t="s">
        <v>255</v>
      </c>
      <c r="T436" s="5" t="s">
        <v>395</v>
      </c>
      <c r="U436" s="5">
        <v>9233727886</v>
      </c>
      <c r="V436" s="8" t="s">
        <v>257</v>
      </c>
      <c r="W436" t="str">
        <f t="shared" si="44"/>
        <v>Gold</v>
      </c>
      <c r="X436" t="str">
        <f t="shared" si="45"/>
        <v>Amit Sharma</v>
      </c>
      <c r="Y436" t="str">
        <f t="shared" ref="Y436:Y499" si="50">LEFT(F436,3)&amp;MID(B436,2,3)&amp;LEFT(I436,2)</f>
        <v>Ami001Mu</v>
      </c>
      <c r="Z436" t="str">
        <f t="shared" si="46"/>
        <v>amit.sharma@company.com</v>
      </c>
      <c r="AA436" t="str">
        <f t="shared" ca="1" si="49"/>
        <v/>
      </c>
      <c r="AB436" t="str">
        <f t="shared" si="47"/>
        <v/>
      </c>
      <c r="AC436" t="str">
        <f t="shared" si="48"/>
        <v>Delayed</v>
      </c>
    </row>
    <row r="437" spans="1:29">
      <c r="A437" s="34" t="s">
        <v>1089</v>
      </c>
      <c r="B437" s="10" t="s">
        <v>249</v>
      </c>
      <c r="C437" s="10" t="s">
        <v>294</v>
      </c>
      <c r="D437" s="10" t="s">
        <v>67</v>
      </c>
      <c r="E437" s="10" t="s">
        <v>89</v>
      </c>
      <c r="F437" s="10" t="s">
        <v>251</v>
      </c>
      <c r="G437" s="10" t="s">
        <v>239</v>
      </c>
      <c r="H437" s="10" t="s">
        <v>1090</v>
      </c>
      <c r="I437" s="10" t="s">
        <v>306</v>
      </c>
      <c r="J437" s="10" t="s">
        <v>287</v>
      </c>
      <c r="K437" s="10" t="s">
        <v>295</v>
      </c>
      <c r="L437" s="10" t="s">
        <v>296</v>
      </c>
      <c r="M437" s="10">
        <v>1</v>
      </c>
      <c r="N437" s="10">
        <v>60</v>
      </c>
      <c r="O437" s="10">
        <v>20</v>
      </c>
      <c r="P437" s="10">
        <v>48</v>
      </c>
      <c r="Q437" s="10">
        <v>2</v>
      </c>
      <c r="R437" s="10" t="s">
        <v>272</v>
      </c>
      <c r="S437" s="10" t="s">
        <v>312</v>
      </c>
      <c r="T437" s="10" t="s">
        <v>264</v>
      </c>
      <c r="U437" s="10">
        <v>9831688801</v>
      </c>
      <c r="V437" s="12" t="s">
        <v>257</v>
      </c>
      <c r="W437" t="str">
        <f t="shared" si="44"/>
        <v>Blacklisted</v>
      </c>
      <c r="X437" t="str">
        <f t="shared" si="45"/>
        <v>Kavya Nair</v>
      </c>
      <c r="Y437" t="str">
        <f t="shared" si="50"/>
        <v>Kav008Ah</v>
      </c>
      <c r="Z437" t="str">
        <f t="shared" si="46"/>
        <v>kavya.nair@company.com</v>
      </c>
      <c r="AA437" t="str">
        <f t="shared" ca="1" si="49"/>
        <v/>
      </c>
      <c r="AB437">
        <f t="shared" si="47"/>
        <v>2</v>
      </c>
      <c r="AC437" t="str">
        <f t="shared" si="48"/>
        <v>On time</v>
      </c>
    </row>
    <row r="438" spans="1:29">
      <c r="A438" s="33" t="s">
        <v>1091</v>
      </c>
      <c r="B438" s="5" t="s">
        <v>299</v>
      </c>
      <c r="C438" s="5" t="s">
        <v>294</v>
      </c>
      <c r="D438" s="6">
        <v>45819</v>
      </c>
      <c r="E438" s="6">
        <v>45972</v>
      </c>
      <c r="F438" s="5" t="s">
        <v>301</v>
      </c>
      <c r="G438" s="5" t="s">
        <v>269</v>
      </c>
      <c r="H438" s="5" t="s">
        <v>1092</v>
      </c>
      <c r="I438" s="5" t="s">
        <v>252</v>
      </c>
      <c r="J438" s="5" t="s">
        <v>242</v>
      </c>
      <c r="K438" s="5" t="s">
        <v>295</v>
      </c>
      <c r="L438" s="5" t="s">
        <v>296</v>
      </c>
      <c r="M438" s="5">
        <v>3</v>
      </c>
      <c r="N438" s="5">
        <v>60</v>
      </c>
      <c r="O438" s="5">
        <v>15</v>
      </c>
      <c r="P438" s="5">
        <v>153</v>
      </c>
      <c r="Q438" s="5">
        <v>4</v>
      </c>
      <c r="R438" s="5" t="s">
        <v>272</v>
      </c>
      <c r="S438" s="5" t="s">
        <v>255</v>
      </c>
      <c r="T438" s="5" t="s">
        <v>302</v>
      </c>
      <c r="U438" s="5">
        <v>9982849508</v>
      </c>
      <c r="V438" s="8" t="s">
        <v>257</v>
      </c>
      <c r="W438" t="str">
        <f t="shared" si="44"/>
        <v>Silver</v>
      </c>
      <c r="X438" t="str">
        <f t="shared" si="45"/>
        <v>Rohit Singh</v>
      </c>
      <c r="Y438" t="str">
        <f t="shared" si="50"/>
        <v>Roh003Hy</v>
      </c>
      <c r="Z438" t="str">
        <f t="shared" si="46"/>
        <v>rohit.singh@company.com</v>
      </c>
      <c r="AA438" t="str">
        <f t="shared" ca="1" si="49"/>
        <v/>
      </c>
      <c r="AB438" t="str">
        <f t="shared" si="47"/>
        <v/>
      </c>
      <c r="AC438" t="str">
        <f t="shared" si="48"/>
        <v>Delayed</v>
      </c>
    </row>
    <row r="439" spans="1:29">
      <c r="A439" s="34" t="s">
        <v>1093</v>
      </c>
      <c r="B439" s="10" t="s">
        <v>284</v>
      </c>
      <c r="C439" s="10" t="s">
        <v>330</v>
      </c>
      <c r="D439" s="10" t="s">
        <v>88</v>
      </c>
      <c r="E439" s="10" t="s">
        <v>140</v>
      </c>
      <c r="F439" s="10" t="s">
        <v>285</v>
      </c>
      <c r="G439" s="10" t="s">
        <v>239</v>
      </c>
      <c r="H439" s="11">
        <v>28917</v>
      </c>
      <c r="I439" s="10" t="s">
        <v>379</v>
      </c>
      <c r="J439" s="10" t="s">
        <v>21</v>
      </c>
      <c r="K439" s="10" t="s">
        <v>243</v>
      </c>
      <c r="L439" s="10" t="s">
        <v>333</v>
      </c>
      <c r="M439" s="10">
        <v>10</v>
      </c>
      <c r="N439" s="10">
        <v>700</v>
      </c>
      <c r="O439" s="10">
        <v>15</v>
      </c>
      <c r="P439" s="10">
        <v>5950</v>
      </c>
      <c r="Q439" s="10">
        <v>3</v>
      </c>
      <c r="R439" s="10" t="s">
        <v>245</v>
      </c>
      <c r="S439" s="10" t="s">
        <v>255</v>
      </c>
      <c r="T439" s="10" t="s">
        <v>308</v>
      </c>
      <c r="U439" s="10">
        <v>9288309246</v>
      </c>
      <c r="V439" s="12" t="s">
        <v>248</v>
      </c>
      <c r="W439" t="str">
        <f t="shared" si="44"/>
        <v/>
      </c>
      <c r="X439" t="str">
        <f t="shared" si="45"/>
        <v>Priya Patel</v>
      </c>
      <c r="Y439" t="str">
        <f t="shared" si="50"/>
        <v>Pri002Ko</v>
      </c>
      <c r="Z439" t="str">
        <f t="shared" si="46"/>
        <v>priya.patel@company.com</v>
      </c>
      <c r="AA439" t="str">
        <f t="shared" ca="1" si="49"/>
        <v/>
      </c>
      <c r="AB439">
        <f t="shared" si="47"/>
        <v>5</v>
      </c>
      <c r="AC439" t="str">
        <f t="shared" si="48"/>
        <v>On time</v>
      </c>
    </row>
    <row r="440" spans="1:29">
      <c r="A440" s="33" t="s">
        <v>1094</v>
      </c>
      <c r="B440" s="5" t="s">
        <v>275</v>
      </c>
      <c r="C440" s="5" t="s">
        <v>347</v>
      </c>
      <c r="D440" s="5" t="s">
        <v>116</v>
      </c>
      <c r="E440" s="5" t="s">
        <v>1095</v>
      </c>
      <c r="F440" s="5" t="s">
        <v>328</v>
      </c>
      <c r="G440" s="5" t="s">
        <v>269</v>
      </c>
      <c r="H440" s="5" t="s">
        <v>1096</v>
      </c>
      <c r="I440" s="5" t="s">
        <v>306</v>
      </c>
      <c r="J440" s="5" t="s">
        <v>287</v>
      </c>
      <c r="K440" s="5" t="s">
        <v>295</v>
      </c>
      <c r="L440" s="5" t="s">
        <v>349</v>
      </c>
      <c r="M440" s="5">
        <v>2</v>
      </c>
      <c r="N440" s="5">
        <v>20</v>
      </c>
      <c r="O440" s="5">
        <v>10</v>
      </c>
      <c r="P440" s="5">
        <v>36</v>
      </c>
      <c r="Q440" s="5">
        <v>2</v>
      </c>
      <c r="R440" s="5" t="s">
        <v>277</v>
      </c>
      <c r="S440" s="5" t="s">
        <v>246</v>
      </c>
      <c r="T440" s="5" t="s">
        <v>278</v>
      </c>
      <c r="U440" s="5">
        <v>9808476235</v>
      </c>
      <c r="V440" s="8" t="s">
        <v>257</v>
      </c>
      <c r="W440" t="str">
        <f t="shared" si="44"/>
        <v>Blacklisted</v>
      </c>
      <c r="X440" t="str">
        <f t="shared" si="45"/>
        <v>Arjun Rao</v>
      </c>
      <c r="Y440" t="str">
        <f t="shared" si="50"/>
        <v>Arj007Ah</v>
      </c>
      <c r="Z440" t="str">
        <f t="shared" si="46"/>
        <v>arjun.rao@company.com</v>
      </c>
      <c r="AA440">
        <f t="shared" ca="1" si="49"/>
        <v>47</v>
      </c>
      <c r="AB440">
        <f t="shared" si="47"/>
        <v>3</v>
      </c>
      <c r="AC440" t="str">
        <f t="shared" si="48"/>
        <v>On time</v>
      </c>
    </row>
    <row r="441" spans="1:29">
      <c r="A441" s="34" t="s">
        <v>1097</v>
      </c>
      <c r="B441" s="10" t="s">
        <v>275</v>
      </c>
      <c r="C441" s="10" t="s">
        <v>347</v>
      </c>
      <c r="D441" s="10" t="s">
        <v>206</v>
      </c>
      <c r="E441" s="11">
        <v>46143</v>
      </c>
      <c r="F441" s="10" t="s">
        <v>328</v>
      </c>
      <c r="G441" s="10" t="s">
        <v>269</v>
      </c>
      <c r="H441" s="10" t="s">
        <v>1098</v>
      </c>
      <c r="I441" s="10" t="s">
        <v>260</v>
      </c>
      <c r="J441" s="10" t="s">
        <v>261</v>
      </c>
      <c r="K441" s="10" t="s">
        <v>295</v>
      </c>
      <c r="L441" s="10" t="s">
        <v>349</v>
      </c>
      <c r="M441" s="10">
        <v>14</v>
      </c>
      <c r="N441" s="10">
        <v>20</v>
      </c>
      <c r="O441" s="10">
        <v>20</v>
      </c>
      <c r="P441" s="10">
        <v>224</v>
      </c>
      <c r="Q441" s="10">
        <v>5</v>
      </c>
      <c r="R441" s="10" t="s">
        <v>254</v>
      </c>
      <c r="S441" s="10" t="s">
        <v>312</v>
      </c>
      <c r="T441" s="10" t="s">
        <v>278</v>
      </c>
      <c r="U441" s="10">
        <v>9869056117</v>
      </c>
      <c r="V441" s="12" t="s">
        <v>248</v>
      </c>
      <c r="W441" t="str">
        <f t="shared" si="44"/>
        <v/>
      </c>
      <c r="X441" t="str">
        <f t="shared" si="45"/>
        <v>Arjun Rao</v>
      </c>
      <c r="Y441" t="str">
        <f t="shared" si="50"/>
        <v>Arj007De</v>
      </c>
      <c r="Z441" t="str">
        <f t="shared" si="46"/>
        <v>arjun.rao@company.com</v>
      </c>
      <c r="AA441" t="str">
        <f t="shared" ca="1" si="49"/>
        <v/>
      </c>
      <c r="AB441" t="str">
        <f t="shared" si="47"/>
        <v/>
      </c>
      <c r="AC441" t="str">
        <f t="shared" si="48"/>
        <v>Delayed</v>
      </c>
    </row>
    <row r="442" spans="1:29">
      <c r="A442" s="33" t="s">
        <v>1099</v>
      </c>
      <c r="B442" s="5" t="s">
        <v>392</v>
      </c>
      <c r="C442" s="5" t="s">
        <v>280</v>
      </c>
      <c r="D442" s="5" t="s">
        <v>102</v>
      </c>
      <c r="E442" s="5" t="s">
        <v>144</v>
      </c>
      <c r="F442" s="5" t="s">
        <v>323</v>
      </c>
      <c r="G442" s="5" t="s">
        <v>269</v>
      </c>
      <c r="H442" s="5" t="s">
        <v>1100</v>
      </c>
      <c r="I442" s="5" t="s">
        <v>306</v>
      </c>
      <c r="J442" s="5" t="s">
        <v>287</v>
      </c>
      <c r="K442" s="5" t="s">
        <v>15</v>
      </c>
      <c r="L442" s="5" t="s">
        <v>282</v>
      </c>
      <c r="M442" s="5">
        <v>4</v>
      </c>
      <c r="N442" s="5">
        <v>3500</v>
      </c>
      <c r="O442" s="5">
        <v>0</v>
      </c>
      <c r="P442" s="5">
        <v>14000</v>
      </c>
      <c r="Q442" s="5">
        <v>2</v>
      </c>
      <c r="R442" s="5" t="s">
        <v>277</v>
      </c>
      <c r="S442" s="5" t="s">
        <v>255</v>
      </c>
      <c r="T442" s="5" t="s">
        <v>395</v>
      </c>
      <c r="U442" s="5">
        <v>9734229772</v>
      </c>
      <c r="V442" s="8" t="s">
        <v>265</v>
      </c>
      <c r="W442" t="str">
        <f t="shared" si="44"/>
        <v>Blacklisted</v>
      </c>
      <c r="X442" t="str">
        <f t="shared" si="45"/>
        <v>Amit Sharma</v>
      </c>
      <c r="Y442" t="str">
        <f t="shared" si="50"/>
        <v>Ami001Ah</v>
      </c>
      <c r="Z442" t="str">
        <f t="shared" si="46"/>
        <v>amit.sharma@company.com</v>
      </c>
      <c r="AA442" t="str">
        <f t="shared" ca="1" si="49"/>
        <v/>
      </c>
      <c r="AB442">
        <f t="shared" si="47"/>
        <v>4</v>
      </c>
      <c r="AC442" t="str">
        <f t="shared" si="48"/>
        <v>On time</v>
      </c>
    </row>
    <row r="443" spans="1:29">
      <c r="A443" s="34" t="s">
        <v>1101</v>
      </c>
      <c r="B443" s="10" t="s">
        <v>275</v>
      </c>
      <c r="C443" s="10" t="s">
        <v>280</v>
      </c>
      <c r="D443" s="11">
        <v>45753</v>
      </c>
      <c r="E443" s="11">
        <v>45783</v>
      </c>
      <c r="F443" s="10" t="s">
        <v>328</v>
      </c>
      <c r="G443" s="10" t="s">
        <v>269</v>
      </c>
      <c r="H443" s="11">
        <v>30570</v>
      </c>
      <c r="I443" s="10" t="s">
        <v>342</v>
      </c>
      <c r="J443" s="10" t="s">
        <v>261</v>
      </c>
      <c r="K443" s="10" t="s">
        <v>15</v>
      </c>
      <c r="L443" s="10" t="s">
        <v>282</v>
      </c>
      <c r="M443" s="10">
        <v>9</v>
      </c>
      <c r="N443" s="10">
        <v>3500</v>
      </c>
      <c r="O443" s="10">
        <v>5</v>
      </c>
      <c r="P443" s="10">
        <v>29925</v>
      </c>
      <c r="Q443" s="10">
        <v>3</v>
      </c>
      <c r="R443" s="10" t="s">
        <v>272</v>
      </c>
      <c r="S443" s="10" t="s">
        <v>246</v>
      </c>
      <c r="T443" s="10" t="s">
        <v>278</v>
      </c>
      <c r="U443" s="10">
        <v>9791617906</v>
      </c>
      <c r="V443" s="12" t="s">
        <v>257</v>
      </c>
      <c r="W443" t="str">
        <f t="shared" si="44"/>
        <v>Silver</v>
      </c>
      <c r="X443" t="str">
        <f t="shared" si="45"/>
        <v>Arjun Rao</v>
      </c>
      <c r="Y443" t="str">
        <f t="shared" si="50"/>
        <v>Arj007Ja</v>
      </c>
      <c r="Z443" t="str">
        <f t="shared" si="46"/>
        <v>arjun.rao@company.com</v>
      </c>
      <c r="AA443" t="str">
        <f t="shared" ca="1" si="49"/>
        <v/>
      </c>
      <c r="AB443" t="str">
        <f t="shared" si="47"/>
        <v/>
      </c>
      <c r="AC443" t="str">
        <f t="shared" si="48"/>
        <v>Delayed</v>
      </c>
    </row>
    <row r="444" spans="1:29">
      <c r="A444" s="33" t="s">
        <v>1102</v>
      </c>
      <c r="B444" s="5" t="s">
        <v>299</v>
      </c>
      <c r="C444" s="5" t="s">
        <v>294</v>
      </c>
      <c r="D444" s="5" t="s">
        <v>197</v>
      </c>
      <c r="E444" s="6">
        <v>45722</v>
      </c>
      <c r="F444" s="5" t="s">
        <v>301</v>
      </c>
      <c r="G444" s="5" t="s">
        <v>269</v>
      </c>
      <c r="H444" s="5" t="s">
        <v>1103</v>
      </c>
      <c r="I444" s="5" t="s">
        <v>286</v>
      </c>
      <c r="J444" s="5" t="s">
        <v>287</v>
      </c>
      <c r="K444" s="5" t="s">
        <v>295</v>
      </c>
      <c r="L444" s="5" t="s">
        <v>296</v>
      </c>
      <c r="M444" s="5">
        <v>9</v>
      </c>
      <c r="N444" s="5">
        <v>60</v>
      </c>
      <c r="O444" s="5">
        <v>0</v>
      </c>
      <c r="P444" s="5">
        <v>540</v>
      </c>
      <c r="Q444" s="5">
        <v>3</v>
      </c>
      <c r="R444" s="5" t="s">
        <v>277</v>
      </c>
      <c r="S444" s="5" t="s">
        <v>255</v>
      </c>
      <c r="T444" s="5" t="s">
        <v>302</v>
      </c>
      <c r="U444" s="5">
        <v>9286316823</v>
      </c>
      <c r="V444" s="8" t="s">
        <v>248</v>
      </c>
      <c r="W444" t="str">
        <f t="shared" si="44"/>
        <v/>
      </c>
      <c r="X444" t="str">
        <f t="shared" si="45"/>
        <v>Rohit Singh</v>
      </c>
      <c r="Y444" t="str">
        <f t="shared" si="50"/>
        <v>Roh003Mu</v>
      </c>
      <c r="Z444" t="str">
        <f t="shared" si="46"/>
        <v>rohit.singh@company.com</v>
      </c>
      <c r="AA444">
        <f t="shared" ca="1" si="49"/>
        <v>43</v>
      </c>
      <c r="AB444" t="str">
        <f t="shared" si="47"/>
        <v/>
      </c>
      <c r="AC444" t="str">
        <f t="shared" si="48"/>
        <v>Delayed</v>
      </c>
    </row>
    <row r="445" spans="1:29">
      <c r="A445" s="34" t="s">
        <v>1104</v>
      </c>
      <c r="B445" s="10" t="s">
        <v>321</v>
      </c>
      <c r="C445" s="10" t="s">
        <v>267</v>
      </c>
      <c r="D445" s="11">
        <v>45693</v>
      </c>
      <c r="E445" s="11">
        <v>45721</v>
      </c>
      <c r="F445" s="10" t="s">
        <v>408</v>
      </c>
      <c r="G445" s="10" t="s">
        <v>239</v>
      </c>
      <c r="H445" s="10" t="s">
        <v>1105</v>
      </c>
      <c r="I445" s="10" t="s">
        <v>306</v>
      </c>
      <c r="J445" s="10" t="s">
        <v>287</v>
      </c>
      <c r="K445" s="10" t="s">
        <v>243</v>
      </c>
      <c r="L445" s="10" t="s">
        <v>271</v>
      </c>
      <c r="M445" s="10">
        <v>4</v>
      </c>
      <c r="N445" s="10">
        <v>1200</v>
      </c>
      <c r="O445" s="10">
        <v>0</v>
      </c>
      <c r="P445" s="10">
        <v>4800</v>
      </c>
      <c r="Q445" s="10">
        <v>1</v>
      </c>
      <c r="R445" s="10" t="s">
        <v>245</v>
      </c>
      <c r="S445" s="10" t="s">
        <v>246</v>
      </c>
      <c r="T445" s="10" t="s">
        <v>326</v>
      </c>
      <c r="U445" s="10">
        <v>9810569252</v>
      </c>
      <c r="V445" s="12" t="s">
        <v>257</v>
      </c>
      <c r="W445" t="str">
        <f t="shared" si="44"/>
        <v>Blacklisted</v>
      </c>
      <c r="X445" t="str">
        <f t="shared" si="45"/>
        <v>Anita Gupta</v>
      </c>
      <c r="Y445" t="str">
        <f t="shared" si="50"/>
        <v>Ani004Ah</v>
      </c>
      <c r="Z445" t="str">
        <f t="shared" si="46"/>
        <v>anita.gupta@company.com</v>
      </c>
      <c r="AA445" t="str">
        <f t="shared" ca="1" si="49"/>
        <v/>
      </c>
      <c r="AB445" t="str">
        <f t="shared" si="47"/>
        <v/>
      </c>
      <c r="AC445" t="str">
        <f t="shared" si="48"/>
        <v>Delayed</v>
      </c>
    </row>
    <row r="446" spans="1:29">
      <c r="A446" s="33" t="s">
        <v>1106</v>
      </c>
      <c r="B446" s="5" t="s">
        <v>235</v>
      </c>
      <c r="C446" s="5" t="s">
        <v>236</v>
      </c>
      <c r="D446" s="6">
        <v>45718</v>
      </c>
      <c r="E446" s="5" t="s">
        <v>7</v>
      </c>
      <c r="F446" s="5" t="s">
        <v>318</v>
      </c>
      <c r="G446" s="5" t="s">
        <v>239</v>
      </c>
      <c r="H446" s="6">
        <v>36411</v>
      </c>
      <c r="I446" s="5" t="s">
        <v>252</v>
      </c>
      <c r="J446" s="5" t="s">
        <v>242</v>
      </c>
      <c r="K446" s="5" t="s">
        <v>243</v>
      </c>
      <c r="L446" s="5" t="s">
        <v>244</v>
      </c>
      <c r="M446" s="5">
        <v>10</v>
      </c>
      <c r="N446" s="5">
        <v>55000</v>
      </c>
      <c r="O446" s="5">
        <v>5</v>
      </c>
      <c r="P446" s="5">
        <v>522500</v>
      </c>
      <c r="Q446" s="5">
        <v>5</v>
      </c>
      <c r="R446" s="5" t="s">
        <v>277</v>
      </c>
      <c r="S446" s="5" t="s">
        <v>292</v>
      </c>
      <c r="T446" s="5" t="s">
        <v>247</v>
      </c>
      <c r="U446" s="5">
        <v>9771745925</v>
      </c>
      <c r="V446" s="8" t="s">
        <v>257</v>
      </c>
      <c r="W446" t="str">
        <f t="shared" si="44"/>
        <v>Gold</v>
      </c>
      <c r="X446" t="str">
        <f t="shared" si="45"/>
        <v>Pooja Shah</v>
      </c>
      <c r="Y446" t="str">
        <f t="shared" si="50"/>
        <v>Poo010Hy</v>
      </c>
      <c r="Z446" t="str">
        <f t="shared" si="46"/>
        <v>pooja.shah@company.com</v>
      </c>
      <c r="AA446" t="str">
        <f t="shared" ca="1" si="49"/>
        <v/>
      </c>
      <c r="AB446" t="str">
        <f t="shared" si="47"/>
        <v/>
      </c>
      <c r="AC446" t="str">
        <f t="shared" si="48"/>
        <v>Delayed</v>
      </c>
    </row>
    <row r="447" spans="1:29">
      <c r="A447" s="34" t="s">
        <v>1107</v>
      </c>
      <c r="B447" s="10" t="s">
        <v>346</v>
      </c>
      <c r="C447" s="10" t="s">
        <v>362</v>
      </c>
      <c r="D447" s="10" t="s">
        <v>188</v>
      </c>
      <c r="E447" s="11">
        <v>45815</v>
      </c>
      <c r="F447" s="10" t="s">
        <v>348</v>
      </c>
      <c r="G447" s="10" t="s">
        <v>269</v>
      </c>
      <c r="H447" s="10" t="s">
        <v>1108</v>
      </c>
      <c r="I447" s="10" t="s">
        <v>252</v>
      </c>
      <c r="J447" s="10" t="s">
        <v>242</v>
      </c>
      <c r="K447" s="10" t="s">
        <v>295</v>
      </c>
      <c r="L447" s="10" t="s">
        <v>363</v>
      </c>
      <c r="M447" s="10">
        <v>20</v>
      </c>
      <c r="N447" s="10">
        <v>45</v>
      </c>
      <c r="O447" s="10">
        <v>15</v>
      </c>
      <c r="P447" s="10">
        <v>765</v>
      </c>
      <c r="Q447" s="10">
        <v>2</v>
      </c>
      <c r="R447" s="10" t="s">
        <v>272</v>
      </c>
      <c r="S447" s="10" t="s">
        <v>255</v>
      </c>
      <c r="T447" s="10" t="s">
        <v>350</v>
      </c>
      <c r="U447" s="10">
        <v>9820683063</v>
      </c>
      <c r="V447" s="12" t="s">
        <v>265</v>
      </c>
      <c r="W447" t="str">
        <f t="shared" si="44"/>
        <v>Blacklisted</v>
      </c>
      <c r="X447" t="str">
        <f t="shared" si="45"/>
        <v>Vikas Mehta</v>
      </c>
      <c r="Y447" t="str">
        <f t="shared" si="50"/>
        <v>Vik005Hy</v>
      </c>
      <c r="Z447" t="str">
        <f t="shared" si="46"/>
        <v>vikas.mehta@company.com</v>
      </c>
      <c r="AA447">
        <f t="shared" ca="1" si="49"/>
        <v>27</v>
      </c>
      <c r="AB447" t="str">
        <f t="shared" si="47"/>
        <v/>
      </c>
      <c r="AC447" t="str">
        <f t="shared" si="48"/>
        <v>Delayed</v>
      </c>
    </row>
    <row r="448" spans="1:29">
      <c r="A448" s="33" t="s">
        <v>1109</v>
      </c>
      <c r="B448" s="5" t="s">
        <v>249</v>
      </c>
      <c r="C448" s="5" t="s">
        <v>347</v>
      </c>
      <c r="D448" s="6">
        <v>46358</v>
      </c>
      <c r="E448" s="5" t="s">
        <v>108</v>
      </c>
      <c r="F448" s="5" t="s">
        <v>251</v>
      </c>
      <c r="G448" s="5" t="s">
        <v>239</v>
      </c>
      <c r="H448" s="5" t="s">
        <v>1110</v>
      </c>
      <c r="I448" s="5" t="s">
        <v>286</v>
      </c>
      <c r="J448" s="5" t="s">
        <v>287</v>
      </c>
      <c r="K448" s="5" t="s">
        <v>295</v>
      </c>
      <c r="L448" s="5" t="s">
        <v>349</v>
      </c>
      <c r="M448" s="5">
        <v>9</v>
      </c>
      <c r="N448" s="5">
        <v>20</v>
      </c>
      <c r="O448" s="5">
        <v>20</v>
      </c>
      <c r="P448" s="5">
        <v>144</v>
      </c>
      <c r="Q448" s="5">
        <v>3</v>
      </c>
      <c r="R448" s="5" t="s">
        <v>272</v>
      </c>
      <c r="S448" s="5" t="s">
        <v>246</v>
      </c>
      <c r="T448" s="5" t="s">
        <v>264</v>
      </c>
      <c r="U448" s="5">
        <v>9292891941</v>
      </c>
      <c r="V448" s="8" t="s">
        <v>257</v>
      </c>
      <c r="W448" t="str">
        <f t="shared" si="44"/>
        <v>Silver</v>
      </c>
      <c r="X448" t="str">
        <f t="shared" si="45"/>
        <v>Kavya Nair</v>
      </c>
      <c r="Y448" t="str">
        <f t="shared" si="50"/>
        <v>Kav008Mu</v>
      </c>
      <c r="Z448" t="str">
        <f t="shared" si="46"/>
        <v>kavya.nair@company.com</v>
      </c>
      <c r="AA448" t="str">
        <f t="shared" ca="1" si="49"/>
        <v/>
      </c>
      <c r="AB448" t="str">
        <f t="shared" si="47"/>
        <v/>
      </c>
      <c r="AC448" t="str">
        <f t="shared" si="48"/>
        <v>Delayed</v>
      </c>
    </row>
    <row r="449" spans="1:29">
      <c r="A449" s="34" t="s">
        <v>1111</v>
      </c>
      <c r="B449" s="10" t="s">
        <v>249</v>
      </c>
      <c r="C449" s="10" t="s">
        <v>236</v>
      </c>
      <c r="D449" s="11">
        <v>45719</v>
      </c>
      <c r="E449" s="10" t="s">
        <v>25</v>
      </c>
      <c r="F449" s="10" t="s">
        <v>251</v>
      </c>
      <c r="G449" s="10" t="s">
        <v>239</v>
      </c>
      <c r="H449" s="11">
        <v>29531</v>
      </c>
      <c r="I449" s="10" t="s">
        <v>291</v>
      </c>
      <c r="J449" s="10" t="s">
        <v>287</v>
      </c>
      <c r="K449" s="10" t="s">
        <v>243</v>
      </c>
      <c r="L449" s="10" t="s">
        <v>244</v>
      </c>
      <c r="M449" s="10">
        <v>8</v>
      </c>
      <c r="N449" s="10">
        <v>55000</v>
      </c>
      <c r="O449" s="10">
        <v>0</v>
      </c>
      <c r="P449" s="10">
        <v>440000</v>
      </c>
      <c r="Q449" s="10">
        <v>4</v>
      </c>
      <c r="R449" s="10" t="s">
        <v>254</v>
      </c>
      <c r="S449" s="10" t="s">
        <v>292</v>
      </c>
      <c r="T449" s="10" t="s">
        <v>264</v>
      </c>
      <c r="U449" s="10">
        <v>9413789556</v>
      </c>
      <c r="V449" s="12" t="s">
        <v>257</v>
      </c>
      <c r="W449" t="str">
        <f t="shared" si="44"/>
        <v>Platinum</v>
      </c>
      <c r="X449" t="str">
        <f t="shared" si="45"/>
        <v>Kavya Nair</v>
      </c>
      <c r="Y449" t="str">
        <f t="shared" si="50"/>
        <v>Kav008Pu</v>
      </c>
      <c r="Z449" t="str">
        <f t="shared" si="46"/>
        <v>kavya.nair@company.com</v>
      </c>
      <c r="AA449" t="str">
        <f t="shared" ca="1" si="49"/>
        <v/>
      </c>
      <c r="AB449" t="str">
        <f t="shared" si="47"/>
        <v/>
      </c>
      <c r="AC449" t="str">
        <f t="shared" si="48"/>
        <v>Delayed</v>
      </c>
    </row>
    <row r="450" spans="1:29">
      <c r="A450" s="33" t="s">
        <v>1112</v>
      </c>
      <c r="B450" s="5" t="s">
        <v>392</v>
      </c>
      <c r="C450" s="5" t="s">
        <v>267</v>
      </c>
      <c r="D450" s="5" t="s">
        <v>132</v>
      </c>
      <c r="E450" s="5" t="s">
        <v>874</v>
      </c>
      <c r="F450" s="5" t="s">
        <v>323</v>
      </c>
      <c r="G450" s="5" t="s">
        <v>269</v>
      </c>
      <c r="H450" s="6">
        <v>36805</v>
      </c>
      <c r="I450" s="5" t="s">
        <v>306</v>
      </c>
      <c r="J450" s="5" t="s">
        <v>287</v>
      </c>
      <c r="K450" s="5" t="s">
        <v>243</v>
      </c>
      <c r="L450" s="5" t="s">
        <v>271</v>
      </c>
      <c r="M450" s="5">
        <v>4</v>
      </c>
      <c r="N450" s="5">
        <v>1200</v>
      </c>
      <c r="O450" s="5">
        <v>10</v>
      </c>
      <c r="P450" s="5">
        <v>4320</v>
      </c>
      <c r="Q450" s="5">
        <v>4</v>
      </c>
      <c r="R450" s="5" t="s">
        <v>277</v>
      </c>
      <c r="S450" s="5" t="s">
        <v>255</v>
      </c>
      <c r="T450" s="7" t="s">
        <v>1113</v>
      </c>
      <c r="U450" s="5">
        <v>98765</v>
      </c>
      <c r="V450" s="8" t="s">
        <v>265</v>
      </c>
      <c r="W450" t="str">
        <f t="shared" si="44"/>
        <v>Blacklisted</v>
      </c>
      <c r="X450" t="str">
        <f t="shared" si="45"/>
        <v>Amit Sharma</v>
      </c>
      <c r="Y450" t="str">
        <f t="shared" si="50"/>
        <v>Ami001Ah</v>
      </c>
      <c r="Z450" t="str">
        <f t="shared" si="46"/>
        <v>amit.sharma@company.com</v>
      </c>
      <c r="AA450">
        <f t="shared" ca="1" si="49"/>
        <v>45</v>
      </c>
      <c r="AB450">
        <f t="shared" si="47"/>
        <v>4</v>
      </c>
      <c r="AC450" t="str">
        <f t="shared" si="48"/>
        <v>On time</v>
      </c>
    </row>
    <row r="451" spans="1:29">
      <c r="A451" s="34" t="s">
        <v>1114</v>
      </c>
      <c r="B451" s="10" t="s">
        <v>392</v>
      </c>
      <c r="C451" s="10" t="s">
        <v>322</v>
      </c>
      <c r="D451" s="11">
        <v>46086</v>
      </c>
      <c r="E451" s="10" t="s">
        <v>16</v>
      </c>
      <c r="F451" s="10" t="s">
        <v>323</v>
      </c>
      <c r="G451" s="10" t="s">
        <v>269</v>
      </c>
      <c r="H451" s="10" t="s">
        <v>1115</v>
      </c>
      <c r="I451" s="10" t="s">
        <v>379</v>
      </c>
      <c r="J451" s="10" t="s">
        <v>21</v>
      </c>
      <c r="K451" s="10" t="s">
        <v>15</v>
      </c>
      <c r="L451" s="10" t="s">
        <v>325</v>
      </c>
      <c r="M451" s="10">
        <v>14</v>
      </c>
      <c r="N451" s="10">
        <v>8500</v>
      </c>
      <c r="O451" s="10">
        <v>10</v>
      </c>
      <c r="P451" s="10">
        <v>107100</v>
      </c>
      <c r="Q451" s="10">
        <v>4</v>
      </c>
      <c r="R451" s="10" t="s">
        <v>254</v>
      </c>
      <c r="S451" s="10" t="s">
        <v>255</v>
      </c>
      <c r="T451" s="10" t="s">
        <v>395</v>
      </c>
      <c r="U451" s="10">
        <v>9211936331</v>
      </c>
      <c r="V451" s="12" t="s">
        <v>257</v>
      </c>
      <c r="W451" t="str">
        <f t="shared" ref="W451:W514" si="51">IF(OR(Q451&lt;=2,V451="Cancelled"),"Blacklisted",IF(AND(P451&gt;100000,Q451&gt;=4,O451&lt;=10%,V451="Completed"),"Platinum",IF(AND(P451&gt;=50000,Q451&gt;=3,V451="Completed"),"Gold",IF(AND(P451&lt;50000,V451="Completed"),"Silver",""))))</f>
        <v>Gold</v>
      </c>
      <c r="X451" t="str">
        <f t="shared" ref="X451:X501" si="52">PROPER(TRIM(F451))</f>
        <v>Amit Sharma</v>
      </c>
      <c r="Y451" t="str">
        <f t="shared" si="50"/>
        <v>Ami001Ko</v>
      </c>
      <c r="Z451" t="str">
        <f t="shared" ref="Z451:Z501" si="53">IF(ISNUMBER(SEARCH("@",T451)),LOWER(TRIM(T451)),"invalid email")</f>
        <v>amit.sharma@company.com</v>
      </c>
      <c r="AA451">
        <f t="shared" ca="1" si="49"/>
        <v>26</v>
      </c>
      <c r="AB451" t="str">
        <f t="shared" ref="AB451:AB501" si="54">IF(OR(D451="",E451=""),"",IFERROR(DATE(MID(E451,7,4),MID(E451,4,2),LEFT(E451,2))-DATE(MID(D451,7,4),MID(D451,4,2),LEFT(D451,2)),""))</f>
        <v/>
      </c>
      <c r="AC451" t="str">
        <f t="shared" ref="AC451:AC501" si="55">IF(E451="","Pending",IF(AB451&lt;=5,"On time","Delayed"))</f>
        <v>Delayed</v>
      </c>
    </row>
    <row r="452" spans="1:29">
      <c r="A452" s="33" t="s">
        <v>1116</v>
      </c>
      <c r="B452" s="5" t="s">
        <v>266</v>
      </c>
      <c r="C452" s="5" t="s">
        <v>362</v>
      </c>
      <c r="D452" s="5" t="s">
        <v>197</v>
      </c>
      <c r="E452" s="6">
        <v>45844</v>
      </c>
      <c r="F452" s="5" t="s">
        <v>268</v>
      </c>
      <c r="G452" s="5" t="s">
        <v>269</v>
      </c>
      <c r="H452" s="6">
        <v>30960</v>
      </c>
      <c r="I452" s="5" t="s">
        <v>252</v>
      </c>
      <c r="J452" s="5" t="s">
        <v>242</v>
      </c>
      <c r="K452" s="5" t="s">
        <v>295</v>
      </c>
      <c r="L452" s="5" t="s">
        <v>363</v>
      </c>
      <c r="M452" s="5">
        <v>1</v>
      </c>
      <c r="N452" s="5">
        <v>45</v>
      </c>
      <c r="O452" s="5">
        <v>0</v>
      </c>
      <c r="P452" s="5">
        <v>45</v>
      </c>
      <c r="Q452" s="5">
        <v>3</v>
      </c>
      <c r="R452" s="5" t="s">
        <v>277</v>
      </c>
      <c r="S452" s="5" t="s">
        <v>312</v>
      </c>
      <c r="T452" s="5" t="s">
        <v>273</v>
      </c>
      <c r="U452" s="5">
        <v>9167291747</v>
      </c>
      <c r="V452" s="8" t="s">
        <v>265</v>
      </c>
      <c r="W452" t="str">
        <f t="shared" si="51"/>
        <v>Blacklisted</v>
      </c>
      <c r="X452" t="str">
        <f t="shared" si="52"/>
        <v>Mohit Verma</v>
      </c>
      <c r="Y452" t="str">
        <f t="shared" si="50"/>
        <v>Moh009Hy</v>
      </c>
      <c r="Z452" t="str">
        <f t="shared" si="53"/>
        <v>mohit.verma@company.com</v>
      </c>
      <c r="AA452" t="str">
        <f t="shared" ref="AA452:AA501" ca="1" si="56">IF(H451="","",IFERROR(DATEDIF(IF(ISNUMBER(H451),H451,DATE(VALUE(RIGHT(H451,4)),VALUE(MID(H451,3,2)),VALUE(LEFT(H451,2)))),TODAY(),"Y"),""))</f>
        <v/>
      </c>
      <c r="AB452" t="str">
        <f t="shared" si="54"/>
        <v/>
      </c>
      <c r="AC452" t="str">
        <f t="shared" si="55"/>
        <v>Delayed</v>
      </c>
    </row>
    <row r="453" spans="1:29">
      <c r="A453" s="34" t="s">
        <v>1117</v>
      </c>
      <c r="B453" s="10" t="s">
        <v>266</v>
      </c>
      <c r="C453" s="10" t="s">
        <v>236</v>
      </c>
      <c r="D453" s="10" t="s">
        <v>55</v>
      </c>
      <c r="E453" s="10" t="s">
        <v>175</v>
      </c>
      <c r="F453" s="10" t="s">
        <v>268</v>
      </c>
      <c r="G453" s="10" t="s">
        <v>269</v>
      </c>
      <c r="H453" s="11">
        <v>31603</v>
      </c>
      <c r="I453" s="10" t="s">
        <v>260</v>
      </c>
      <c r="J453" s="10" t="s">
        <v>261</v>
      </c>
      <c r="K453" s="10" t="s">
        <v>243</v>
      </c>
      <c r="L453" s="10" t="s">
        <v>244</v>
      </c>
      <c r="M453" s="10">
        <v>16</v>
      </c>
      <c r="N453" s="10">
        <v>55000</v>
      </c>
      <c r="O453" s="10">
        <v>15</v>
      </c>
      <c r="P453" s="10">
        <v>748000</v>
      </c>
      <c r="Q453" s="10">
        <v>1</v>
      </c>
      <c r="R453" s="10" t="s">
        <v>272</v>
      </c>
      <c r="S453" s="10" t="s">
        <v>312</v>
      </c>
      <c r="T453" s="10" t="s">
        <v>273</v>
      </c>
      <c r="U453" s="10">
        <v>9637283597</v>
      </c>
      <c r="V453" s="12" t="s">
        <v>265</v>
      </c>
      <c r="W453" t="str">
        <f t="shared" si="51"/>
        <v>Blacklisted</v>
      </c>
      <c r="X453" t="str">
        <f t="shared" si="52"/>
        <v>Mohit Verma</v>
      </c>
      <c r="Y453" t="str">
        <f t="shared" si="50"/>
        <v>Moh009De</v>
      </c>
      <c r="Z453" t="str">
        <f t="shared" si="53"/>
        <v>mohit.verma@company.com</v>
      </c>
      <c r="AA453">
        <f t="shared" ca="1" si="56"/>
        <v>42</v>
      </c>
      <c r="AB453">
        <f t="shared" si="54"/>
        <v>11</v>
      </c>
      <c r="AC453" t="str">
        <f t="shared" si="55"/>
        <v>Delayed</v>
      </c>
    </row>
    <row r="454" spans="1:29">
      <c r="A454" s="33" t="s">
        <v>1118</v>
      </c>
      <c r="B454" s="5" t="s">
        <v>235</v>
      </c>
      <c r="C454" s="5" t="s">
        <v>330</v>
      </c>
      <c r="D454" s="5" t="s">
        <v>109</v>
      </c>
      <c r="E454" s="5" t="s">
        <v>185</v>
      </c>
      <c r="F454" s="5" t="s">
        <v>318</v>
      </c>
      <c r="G454" s="5" t="s">
        <v>239</v>
      </c>
      <c r="H454" s="6">
        <v>37632</v>
      </c>
      <c r="I454" s="5" t="s">
        <v>306</v>
      </c>
      <c r="J454" s="5" t="s">
        <v>287</v>
      </c>
      <c r="K454" s="5" t="s">
        <v>243</v>
      </c>
      <c r="L454" s="5" t="s">
        <v>333</v>
      </c>
      <c r="M454" s="5">
        <v>8</v>
      </c>
      <c r="N454" s="5">
        <v>700</v>
      </c>
      <c r="O454" s="5">
        <v>0</v>
      </c>
      <c r="P454" s="5">
        <v>5600</v>
      </c>
      <c r="Q454" s="5">
        <v>3</v>
      </c>
      <c r="R454" s="5" t="s">
        <v>254</v>
      </c>
      <c r="S454" s="5" t="s">
        <v>263</v>
      </c>
      <c r="T454" s="5" t="s">
        <v>247</v>
      </c>
      <c r="U454" s="5">
        <v>9514269002</v>
      </c>
      <c r="V454" s="8" t="s">
        <v>257</v>
      </c>
      <c r="W454" t="str">
        <f t="shared" si="51"/>
        <v>Silver</v>
      </c>
      <c r="X454" t="str">
        <f t="shared" si="52"/>
        <v>Pooja Shah</v>
      </c>
      <c r="Y454" t="str">
        <f t="shared" si="50"/>
        <v>Poo010Ah</v>
      </c>
      <c r="Z454" t="str">
        <f t="shared" si="53"/>
        <v>pooja.shah@company.com</v>
      </c>
      <c r="AA454">
        <f t="shared" ca="1" si="56"/>
        <v>40</v>
      </c>
      <c r="AB454">
        <f t="shared" si="54"/>
        <v>7</v>
      </c>
      <c r="AC454" t="str">
        <f t="shared" si="55"/>
        <v>Delayed</v>
      </c>
    </row>
    <row r="455" spans="1:29">
      <c r="A455" s="34" t="s">
        <v>1119</v>
      </c>
      <c r="B455" s="10" t="s">
        <v>358</v>
      </c>
      <c r="C455" s="10" t="s">
        <v>267</v>
      </c>
      <c r="D455" s="11">
        <v>46057</v>
      </c>
      <c r="E455" s="10" t="s">
        <v>1120</v>
      </c>
      <c r="F455" s="10" t="s">
        <v>359</v>
      </c>
      <c r="G455" s="10" t="s">
        <v>239</v>
      </c>
      <c r="H455" s="11">
        <v>37900</v>
      </c>
      <c r="I455" s="10" t="s">
        <v>306</v>
      </c>
      <c r="J455" s="10" t="s">
        <v>287</v>
      </c>
      <c r="K455" s="10" t="s">
        <v>243</v>
      </c>
      <c r="L455" s="10" t="s">
        <v>271</v>
      </c>
      <c r="M455" s="10">
        <v>3</v>
      </c>
      <c r="N455" s="10">
        <v>1200</v>
      </c>
      <c r="O455" s="10">
        <v>0</v>
      </c>
      <c r="P455" s="10">
        <v>3600</v>
      </c>
      <c r="Q455" s="10">
        <v>1</v>
      </c>
      <c r="R455" s="10" t="s">
        <v>272</v>
      </c>
      <c r="S455" s="10" t="s">
        <v>263</v>
      </c>
      <c r="T455" s="10" t="s">
        <v>360</v>
      </c>
      <c r="U455" s="10">
        <v>9778908233</v>
      </c>
      <c r="V455" s="12" t="s">
        <v>265</v>
      </c>
      <c r="W455" t="str">
        <f t="shared" si="51"/>
        <v>Blacklisted</v>
      </c>
      <c r="X455" t="str">
        <f t="shared" si="52"/>
        <v>Sneha Joshi</v>
      </c>
      <c r="Y455" t="str">
        <f t="shared" si="50"/>
        <v>Sne006Ah</v>
      </c>
      <c r="Z455" t="str">
        <f t="shared" si="53"/>
        <v>sneha.joshi@company.com</v>
      </c>
      <c r="AA455">
        <f t="shared" ca="1" si="56"/>
        <v>23</v>
      </c>
      <c r="AB455" t="str">
        <f t="shared" si="54"/>
        <v/>
      </c>
      <c r="AC455" t="str">
        <f t="shared" si="55"/>
        <v>Delayed</v>
      </c>
    </row>
    <row r="456" spans="1:29">
      <c r="A456" s="33" t="s">
        <v>1121</v>
      </c>
      <c r="B456" s="5" t="s">
        <v>266</v>
      </c>
      <c r="C456" s="5" t="s">
        <v>280</v>
      </c>
      <c r="D456" s="5" t="s">
        <v>64</v>
      </c>
      <c r="E456" s="5" t="s">
        <v>150</v>
      </c>
      <c r="F456" s="5" t="s">
        <v>268</v>
      </c>
      <c r="G456" s="5" t="s">
        <v>269</v>
      </c>
      <c r="H456" s="5" t="s">
        <v>1122</v>
      </c>
      <c r="I456" s="5" t="s">
        <v>379</v>
      </c>
      <c r="J456" s="5" t="s">
        <v>21</v>
      </c>
      <c r="K456" s="5" t="s">
        <v>15</v>
      </c>
      <c r="L456" s="5" t="s">
        <v>282</v>
      </c>
      <c r="M456" s="5">
        <v>7</v>
      </c>
      <c r="N456" s="5">
        <v>3500</v>
      </c>
      <c r="O456" s="5">
        <v>15</v>
      </c>
      <c r="P456" s="5">
        <v>20825</v>
      </c>
      <c r="Q456" s="5">
        <v>4</v>
      </c>
      <c r="R456" s="5" t="s">
        <v>272</v>
      </c>
      <c r="S456" s="5" t="s">
        <v>246</v>
      </c>
      <c r="T456" s="5" t="s">
        <v>273</v>
      </c>
      <c r="U456" s="5">
        <v>9981118755</v>
      </c>
      <c r="V456" s="8" t="s">
        <v>248</v>
      </c>
      <c r="W456" t="str">
        <f t="shared" si="51"/>
        <v/>
      </c>
      <c r="X456" t="str">
        <f t="shared" si="52"/>
        <v>Mohit Verma</v>
      </c>
      <c r="Y456" t="str">
        <f t="shared" si="50"/>
        <v>Moh009Ko</v>
      </c>
      <c r="Z456" t="str">
        <f t="shared" si="53"/>
        <v>mohit.verma@company.com</v>
      </c>
      <c r="AA456">
        <f t="shared" ca="1" si="56"/>
        <v>23</v>
      </c>
      <c r="AB456">
        <f t="shared" si="54"/>
        <v>8</v>
      </c>
      <c r="AC456" t="str">
        <f t="shared" si="55"/>
        <v>Delayed</v>
      </c>
    </row>
    <row r="457" spans="1:29">
      <c r="A457" s="34" t="s">
        <v>1123</v>
      </c>
      <c r="B457" s="10" t="s">
        <v>235</v>
      </c>
      <c r="C457" s="10" t="s">
        <v>236</v>
      </c>
      <c r="D457" s="10" t="s">
        <v>185</v>
      </c>
      <c r="E457" s="11">
        <v>46116</v>
      </c>
      <c r="F457" s="10" t="s">
        <v>318</v>
      </c>
      <c r="G457" s="10" t="s">
        <v>239</v>
      </c>
      <c r="H457" s="10" t="s">
        <v>1124</v>
      </c>
      <c r="I457" s="10" t="s">
        <v>291</v>
      </c>
      <c r="J457" s="10" t="s">
        <v>287</v>
      </c>
      <c r="K457" s="10" t="s">
        <v>243</v>
      </c>
      <c r="L457" s="10" t="s">
        <v>244</v>
      </c>
      <c r="M457" s="10">
        <v>9</v>
      </c>
      <c r="N457" s="10">
        <v>55000</v>
      </c>
      <c r="O457" s="10">
        <v>15</v>
      </c>
      <c r="P457" s="10">
        <v>420750</v>
      </c>
      <c r="Q457" s="10">
        <v>3</v>
      </c>
      <c r="R457" s="10" t="s">
        <v>277</v>
      </c>
      <c r="S457" s="10" t="s">
        <v>255</v>
      </c>
      <c r="T457" s="10" t="s">
        <v>247</v>
      </c>
      <c r="U457" s="10">
        <v>9887896743</v>
      </c>
      <c r="V457" s="12" t="s">
        <v>265</v>
      </c>
      <c r="W457" t="str">
        <f t="shared" si="51"/>
        <v>Blacklisted</v>
      </c>
      <c r="X457" t="str">
        <f t="shared" si="52"/>
        <v>Pooja Shah</v>
      </c>
      <c r="Y457" t="str">
        <f t="shared" si="50"/>
        <v>Poo010Pu</v>
      </c>
      <c r="Z457" t="str">
        <f t="shared" si="53"/>
        <v>pooja.shah@company.com</v>
      </c>
      <c r="AA457" t="str">
        <f t="shared" ca="1" si="56"/>
        <v/>
      </c>
      <c r="AB457" t="str">
        <f t="shared" si="54"/>
        <v/>
      </c>
      <c r="AC457" t="str">
        <f t="shared" si="55"/>
        <v>Delayed</v>
      </c>
    </row>
    <row r="458" spans="1:29">
      <c r="A458" s="33" t="s">
        <v>1125</v>
      </c>
      <c r="B458" s="5" t="s">
        <v>392</v>
      </c>
      <c r="C458" s="5" t="s">
        <v>258</v>
      </c>
      <c r="D458" s="6">
        <v>45669</v>
      </c>
      <c r="E458" s="6">
        <v>45700</v>
      </c>
      <c r="F458" s="5" t="s">
        <v>323</v>
      </c>
      <c r="G458" s="5" t="s">
        <v>269</v>
      </c>
      <c r="H458" s="6">
        <v>34122</v>
      </c>
      <c r="I458" s="5" t="s">
        <v>241</v>
      </c>
      <c r="J458" s="5" t="s">
        <v>242</v>
      </c>
      <c r="K458" s="5" t="s">
        <v>243</v>
      </c>
      <c r="L458" s="5" t="s">
        <v>262</v>
      </c>
      <c r="M458" s="5">
        <v>12</v>
      </c>
      <c r="N458" s="5">
        <v>12000</v>
      </c>
      <c r="O458" s="5">
        <v>0</v>
      </c>
      <c r="P458" s="5">
        <v>144000</v>
      </c>
      <c r="Q458" s="5">
        <v>3</v>
      </c>
      <c r="R458" s="5" t="s">
        <v>272</v>
      </c>
      <c r="S458" s="5" t="s">
        <v>312</v>
      </c>
      <c r="T458" s="5" t="s">
        <v>395</v>
      </c>
      <c r="U458" s="5">
        <v>9585330043</v>
      </c>
      <c r="V458" s="8" t="s">
        <v>265</v>
      </c>
      <c r="W458" t="str">
        <f t="shared" si="51"/>
        <v>Blacklisted</v>
      </c>
      <c r="X458" t="str">
        <f t="shared" si="52"/>
        <v>Amit Sharma</v>
      </c>
      <c r="Y458" t="str">
        <f t="shared" si="50"/>
        <v>Ami001Be</v>
      </c>
      <c r="Z458" t="str">
        <f t="shared" si="53"/>
        <v>amit.sharma@company.com</v>
      </c>
      <c r="AA458" t="str">
        <f t="shared" ca="1" si="56"/>
        <v/>
      </c>
      <c r="AB458" t="str">
        <f t="shared" si="54"/>
        <v/>
      </c>
      <c r="AC458" t="str">
        <f t="shared" si="55"/>
        <v>Delayed</v>
      </c>
    </row>
    <row r="459" spans="1:29">
      <c r="A459" s="34" t="s">
        <v>1126</v>
      </c>
      <c r="B459" s="10" t="s">
        <v>284</v>
      </c>
      <c r="C459" s="10" t="s">
        <v>294</v>
      </c>
      <c r="D459" s="11">
        <v>45752</v>
      </c>
      <c r="E459" s="11">
        <v>45966</v>
      </c>
      <c r="F459" s="10" t="s">
        <v>285</v>
      </c>
      <c r="G459" s="10" t="s">
        <v>239</v>
      </c>
      <c r="H459" s="11">
        <v>27434</v>
      </c>
      <c r="I459" s="10" t="s">
        <v>306</v>
      </c>
      <c r="J459" s="10" t="s">
        <v>287</v>
      </c>
      <c r="K459" s="10" t="s">
        <v>295</v>
      </c>
      <c r="L459" s="10" t="s">
        <v>296</v>
      </c>
      <c r="M459" s="10">
        <v>7</v>
      </c>
      <c r="N459" s="10">
        <v>60</v>
      </c>
      <c r="O459" s="10">
        <v>10</v>
      </c>
      <c r="P459" s="10">
        <v>378</v>
      </c>
      <c r="Q459" s="10">
        <v>4</v>
      </c>
      <c r="R459" s="10" t="s">
        <v>254</v>
      </c>
      <c r="S459" s="10" t="s">
        <v>263</v>
      </c>
      <c r="T459" s="10" t="s">
        <v>308</v>
      </c>
      <c r="U459" s="10">
        <v>9423719975</v>
      </c>
      <c r="V459" s="12" t="s">
        <v>265</v>
      </c>
      <c r="W459" t="str">
        <f t="shared" si="51"/>
        <v>Blacklisted</v>
      </c>
      <c r="X459" t="str">
        <f t="shared" si="52"/>
        <v>Priya Patel</v>
      </c>
      <c r="Y459" t="str">
        <f t="shared" si="50"/>
        <v>Pri002Ah</v>
      </c>
      <c r="Z459" t="str">
        <f t="shared" si="53"/>
        <v>priya.patel@company.com</v>
      </c>
      <c r="AA459">
        <f t="shared" ca="1" si="56"/>
        <v>33</v>
      </c>
      <c r="AB459" t="str">
        <f t="shared" si="54"/>
        <v/>
      </c>
      <c r="AC459" t="str">
        <f t="shared" si="55"/>
        <v>Delayed</v>
      </c>
    </row>
    <row r="460" spans="1:29">
      <c r="A460" s="33" t="s">
        <v>1127</v>
      </c>
      <c r="B460" s="5" t="s">
        <v>346</v>
      </c>
      <c r="C460" s="5" t="s">
        <v>250</v>
      </c>
      <c r="D460" s="5" t="s">
        <v>125</v>
      </c>
      <c r="E460" s="5" t="s">
        <v>539</v>
      </c>
      <c r="F460" s="5" t="s">
        <v>348</v>
      </c>
      <c r="G460" s="5" t="s">
        <v>269</v>
      </c>
      <c r="H460" s="6">
        <v>34586</v>
      </c>
      <c r="I460" s="5" t="s">
        <v>286</v>
      </c>
      <c r="J460" s="5" t="s">
        <v>287</v>
      </c>
      <c r="K460" s="5" t="s">
        <v>15</v>
      </c>
      <c r="L460" s="5" t="s">
        <v>253</v>
      </c>
      <c r="M460" s="5">
        <v>17</v>
      </c>
      <c r="N460" s="5">
        <v>2200</v>
      </c>
      <c r="O460" s="5">
        <v>15</v>
      </c>
      <c r="P460" s="5">
        <v>31790</v>
      </c>
      <c r="Q460" s="5">
        <v>3</v>
      </c>
      <c r="R460" s="5" t="s">
        <v>277</v>
      </c>
      <c r="S460" s="5" t="s">
        <v>312</v>
      </c>
      <c r="T460" s="5" t="s">
        <v>350</v>
      </c>
      <c r="U460" s="5">
        <v>9270746961</v>
      </c>
      <c r="V460" s="8" t="s">
        <v>248</v>
      </c>
      <c r="W460" t="str">
        <f t="shared" si="51"/>
        <v/>
      </c>
      <c r="X460" t="str">
        <f t="shared" si="52"/>
        <v>Vikas Mehta</v>
      </c>
      <c r="Y460" t="str">
        <f t="shared" si="50"/>
        <v>Vik005Mu</v>
      </c>
      <c r="Z460" t="str">
        <f t="shared" si="53"/>
        <v>vikas.mehta@company.com</v>
      </c>
      <c r="AA460">
        <f t="shared" ca="1" si="56"/>
        <v>51</v>
      </c>
      <c r="AB460">
        <f t="shared" si="54"/>
        <v>8</v>
      </c>
      <c r="AC460" t="str">
        <f t="shared" si="55"/>
        <v>Delayed</v>
      </c>
    </row>
    <row r="461" spans="1:29">
      <c r="A461" s="34" t="s">
        <v>1128</v>
      </c>
      <c r="B461" s="10" t="s">
        <v>392</v>
      </c>
      <c r="C461" s="10" t="s">
        <v>330</v>
      </c>
      <c r="D461" s="10" t="s">
        <v>171</v>
      </c>
      <c r="E461" s="11">
        <v>45820</v>
      </c>
      <c r="F461" s="10" t="s">
        <v>323</v>
      </c>
      <c r="G461" s="10" t="s">
        <v>269</v>
      </c>
      <c r="H461" s="11">
        <v>33795</v>
      </c>
      <c r="I461" s="10" t="s">
        <v>241</v>
      </c>
      <c r="J461" s="10" t="s">
        <v>242</v>
      </c>
      <c r="K461" s="10" t="s">
        <v>243</v>
      </c>
      <c r="L461" s="10" t="s">
        <v>333</v>
      </c>
      <c r="M461" s="10">
        <v>17</v>
      </c>
      <c r="N461" s="10">
        <v>700</v>
      </c>
      <c r="O461" s="10">
        <v>10</v>
      </c>
      <c r="P461" s="10">
        <v>10710</v>
      </c>
      <c r="Q461" s="10">
        <v>2</v>
      </c>
      <c r="R461" s="10" t="s">
        <v>254</v>
      </c>
      <c r="S461" s="10" t="s">
        <v>246</v>
      </c>
      <c r="T461" s="10" t="s">
        <v>395</v>
      </c>
      <c r="U461" s="10">
        <v>9333162025</v>
      </c>
      <c r="V461" s="12" t="s">
        <v>248</v>
      </c>
      <c r="W461" t="str">
        <f t="shared" si="51"/>
        <v>Blacklisted</v>
      </c>
      <c r="X461" t="str">
        <f t="shared" si="52"/>
        <v>Amit Sharma</v>
      </c>
      <c r="Y461" t="str">
        <f t="shared" si="50"/>
        <v>Ami001Be</v>
      </c>
      <c r="Z461" t="str">
        <f t="shared" si="53"/>
        <v>amit.sharma@company.com</v>
      </c>
      <c r="AA461">
        <f t="shared" ca="1" si="56"/>
        <v>32</v>
      </c>
      <c r="AB461" t="str">
        <f t="shared" si="54"/>
        <v/>
      </c>
      <c r="AC461" t="str">
        <f t="shared" si="55"/>
        <v>Delayed</v>
      </c>
    </row>
    <row r="462" spans="1:29">
      <c r="A462" s="33" t="s">
        <v>1129</v>
      </c>
      <c r="B462" s="5" t="s">
        <v>392</v>
      </c>
      <c r="C462" s="5" t="s">
        <v>236</v>
      </c>
      <c r="D462" s="5" t="s">
        <v>187</v>
      </c>
      <c r="E462" s="6">
        <v>45663</v>
      </c>
      <c r="F462" s="5" t="s">
        <v>323</v>
      </c>
      <c r="G462" s="5" t="s">
        <v>269</v>
      </c>
      <c r="H462" s="5" t="s">
        <v>1130</v>
      </c>
      <c r="I462" s="5" t="s">
        <v>260</v>
      </c>
      <c r="J462" s="5" t="s">
        <v>261</v>
      </c>
      <c r="K462" s="5" t="s">
        <v>243</v>
      </c>
      <c r="L462" s="5" t="s">
        <v>244</v>
      </c>
      <c r="M462" s="5">
        <v>19</v>
      </c>
      <c r="N462" s="5">
        <v>55000</v>
      </c>
      <c r="O462" s="5">
        <v>20</v>
      </c>
      <c r="P462" s="5">
        <v>836000</v>
      </c>
      <c r="Q462" s="5">
        <v>5</v>
      </c>
      <c r="R462" s="5" t="s">
        <v>245</v>
      </c>
      <c r="S462" s="5" t="s">
        <v>246</v>
      </c>
      <c r="T462" s="5" t="s">
        <v>395</v>
      </c>
      <c r="U462" s="5">
        <v>9247023285</v>
      </c>
      <c r="V462" s="8" t="s">
        <v>257</v>
      </c>
      <c r="W462" t="str">
        <f t="shared" si="51"/>
        <v>Gold</v>
      </c>
      <c r="X462" t="str">
        <f t="shared" si="52"/>
        <v>Amit Sharma</v>
      </c>
      <c r="Y462" t="str">
        <f t="shared" si="50"/>
        <v>Ami001De</v>
      </c>
      <c r="Z462" t="str">
        <f t="shared" si="53"/>
        <v>amit.sharma@company.com</v>
      </c>
      <c r="AA462">
        <f t="shared" ca="1" si="56"/>
        <v>34</v>
      </c>
      <c r="AB462" t="str">
        <f t="shared" si="54"/>
        <v/>
      </c>
      <c r="AC462" t="str">
        <f t="shared" si="55"/>
        <v>Delayed</v>
      </c>
    </row>
    <row r="463" spans="1:29">
      <c r="A463" s="34" t="s">
        <v>1131</v>
      </c>
      <c r="B463" s="10" t="s">
        <v>299</v>
      </c>
      <c r="C463" s="10" t="s">
        <v>294</v>
      </c>
      <c r="D463" s="11">
        <v>46000</v>
      </c>
      <c r="E463" s="10" t="s">
        <v>83</v>
      </c>
      <c r="F463" s="10" t="s">
        <v>301</v>
      </c>
      <c r="G463" s="10" t="s">
        <v>269</v>
      </c>
      <c r="H463" s="11">
        <v>36952</v>
      </c>
      <c r="I463" s="10" t="s">
        <v>260</v>
      </c>
      <c r="J463" s="10" t="s">
        <v>261</v>
      </c>
      <c r="K463" s="10" t="s">
        <v>295</v>
      </c>
      <c r="L463" s="10" t="s">
        <v>296</v>
      </c>
      <c r="M463" s="10">
        <v>1</v>
      </c>
      <c r="N463" s="10">
        <v>60</v>
      </c>
      <c r="O463" s="10">
        <v>10</v>
      </c>
      <c r="P463" s="10">
        <v>54</v>
      </c>
      <c r="Q463" s="10">
        <v>4</v>
      </c>
      <c r="R463" s="15" t="s">
        <v>245</v>
      </c>
      <c r="S463" s="10"/>
      <c r="T463" s="13" t="s">
        <v>1132</v>
      </c>
      <c r="U463" s="10">
        <v>9448658297</v>
      </c>
      <c r="V463" s="12" t="s">
        <v>265</v>
      </c>
      <c r="W463" t="str">
        <f t="shared" si="51"/>
        <v>Blacklisted</v>
      </c>
      <c r="X463" t="str">
        <f t="shared" si="52"/>
        <v>Rohit Singh</v>
      </c>
      <c r="Y463" t="str">
        <f t="shared" si="50"/>
        <v>Roh003De</v>
      </c>
      <c r="Z463" t="str">
        <f t="shared" si="53"/>
        <v>rohit.singh@company.com</v>
      </c>
      <c r="AA463" t="str">
        <f t="shared" ca="1" si="56"/>
        <v/>
      </c>
      <c r="AB463" t="str">
        <f t="shared" si="54"/>
        <v/>
      </c>
      <c r="AC463" t="str">
        <f t="shared" si="55"/>
        <v>Delayed</v>
      </c>
    </row>
    <row r="464" spans="1:29">
      <c r="A464" s="33" t="s">
        <v>1133</v>
      </c>
      <c r="B464" s="5" t="s">
        <v>266</v>
      </c>
      <c r="C464" s="5" t="s">
        <v>280</v>
      </c>
      <c r="D464" s="6">
        <v>46115</v>
      </c>
      <c r="E464" s="6">
        <v>46329</v>
      </c>
      <c r="F464" s="5" t="s">
        <v>268</v>
      </c>
      <c r="G464" s="5" t="s">
        <v>269</v>
      </c>
      <c r="H464" s="5" t="s">
        <v>1134</v>
      </c>
      <c r="I464" s="5" t="s">
        <v>252</v>
      </c>
      <c r="J464" s="5" t="s">
        <v>242</v>
      </c>
      <c r="K464" s="5" t="s">
        <v>15</v>
      </c>
      <c r="L464" s="5" t="s">
        <v>282</v>
      </c>
      <c r="M464" s="5">
        <v>16</v>
      </c>
      <c r="N464" s="5">
        <v>3500</v>
      </c>
      <c r="O464" s="5">
        <v>0</v>
      </c>
      <c r="P464" s="5">
        <v>56000</v>
      </c>
      <c r="Q464" s="5">
        <v>4</v>
      </c>
      <c r="R464" s="5" t="s">
        <v>245</v>
      </c>
      <c r="S464" s="5" t="s">
        <v>255</v>
      </c>
      <c r="T464" s="5" t="s">
        <v>273</v>
      </c>
      <c r="U464" s="5">
        <v>9906748486</v>
      </c>
      <c r="V464" s="8" t="s">
        <v>248</v>
      </c>
      <c r="W464" t="str">
        <f t="shared" si="51"/>
        <v/>
      </c>
      <c r="X464" t="str">
        <f t="shared" si="52"/>
        <v>Mohit Verma</v>
      </c>
      <c r="Y464" t="str">
        <f t="shared" si="50"/>
        <v>Moh009Hy</v>
      </c>
      <c r="Z464" t="str">
        <f t="shared" si="53"/>
        <v>mohit.verma@company.com</v>
      </c>
      <c r="AA464">
        <f t="shared" ca="1" si="56"/>
        <v>25</v>
      </c>
      <c r="AB464" t="str">
        <f t="shared" si="54"/>
        <v/>
      </c>
      <c r="AC464" t="str">
        <f t="shared" si="55"/>
        <v>Delayed</v>
      </c>
    </row>
    <row r="465" spans="1:29">
      <c r="A465" s="34" t="s">
        <v>1135</v>
      </c>
      <c r="B465" s="10" t="s">
        <v>299</v>
      </c>
      <c r="C465" s="10" t="s">
        <v>347</v>
      </c>
      <c r="D465" s="10" t="s">
        <v>128</v>
      </c>
      <c r="E465" s="11">
        <v>45779</v>
      </c>
      <c r="F465" s="10" t="s">
        <v>301</v>
      </c>
      <c r="G465" s="10" t="s">
        <v>269</v>
      </c>
      <c r="H465" s="10" t="s">
        <v>810</v>
      </c>
      <c r="I465" s="10" t="s">
        <v>291</v>
      </c>
      <c r="J465" s="10" t="s">
        <v>287</v>
      </c>
      <c r="K465" s="10" t="s">
        <v>295</v>
      </c>
      <c r="L465" s="10" t="s">
        <v>349</v>
      </c>
      <c r="M465" s="10">
        <v>14</v>
      </c>
      <c r="N465" s="10">
        <v>20</v>
      </c>
      <c r="O465" s="10">
        <v>10</v>
      </c>
      <c r="P465" s="10">
        <v>252</v>
      </c>
      <c r="Q465" s="10">
        <v>1</v>
      </c>
      <c r="R465" s="10" t="s">
        <v>245</v>
      </c>
      <c r="S465" s="10" t="s">
        <v>246</v>
      </c>
      <c r="T465" s="10" t="s">
        <v>302</v>
      </c>
      <c r="U465" s="10">
        <v>9365182725</v>
      </c>
      <c r="V465" s="12" t="s">
        <v>248</v>
      </c>
      <c r="W465" t="str">
        <f t="shared" si="51"/>
        <v>Blacklisted</v>
      </c>
      <c r="X465" t="str">
        <f t="shared" si="52"/>
        <v>Rohit Singh</v>
      </c>
      <c r="Y465" t="str">
        <f t="shared" si="50"/>
        <v>Roh003Pu</v>
      </c>
      <c r="Z465" t="str">
        <f t="shared" si="53"/>
        <v>rohit.singh@company.com</v>
      </c>
      <c r="AA465" t="str">
        <f t="shared" ca="1" si="56"/>
        <v/>
      </c>
      <c r="AB465" t="str">
        <f t="shared" si="54"/>
        <v/>
      </c>
      <c r="AC465" t="str">
        <f t="shared" si="55"/>
        <v>Delayed</v>
      </c>
    </row>
    <row r="466" spans="1:29">
      <c r="A466" s="33" t="s">
        <v>1136</v>
      </c>
      <c r="B466" s="5" t="s">
        <v>266</v>
      </c>
      <c r="C466" s="5" t="s">
        <v>250</v>
      </c>
      <c r="D466" s="5" t="s">
        <v>22</v>
      </c>
      <c r="E466" s="5" t="s">
        <v>30</v>
      </c>
      <c r="F466" s="5" t="s">
        <v>268</v>
      </c>
      <c r="G466" s="5" t="s">
        <v>269</v>
      </c>
      <c r="H466" s="5" t="s">
        <v>1137</v>
      </c>
      <c r="I466" s="5" t="s">
        <v>241</v>
      </c>
      <c r="J466" s="5" t="s">
        <v>242</v>
      </c>
      <c r="K466" s="5" t="s">
        <v>15</v>
      </c>
      <c r="L466" s="5" t="s">
        <v>253</v>
      </c>
      <c r="M466" s="5">
        <v>11</v>
      </c>
      <c r="N466" s="5">
        <v>2200</v>
      </c>
      <c r="O466" s="5">
        <v>15</v>
      </c>
      <c r="P466" s="5">
        <v>20570</v>
      </c>
      <c r="Q466" s="5">
        <v>4</v>
      </c>
      <c r="R466" s="5" t="s">
        <v>245</v>
      </c>
      <c r="S466" s="5" t="s">
        <v>263</v>
      </c>
      <c r="T466" s="5" t="s">
        <v>273</v>
      </c>
      <c r="U466" s="5">
        <v>9937119494</v>
      </c>
      <c r="V466" s="8" t="s">
        <v>265</v>
      </c>
      <c r="W466" t="str">
        <f t="shared" si="51"/>
        <v>Blacklisted</v>
      </c>
      <c r="X466" t="str">
        <f t="shared" si="52"/>
        <v>Mohit Verma</v>
      </c>
      <c r="Y466" t="str">
        <f t="shared" si="50"/>
        <v>Moh009Be</v>
      </c>
      <c r="Z466" t="str">
        <f t="shared" si="53"/>
        <v>mohit.verma@company.com</v>
      </c>
      <c r="AA466" t="str">
        <f t="shared" ca="1" si="56"/>
        <v/>
      </c>
      <c r="AB466">
        <f t="shared" si="54"/>
        <v>1</v>
      </c>
      <c r="AC466" t="str">
        <f t="shared" si="55"/>
        <v>On time</v>
      </c>
    </row>
    <row r="467" spans="1:29">
      <c r="A467" s="34" t="s">
        <v>1138</v>
      </c>
      <c r="B467" s="10" t="s">
        <v>275</v>
      </c>
      <c r="C467" s="10" t="s">
        <v>236</v>
      </c>
      <c r="D467" s="11">
        <v>45665</v>
      </c>
      <c r="E467" s="11">
        <v>45908</v>
      </c>
      <c r="F467" s="10" t="s">
        <v>328</v>
      </c>
      <c r="G467" s="10" t="s">
        <v>269</v>
      </c>
      <c r="H467" s="10" t="s">
        <v>1139</v>
      </c>
      <c r="I467" s="10" t="s">
        <v>342</v>
      </c>
      <c r="J467" s="10" t="s">
        <v>261</v>
      </c>
      <c r="K467" s="10" t="s">
        <v>243</v>
      </c>
      <c r="L467" s="10" t="s">
        <v>244</v>
      </c>
      <c r="M467" s="10">
        <v>2</v>
      </c>
      <c r="N467" s="10">
        <v>55000</v>
      </c>
      <c r="O467" s="10">
        <v>0</v>
      </c>
      <c r="P467" s="10">
        <v>110000</v>
      </c>
      <c r="Q467" s="10">
        <v>4</v>
      </c>
      <c r="R467" s="10" t="s">
        <v>245</v>
      </c>
      <c r="S467" s="10" t="s">
        <v>263</v>
      </c>
      <c r="T467" s="10" t="s">
        <v>278</v>
      </c>
      <c r="U467" s="10">
        <v>9828015293</v>
      </c>
      <c r="V467" s="12" t="s">
        <v>265</v>
      </c>
      <c r="W467" t="str">
        <f t="shared" si="51"/>
        <v>Blacklisted</v>
      </c>
      <c r="X467" t="str">
        <f t="shared" si="52"/>
        <v>Arjun Rao</v>
      </c>
      <c r="Y467" t="str">
        <f t="shared" si="50"/>
        <v>Arj007Ja</v>
      </c>
      <c r="Z467" t="str">
        <f t="shared" si="53"/>
        <v>arjun.rao@company.com</v>
      </c>
      <c r="AA467" t="str">
        <f t="shared" ca="1" si="56"/>
        <v/>
      </c>
      <c r="AB467" t="str">
        <f t="shared" si="54"/>
        <v/>
      </c>
      <c r="AC467" t="str">
        <f t="shared" si="55"/>
        <v>Delayed</v>
      </c>
    </row>
    <row r="468" spans="1:29">
      <c r="A468" s="33" t="s">
        <v>1140</v>
      </c>
      <c r="B468" s="5" t="s">
        <v>235</v>
      </c>
      <c r="C468" s="5" t="s">
        <v>250</v>
      </c>
      <c r="D468" s="6">
        <v>45658</v>
      </c>
      <c r="E468" s="6">
        <v>45839</v>
      </c>
      <c r="F468" s="5" t="s">
        <v>318</v>
      </c>
      <c r="G468" s="5" t="s">
        <v>239</v>
      </c>
      <c r="H468" s="6">
        <v>32357</v>
      </c>
      <c r="I468" s="5" t="s">
        <v>291</v>
      </c>
      <c r="J468" s="5" t="s">
        <v>287</v>
      </c>
      <c r="K468" s="5" t="s">
        <v>15</v>
      </c>
      <c r="L468" s="5" t="s">
        <v>253</v>
      </c>
      <c r="M468" s="5">
        <v>7</v>
      </c>
      <c r="N468" s="5">
        <v>2200</v>
      </c>
      <c r="O468" s="5">
        <v>5</v>
      </c>
      <c r="P468" s="5">
        <v>14630</v>
      </c>
      <c r="Q468" s="5">
        <v>4</v>
      </c>
      <c r="R468" s="5" t="s">
        <v>272</v>
      </c>
      <c r="S468" s="5" t="s">
        <v>292</v>
      </c>
      <c r="T468" s="5" t="s">
        <v>247</v>
      </c>
      <c r="U468" s="5">
        <v>9864206250</v>
      </c>
      <c r="V468" s="8" t="s">
        <v>265</v>
      </c>
      <c r="W468" t="str">
        <f t="shared" si="51"/>
        <v>Blacklisted</v>
      </c>
      <c r="X468" t="str">
        <f t="shared" si="52"/>
        <v>Pooja Shah</v>
      </c>
      <c r="Y468" t="str">
        <f t="shared" si="50"/>
        <v>Poo010Pu</v>
      </c>
      <c r="Z468" t="str">
        <f t="shared" si="53"/>
        <v>pooja.shah@company.com</v>
      </c>
      <c r="AA468" t="str">
        <f t="shared" ca="1" si="56"/>
        <v/>
      </c>
      <c r="AB468" t="str">
        <f t="shared" si="54"/>
        <v/>
      </c>
      <c r="AC468" t="str">
        <f t="shared" si="55"/>
        <v>Delayed</v>
      </c>
    </row>
    <row r="469" spans="1:29">
      <c r="A469" s="34" t="s">
        <v>1141</v>
      </c>
      <c r="B469" s="10" t="s">
        <v>249</v>
      </c>
      <c r="C469" s="10" t="s">
        <v>362</v>
      </c>
      <c r="D469" s="11">
        <v>45873</v>
      </c>
      <c r="E469" s="11">
        <v>45995</v>
      </c>
      <c r="F469" s="10" t="s">
        <v>251</v>
      </c>
      <c r="G469" s="10" t="s">
        <v>239</v>
      </c>
      <c r="H469" s="10" t="s">
        <v>1142</v>
      </c>
      <c r="I469" s="10" t="s">
        <v>306</v>
      </c>
      <c r="J469" s="10" t="s">
        <v>287</v>
      </c>
      <c r="K469" s="10" t="s">
        <v>295</v>
      </c>
      <c r="L469" s="10" t="s">
        <v>363</v>
      </c>
      <c r="M469" s="10">
        <v>11</v>
      </c>
      <c r="N469" s="10">
        <v>45</v>
      </c>
      <c r="O469" s="10">
        <v>15</v>
      </c>
      <c r="P469" s="10">
        <v>420.75</v>
      </c>
      <c r="Q469" s="10">
        <v>4</v>
      </c>
      <c r="R469" s="10" t="s">
        <v>272</v>
      </c>
      <c r="S469" s="10" t="s">
        <v>246</v>
      </c>
      <c r="T469" s="10" t="s">
        <v>264</v>
      </c>
      <c r="U469" s="10">
        <v>9519293104</v>
      </c>
      <c r="V469" s="12" t="s">
        <v>248</v>
      </c>
      <c r="W469" t="str">
        <f t="shared" si="51"/>
        <v/>
      </c>
      <c r="X469" t="str">
        <f t="shared" si="52"/>
        <v>Kavya Nair</v>
      </c>
      <c r="Y469" t="str">
        <f t="shared" si="50"/>
        <v>Kav008Ah</v>
      </c>
      <c r="Z469" t="str">
        <f t="shared" si="53"/>
        <v>kavya.nair@company.com</v>
      </c>
      <c r="AA469">
        <f t="shared" ca="1" si="56"/>
        <v>38</v>
      </c>
      <c r="AB469" t="str">
        <f t="shared" si="54"/>
        <v/>
      </c>
      <c r="AC469" t="str">
        <f t="shared" si="55"/>
        <v>Delayed</v>
      </c>
    </row>
    <row r="470" spans="1:29">
      <c r="A470" s="33" t="s">
        <v>1143</v>
      </c>
      <c r="B470" s="5" t="s">
        <v>284</v>
      </c>
      <c r="C470" s="5" t="s">
        <v>294</v>
      </c>
      <c r="D470" s="5" t="s">
        <v>89</v>
      </c>
      <c r="E470" s="5" t="s">
        <v>196</v>
      </c>
      <c r="F470" s="5" t="s">
        <v>285</v>
      </c>
      <c r="G470" s="5" t="s">
        <v>239</v>
      </c>
      <c r="H470" s="5" t="s">
        <v>1144</v>
      </c>
      <c r="I470" s="5" t="s">
        <v>286</v>
      </c>
      <c r="J470" s="5" t="s">
        <v>287</v>
      </c>
      <c r="K470" s="5" t="s">
        <v>295</v>
      </c>
      <c r="L470" s="5" t="s">
        <v>296</v>
      </c>
      <c r="M470" s="5">
        <v>16</v>
      </c>
      <c r="N470" s="5">
        <v>60</v>
      </c>
      <c r="O470" s="5">
        <v>5</v>
      </c>
      <c r="P470" s="5">
        <v>912</v>
      </c>
      <c r="Q470" s="5">
        <v>2</v>
      </c>
      <c r="R470" s="5" t="s">
        <v>254</v>
      </c>
      <c r="S470" s="5" t="s">
        <v>292</v>
      </c>
      <c r="T470" s="5" t="s">
        <v>308</v>
      </c>
      <c r="U470" s="5">
        <v>9296075245</v>
      </c>
      <c r="V470" s="8" t="s">
        <v>265</v>
      </c>
      <c r="W470" t="str">
        <f t="shared" si="51"/>
        <v>Blacklisted</v>
      </c>
      <c r="X470" t="str">
        <f t="shared" si="52"/>
        <v>Priya Patel</v>
      </c>
      <c r="Y470" t="str">
        <f t="shared" si="50"/>
        <v>Pri002Mu</v>
      </c>
      <c r="Z470" t="str">
        <f t="shared" si="53"/>
        <v>priya.patel@company.com</v>
      </c>
      <c r="AA470" t="str">
        <f t="shared" ca="1" si="56"/>
        <v/>
      </c>
      <c r="AB470">
        <f t="shared" si="54"/>
        <v>10</v>
      </c>
      <c r="AC470" t="str">
        <f t="shared" si="55"/>
        <v>Delayed</v>
      </c>
    </row>
    <row r="471" spans="1:29">
      <c r="A471" s="34" t="s">
        <v>1145</v>
      </c>
      <c r="B471" s="10" t="s">
        <v>392</v>
      </c>
      <c r="C471" s="10" t="s">
        <v>236</v>
      </c>
      <c r="D471" s="11">
        <v>45699</v>
      </c>
      <c r="E471" s="11">
        <v>45758</v>
      </c>
      <c r="F471" s="10" t="s">
        <v>323</v>
      </c>
      <c r="G471" s="10" t="s">
        <v>269</v>
      </c>
      <c r="H471" s="10" t="s">
        <v>1146</v>
      </c>
      <c r="I471" s="10" t="s">
        <v>291</v>
      </c>
      <c r="J471" s="10" t="s">
        <v>287</v>
      </c>
      <c r="K471" s="10" t="s">
        <v>243</v>
      </c>
      <c r="L471" s="10" t="s">
        <v>244</v>
      </c>
      <c r="M471" s="10">
        <v>18</v>
      </c>
      <c r="N471" s="10">
        <v>55000</v>
      </c>
      <c r="O471" s="10">
        <v>0</v>
      </c>
      <c r="P471" s="10">
        <v>990000</v>
      </c>
      <c r="Q471" s="10">
        <v>5</v>
      </c>
      <c r="R471" s="10" t="s">
        <v>245</v>
      </c>
      <c r="S471" s="10" t="s">
        <v>263</v>
      </c>
      <c r="T471" s="10" t="s">
        <v>395</v>
      </c>
      <c r="U471" s="10">
        <v>9316770206</v>
      </c>
      <c r="V471" s="12" t="s">
        <v>248</v>
      </c>
      <c r="W471" t="str">
        <f t="shared" si="51"/>
        <v/>
      </c>
      <c r="X471" t="str">
        <f t="shared" si="52"/>
        <v>Amit Sharma</v>
      </c>
      <c r="Y471" t="str">
        <f t="shared" si="50"/>
        <v>Ami001Pu</v>
      </c>
      <c r="Z471" t="str">
        <f t="shared" si="53"/>
        <v>amit.sharma@company.com</v>
      </c>
      <c r="AA471" t="str">
        <f t="shared" ca="1" si="56"/>
        <v/>
      </c>
      <c r="AB471" t="str">
        <f t="shared" si="54"/>
        <v/>
      </c>
      <c r="AC471" t="str">
        <f t="shared" si="55"/>
        <v>Delayed</v>
      </c>
    </row>
    <row r="472" spans="1:29">
      <c r="A472" s="33" t="s">
        <v>1147</v>
      </c>
      <c r="B472" s="5" t="s">
        <v>249</v>
      </c>
      <c r="C472" s="5" t="s">
        <v>267</v>
      </c>
      <c r="D472" s="5" t="s">
        <v>71</v>
      </c>
      <c r="E472" s="5" t="s">
        <v>116</v>
      </c>
      <c r="F472" s="5" t="s">
        <v>251</v>
      </c>
      <c r="G472" s="5" t="s">
        <v>239</v>
      </c>
      <c r="H472" s="5" t="s">
        <v>1148</v>
      </c>
      <c r="I472" s="5" t="s">
        <v>241</v>
      </c>
      <c r="J472" s="5" t="s">
        <v>242</v>
      </c>
      <c r="K472" s="5" t="s">
        <v>243</v>
      </c>
      <c r="L472" s="5" t="s">
        <v>271</v>
      </c>
      <c r="M472" s="5">
        <v>17</v>
      </c>
      <c r="N472" s="5">
        <v>1200</v>
      </c>
      <c r="O472" s="5">
        <v>5</v>
      </c>
      <c r="P472" s="5">
        <v>19380</v>
      </c>
      <c r="Q472" s="5">
        <v>1</v>
      </c>
      <c r="R472" s="5" t="s">
        <v>245</v>
      </c>
      <c r="S472" s="5" t="s">
        <v>255</v>
      </c>
      <c r="T472" s="5" t="s">
        <v>264</v>
      </c>
      <c r="U472" s="5">
        <v>9706553861</v>
      </c>
      <c r="V472" s="8" t="s">
        <v>248</v>
      </c>
      <c r="W472" t="str">
        <f t="shared" si="51"/>
        <v>Blacklisted</v>
      </c>
      <c r="X472" t="str">
        <f t="shared" si="52"/>
        <v>Kavya Nair</v>
      </c>
      <c r="Y472" t="str">
        <f t="shared" si="50"/>
        <v>Kav008Be</v>
      </c>
      <c r="Z472" t="str">
        <f t="shared" si="53"/>
        <v>kavya.nair@company.com</v>
      </c>
      <c r="AA472" t="str">
        <f t="shared" ca="1" si="56"/>
        <v/>
      </c>
      <c r="AB472">
        <f t="shared" si="54"/>
        <v>4</v>
      </c>
      <c r="AC472" t="str">
        <f t="shared" si="55"/>
        <v>On time</v>
      </c>
    </row>
    <row r="473" spans="1:29">
      <c r="A473" s="34" t="s">
        <v>1149</v>
      </c>
      <c r="B473" s="10" t="s">
        <v>235</v>
      </c>
      <c r="C473" s="10" t="s">
        <v>236</v>
      </c>
      <c r="D473" s="10" t="s">
        <v>165</v>
      </c>
      <c r="E473" s="11">
        <v>45782</v>
      </c>
      <c r="F473" s="10" t="s">
        <v>318</v>
      </c>
      <c r="G473" s="10" t="s">
        <v>239</v>
      </c>
      <c r="H473" s="11">
        <v>36924</v>
      </c>
      <c r="I473" s="10" t="s">
        <v>291</v>
      </c>
      <c r="J473" s="10" t="s">
        <v>287</v>
      </c>
      <c r="K473" s="10" t="s">
        <v>243</v>
      </c>
      <c r="L473" s="10" t="s">
        <v>244</v>
      </c>
      <c r="M473" s="10">
        <v>11</v>
      </c>
      <c r="N473" s="10">
        <v>55000</v>
      </c>
      <c r="O473" s="10">
        <v>0</v>
      </c>
      <c r="P473" s="10">
        <v>605000</v>
      </c>
      <c r="Q473" s="10">
        <v>2</v>
      </c>
      <c r="R473" s="10" t="s">
        <v>254</v>
      </c>
      <c r="S473" s="10" t="s">
        <v>246</v>
      </c>
      <c r="T473" s="10" t="s">
        <v>247</v>
      </c>
      <c r="U473" s="10">
        <v>9524904662</v>
      </c>
      <c r="V473" s="12" t="s">
        <v>248</v>
      </c>
      <c r="W473" t="str">
        <f t="shared" si="51"/>
        <v>Blacklisted</v>
      </c>
      <c r="X473" t="str">
        <f t="shared" si="52"/>
        <v>Pooja Shah</v>
      </c>
      <c r="Y473" t="str">
        <f t="shared" si="50"/>
        <v>Poo010Pu</v>
      </c>
      <c r="Z473" t="str">
        <f t="shared" si="53"/>
        <v>pooja.shah@company.com</v>
      </c>
      <c r="AA473" t="str">
        <f t="shared" ca="1" si="56"/>
        <v/>
      </c>
      <c r="AB473" t="str">
        <f t="shared" si="54"/>
        <v/>
      </c>
      <c r="AC473" t="str">
        <f t="shared" si="55"/>
        <v>Delayed</v>
      </c>
    </row>
    <row r="474" spans="1:29">
      <c r="A474" s="33" t="s">
        <v>1150</v>
      </c>
      <c r="B474" s="5" t="s">
        <v>358</v>
      </c>
      <c r="C474" s="5" t="s">
        <v>330</v>
      </c>
      <c r="D474" s="5" t="s">
        <v>112</v>
      </c>
      <c r="E474" s="5" t="s">
        <v>204</v>
      </c>
      <c r="F474" s="5" t="s">
        <v>359</v>
      </c>
      <c r="G474" s="5" t="s">
        <v>239</v>
      </c>
      <c r="H474" s="6">
        <v>36405</v>
      </c>
      <c r="I474" s="5" t="s">
        <v>260</v>
      </c>
      <c r="J474" s="5" t="s">
        <v>261</v>
      </c>
      <c r="K474" s="5" t="s">
        <v>243</v>
      </c>
      <c r="L474" s="5" t="s">
        <v>333</v>
      </c>
      <c r="M474" s="5">
        <v>20</v>
      </c>
      <c r="N474" s="5">
        <v>700</v>
      </c>
      <c r="O474" s="5">
        <v>20</v>
      </c>
      <c r="P474" s="5">
        <v>11200</v>
      </c>
      <c r="Q474" s="5">
        <v>5</v>
      </c>
      <c r="R474" s="5" t="s">
        <v>245</v>
      </c>
      <c r="S474" s="5" t="s">
        <v>246</v>
      </c>
      <c r="T474" s="5" t="s">
        <v>360</v>
      </c>
      <c r="U474" s="5">
        <v>9577624596</v>
      </c>
      <c r="V474" s="8" t="s">
        <v>257</v>
      </c>
      <c r="W474" t="str">
        <f t="shared" si="51"/>
        <v>Silver</v>
      </c>
      <c r="X474" t="str">
        <f t="shared" si="52"/>
        <v>Sneha Joshi</v>
      </c>
      <c r="Y474" t="str">
        <f t="shared" si="50"/>
        <v>Sne006De</v>
      </c>
      <c r="Z474" t="str">
        <f t="shared" si="53"/>
        <v>sneha.joshi@company.com</v>
      </c>
      <c r="AA474">
        <f t="shared" ca="1" si="56"/>
        <v>25</v>
      </c>
      <c r="AB474">
        <f t="shared" si="54"/>
        <v>9</v>
      </c>
      <c r="AC474" t="str">
        <f t="shared" si="55"/>
        <v>Delayed</v>
      </c>
    </row>
    <row r="475" spans="1:29">
      <c r="A475" s="34" t="s">
        <v>1151</v>
      </c>
      <c r="B475" s="10" t="s">
        <v>266</v>
      </c>
      <c r="C475" s="10" t="s">
        <v>347</v>
      </c>
      <c r="D475" s="10" t="s">
        <v>174</v>
      </c>
      <c r="E475" s="11">
        <v>46236</v>
      </c>
      <c r="F475" s="10" t="s">
        <v>268</v>
      </c>
      <c r="G475" s="10" t="s">
        <v>269</v>
      </c>
      <c r="H475" s="11">
        <v>32299</v>
      </c>
      <c r="I475" s="10" t="s">
        <v>260</v>
      </c>
      <c r="J475" s="10" t="s">
        <v>261</v>
      </c>
      <c r="K475" s="10" t="s">
        <v>295</v>
      </c>
      <c r="L475" s="10" t="s">
        <v>349</v>
      </c>
      <c r="M475" s="10">
        <v>5</v>
      </c>
      <c r="N475" s="10">
        <v>20</v>
      </c>
      <c r="O475" s="10">
        <v>5</v>
      </c>
      <c r="P475" s="10">
        <v>95</v>
      </c>
      <c r="Q475" s="10">
        <v>4</v>
      </c>
      <c r="R475" s="10" t="s">
        <v>254</v>
      </c>
      <c r="S475" s="10" t="s">
        <v>263</v>
      </c>
      <c r="T475" s="10" t="s">
        <v>273</v>
      </c>
      <c r="U475" s="10">
        <v>9898452436</v>
      </c>
      <c r="V475" s="12" t="s">
        <v>265</v>
      </c>
      <c r="W475" t="str">
        <f t="shared" si="51"/>
        <v>Blacklisted</v>
      </c>
      <c r="X475" t="str">
        <f t="shared" si="52"/>
        <v>Mohit Verma</v>
      </c>
      <c r="Y475" t="str">
        <f t="shared" si="50"/>
        <v>Moh009De</v>
      </c>
      <c r="Z475" t="str">
        <f t="shared" si="53"/>
        <v>mohit.verma@company.com</v>
      </c>
      <c r="AA475">
        <f t="shared" ca="1" si="56"/>
        <v>27</v>
      </c>
      <c r="AB475" t="str">
        <f t="shared" si="54"/>
        <v/>
      </c>
      <c r="AC475" t="str">
        <f t="shared" si="55"/>
        <v>Delayed</v>
      </c>
    </row>
    <row r="476" spans="1:29">
      <c r="A476" s="33" t="s">
        <v>1152</v>
      </c>
      <c r="B476" s="5" t="s">
        <v>392</v>
      </c>
      <c r="C476" s="5" t="s">
        <v>236</v>
      </c>
      <c r="D476" s="6">
        <v>45749</v>
      </c>
      <c r="E476" s="6">
        <v>45963</v>
      </c>
      <c r="F476" s="5" t="s">
        <v>323</v>
      </c>
      <c r="G476" s="5" t="s">
        <v>269</v>
      </c>
      <c r="H476" s="6">
        <v>27730</v>
      </c>
      <c r="I476" s="5" t="s">
        <v>286</v>
      </c>
      <c r="J476" s="5" t="s">
        <v>287</v>
      </c>
      <c r="K476" s="5" t="s">
        <v>243</v>
      </c>
      <c r="L476" s="5" t="s">
        <v>244</v>
      </c>
      <c r="M476" s="5">
        <v>13</v>
      </c>
      <c r="N476" s="5">
        <v>55000</v>
      </c>
      <c r="O476" s="5">
        <v>5</v>
      </c>
      <c r="P476" s="5">
        <v>679250</v>
      </c>
      <c r="Q476" s="5">
        <v>1</v>
      </c>
      <c r="R476" s="5" t="s">
        <v>245</v>
      </c>
      <c r="S476" s="5" t="s">
        <v>263</v>
      </c>
      <c r="T476" s="5" t="s">
        <v>395</v>
      </c>
      <c r="U476" s="5">
        <v>9960757012</v>
      </c>
      <c r="V476" s="8" t="s">
        <v>248</v>
      </c>
      <c r="W476" t="str">
        <f t="shared" si="51"/>
        <v>Blacklisted</v>
      </c>
      <c r="X476" t="str">
        <f t="shared" si="52"/>
        <v>Amit Sharma</v>
      </c>
      <c r="Y476" t="str">
        <f t="shared" si="50"/>
        <v>Ami001Mu</v>
      </c>
      <c r="Z476" t="str">
        <f t="shared" si="53"/>
        <v>amit.sharma@company.com</v>
      </c>
      <c r="AA476">
        <f t="shared" ca="1" si="56"/>
        <v>38</v>
      </c>
      <c r="AB476" t="str">
        <f t="shared" si="54"/>
        <v/>
      </c>
      <c r="AC476" t="str">
        <f t="shared" si="55"/>
        <v>Delayed</v>
      </c>
    </row>
    <row r="477" spans="1:29">
      <c r="A477" s="34" t="s">
        <v>1153</v>
      </c>
      <c r="B477" s="10" t="s">
        <v>299</v>
      </c>
      <c r="C477" s="10" t="s">
        <v>236</v>
      </c>
      <c r="D477" s="10" t="s">
        <v>77</v>
      </c>
      <c r="E477" s="10" t="s">
        <v>89</v>
      </c>
      <c r="F477" s="10" t="s">
        <v>301</v>
      </c>
      <c r="G477" s="10" t="s">
        <v>269</v>
      </c>
      <c r="H477" s="11">
        <v>37987</v>
      </c>
      <c r="I477" s="10" t="s">
        <v>379</v>
      </c>
      <c r="J477" s="10" t="s">
        <v>21</v>
      </c>
      <c r="K477" s="10" t="s">
        <v>243</v>
      </c>
      <c r="L477" s="10" t="s">
        <v>244</v>
      </c>
      <c r="M477" s="10">
        <v>12</v>
      </c>
      <c r="N477" s="10">
        <v>55000</v>
      </c>
      <c r="O477" s="10">
        <v>5</v>
      </c>
      <c r="P477" s="10">
        <v>627000</v>
      </c>
      <c r="Q477" s="10">
        <v>1</v>
      </c>
      <c r="R477" s="10" t="s">
        <v>245</v>
      </c>
      <c r="S477" s="10" t="s">
        <v>292</v>
      </c>
      <c r="T477" s="10" t="s">
        <v>302</v>
      </c>
      <c r="U477" s="10">
        <v>9331268182</v>
      </c>
      <c r="V477" s="12" t="s">
        <v>265</v>
      </c>
      <c r="W477" t="str">
        <f t="shared" si="51"/>
        <v>Blacklisted</v>
      </c>
      <c r="X477" t="str">
        <f t="shared" si="52"/>
        <v>Rohit Singh</v>
      </c>
      <c r="Y477" t="str">
        <f t="shared" si="50"/>
        <v>Roh003Ko</v>
      </c>
      <c r="Z477" t="str">
        <f t="shared" si="53"/>
        <v>rohit.singh@company.com</v>
      </c>
      <c r="AA477">
        <f t="shared" ca="1" si="56"/>
        <v>50</v>
      </c>
      <c r="AB477">
        <f t="shared" si="54"/>
        <v>1</v>
      </c>
      <c r="AC477" t="str">
        <f t="shared" si="55"/>
        <v>On time</v>
      </c>
    </row>
    <row r="478" spans="1:29">
      <c r="A478" s="33" t="s">
        <v>1154</v>
      </c>
      <c r="B478" s="5" t="s">
        <v>235</v>
      </c>
      <c r="C478" s="5" t="s">
        <v>362</v>
      </c>
      <c r="D478" s="5" t="s">
        <v>96</v>
      </c>
      <c r="E478" s="5" t="s">
        <v>173</v>
      </c>
      <c r="F478" s="5" t="s">
        <v>318</v>
      </c>
      <c r="G478" s="5" t="s">
        <v>239</v>
      </c>
      <c r="H478" s="5" t="s">
        <v>1155</v>
      </c>
      <c r="I478" s="5" t="s">
        <v>286</v>
      </c>
      <c r="J478" s="5" t="s">
        <v>287</v>
      </c>
      <c r="K478" s="5" t="s">
        <v>295</v>
      </c>
      <c r="L478" s="5" t="s">
        <v>363</v>
      </c>
      <c r="M478" s="5">
        <v>16</v>
      </c>
      <c r="N478" s="5">
        <v>45</v>
      </c>
      <c r="O478" s="5">
        <v>20</v>
      </c>
      <c r="P478" s="5">
        <v>576</v>
      </c>
      <c r="Q478" s="5">
        <v>2</v>
      </c>
      <c r="R478" s="5" t="s">
        <v>254</v>
      </c>
      <c r="S478" s="5" t="s">
        <v>263</v>
      </c>
      <c r="T478" s="5" t="s">
        <v>247</v>
      </c>
      <c r="U478" s="5">
        <v>9135996862</v>
      </c>
      <c r="V478" s="8" t="s">
        <v>248</v>
      </c>
      <c r="W478" t="str">
        <f t="shared" si="51"/>
        <v>Blacklisted</v>
      </c>
      <c r="X478" t="str">
        <f t="shared" si="52"/>
        <v>Pooja Shah</v>
      </c>
      <c r="Y478" t="str">
        <f t="shared" si="50"/>
        <v>Poo010Mu</v>
      </c>
      <c r="Z478" t="str">
        <f t="shared" si="53"/>
        <v>pooja.shah@company.com</v>
      </c>
      <c r="AA478">
        <f t="shared" ca="1" si="56"/>
        <v>22</v>
      </c>
      <c r="AB478">
        <f t="shared" si="54"/>
        <v>7</v>
      </c>
      <c r="AC478" t="str">
        <f t="shared" si="55"/>
        <v>Delayed</v>
      </c>
    </row>
    <row r="479" spans="1:29">
      <c r="A479" s="34" t="s">
        <v>1156</v>
      </c>
      <c r="B479" s="10" t="s">
        <v>249</v>
      </c>
      <c r="C479" s="10" t="s">
        <v>267</v>
      </c>
      <c r="D479" s="10" t="s">
        <v>70</v>
      </c>
      <c r="E479" s="10" t="s">
        <v>170</v>
      </c>
      <c r="F479" s="10" t="s">
        <v>251</v>
      </c>
      <c r="G479" s="10" t="s">
        <v>239</v>
      </c>
      <c r="H479" s="10" t="s">
        <v>1157</v>
      </c>
      <c r="I479" s="10" t="s">
        <v>241</v>
      </c>
      <c r="J479" s="10" t="s">
        <v>242</v>
      </c>
      <c r="K479" s="10" t="s">
        <v>243</v>
      </c>
      <c r="L479" s="10" t="s">
        <v>271</v>
      </c>
      <c r="M479" s="10">
        <v>5</v>
      </c>
      <c r="N479" s="10">
        <v>1200</v>
      </c>
      <c r="O479" s="10">
        <v>10</v>
      </c>
      <c r="P479" s="10">
        <v>5400</v>
      </c>
      <c r="Q479" s="10">
        <v>1</v>
      </c>
      <c r="R479" s="10" t="s">
        <v>254</v>
      </c>
      <c r="S479" s="10"/>
      <c r="T479" s="13" t="s">
        <v>1158</v>
      </c>
      <c r="U479" s="10">
        <v>9540813143</v>
      </c>
      <c r="V479" s="12" t="s">
        <v>257</v>
      </c>
      <c r="W479" t="str">
        <f t="shared" si="51"/>
        <v>Blacklisted</v>
      </c>
      <c r="X479" t="str">
        <f t="shared" si="52"/>
        <v>Kavya Nair</v>
      </c>
      <c r="Y479" t="str">
        <f t="shared" si="50"/>
        <v>Kav008Be</v>
      </c>
      <c r="Z479" t="str">
        <f t="shared" si="53"/>
        <v>kavya.nair@company.com</v>
      </c>
      <c r="AA479" t="str">
        <f t="shared" ca="1" si="56"/>
        <v/>
      </c>
      <c r="AB479">
        <f t="shared" si="54"/>
        <v>9</v>
      </c>
      <c r="AC479" t="str">
        <f t="shared" si="55"/>
        <v>Delayed</v>
      </c>
    </row>
    <row r="480" spans="1:29">
      <c r="A480" s="33" t="s">
        <v>1159</v>
      </c>
      <c r="B480" s="5" t="s">
        <v>321</v>
      </c>
      <c r="C480" s="5" t="s">
        <v>362</v>
      </c>
      <c r="D480" s="5" t="s">
        <v>84</v>
      </c>
      <c r="E480" s="5" t="s">
        <v>95</v>
      </c>
      <c r="F480" s="5" t="s">
        <v>408</v>
      </c>
      <c r="G480" s="5" t="s">
        <v>239</v>
      </c>
      <c r="H480" s="5" t="s">
        <v>1160</v>
      </c>
      <c r="I480" s="5" t="s">
        <v>379</v>
      </c>
      <c r="J480" s="5" t="s">
        <v>21</v>
      </c>
      <c r="K480" s="5" t="s">
        <v>295</v>
      </c>
      <c r="L480" s="5" t="s">
        <v>363</v>
      </c>
      <c r="M480" s="5">
        <v>2</v>
      </c>
      <c r="N480" s="5">
        <v>45</v>
      </c>
      <c r="O480" s="5">
        <v>10</v>
      </c>
      <c r="P480" s="5">
        <v>81</v>
      </c>
      <c r="Q480" s="5">
        <v>4</v>
      </c>
      <c r="R480" s="5" t="s">
        <v>277</v>
      </c>
      <c r="S480" s="5" t="s">
        <v>263</v>
      </c>
      <c r="T480" s="5" t="s">
        <v>326</v>
      </c>
      <c r="U480" s="5">
        <v>9910913552</v>
      </c>
      <c r="V480" s="8" t="s">
        <v>248</v>
      </c>
      <c r="W480" t="str">
        <f t="shared" si="51"/>
        <v/>
      </c>
      <c r="X480" t="str">
        <f t="shared" si="52"/>
        <v>Anita Gupta</v>
      </c>
      <c r="Y480" t="str">
        <f t="shared" si="50"/>
        <v>Ani004Ko</v>
      </c>
      <c r="Z480" t="str">
        <f t="shared" si="53"/>
        <v>anita.gupta@company.com</v>
      </c>
      <c r="AA480" t="str">
        <f t="shared" ca="1" si="56"/>
        <v/>
      </c>
      <c r="AB480">
        <f t="shared" si="54"/>
        <v>1</v>
      </c>
      <c r="AC480" t="str">
        <f t="shared" si="55"/>
        <v>On time</v>
      </c>
    </row>
    <row r="481" spans="1:29">
      <c r="A481" s="34" t="s">
        <v>1161</v>
      </c>
      <c r="B481" s="10" t="s">
        <v>299</v>
      </c>
      <c r="C481" s="10" t="s">
        <v>258</v>
      </c>
      <c r="D481" s="11">
        <v>46357</v>
      </c>
      <c r="E481" s="10" t="s">
        <v>63</v>
      </c>
      <c r="F481" s="10" t="s">
        <v>301</v>
      </c>
      <c r="G481" s="10" t="s">
        <v>269</v>
      </c>
      <c r="H481" s="11">
        <v>31201</v>
      </c>
      <c r="I481" s="10" t="s">
        <v>306</v>
      </c>
      <c r="J481" s="10" t="s">
        <v>287</v>
      </c>
      <c r="K481" s="10" t="s">
        <v>243</v>
      </c>
      <c r="L481" s="10" t="s">
        <v>262</v>
      </c>
      <c r="M481" s="10">
        <v>3</v>
      </c>
      <c r="N481" s="10">
        <v>12000</v>
      </c>
      <c r="O481" s="10">
        <v>0</v>
      </c>
      <c r="P481" s="10">
        <v>36000</v>
      </c>
      <c r="Q481" s="10">
        <v>2</v>
      </c>
      <c r="R481" s="10" t="s">
        <v>277</v>
      </c>
      <c r="S481" s="10" t="s">
        <v>312</v>
      </c>
      <c r="T481" s="10" t="s">
        <v>302</v>
      </c>
      <c r="U481" s="10">
        <v>9282751683</v>
      </c>
      <c r="V481" s="12" t="s">
        <v>248</v>
      </c>
      <c r="W481" t="str">
        <f t="shared" si="51"/>
        <v>Blacklisted</v>
      </c>
      <c r="X481" t="str">
        <f t="shared" si="52"/>
        <v>Rohit Singh</v>
      </c>
      <c r="Y481" t="str">
        <f t="shared" si="50"/>
        <v>Roh003Ah</v>
      </c>
      <c r="Z481" t="str">
        <f t="shared" si="53"/>
        <v>rohit.singh@company.com</v>
      </c>
      <c r="AA481" t="str">
        <f t="shared" ca="1" si="56"/>
        <v/>
      </c>
      <c r="AB481" t="str">
        <f t="shared" si="54"/>
        <v/>
      </c>
      <c r="AC481" t="str">
        <f t="shared" si="55"/>
        <v>Delayed</v>
      </c>
    </row>
    <row r="482" spans="1:29">
      <c r="A482" s="33" t="s">
        <v>1162</v>
      </c>
      <c r="B482" s="5" t="s">
        <v>249</v>
      </c>
      <c r="C482" s="5" t="s">
        <v>258</v>
      </c>
      <c r="D482" s="5" t="s">
        <v>148</v>
      </c>
      <c r="E482" s="6">
        <v>45659</v>
      </c>
      <c r="F482" s="5" t="s">
        <v>251</v>
      </c>
      <c r="G482" s="5" t="s">
        <v>239</v>
      </c>
      <c r="H482" s="6">
        <v>31572</v>
      </c>
      <c r="I482" s="5" t="s">
        <v>241</v>
      </c>
      <c r="J482" s="5" t="s">
        <v>242</v>
      </c>
      <c r="K482" s="5" t="s">
        <v>243</v>
      </c>
      <c r="L482" s="5" t="s">
        <v>262</v>
      </c>
      <c r="M482" s="5">
        <v>3</v>
      </c>
      <c r="N482" s="5">
        <v>12000</v>
      </c>
      <c r="O482" s="5">
        <v>20</v>
      </c>
      <c r="P482" s="5">
        <v>28800</v>
      </c>
      <c r="Q482" s="5">
        <v>3</v>
      </c>
      <c r="R482" s="5" t="s">
        <v>277</v>
      </c>
      <c r="S482" s="5" t="s">
        <v>292</v>
      </c>
      <c r="T482" s="5" t="s">
        <v>264</v>
      </c>
      <c r="U482" s="5">
        <v>9939332058</v>
      </c>
      <c r="V482" s="8" t="s">
        <v>257</v>
      </c>
      <c r="W482" t="str">
        <f t="shared" si="51"/>
        <v>Silver</v>
      </c>
      <c r="X482" t="str">
        <f t="shared" si="52"/>
        <v>Kavya Nair</v>
      </c>
      <c r="Y482" t="str">
        <f t="shared" si="50"/>
        <v>Kav008Be</v>
      </c>
      <c r="Z482" t="str">
        <f t="shared" si="53"/>
        <v>kavya.nair@company.com</v>
      </c>
      <c r="AA482">
        <f t="shared" ca="1" si="56"/>
        <v>41</v>
      </c>
      <c r="AB482" t="str">
        <f t="shared" si="54"/>
        <v/>
      </c>
      <c r="AC482" t="str">
        <f t="shared" si="55"/>
        <v>Delayed</v>
      </c>
    </row>
    <row r="483" spans="1:29">
      <c r="A483" s="34" t="s">
        <v>1163</v>
      </c>
      <c r="B483" s="10" t="s">
        <v>299</v>
      </c>
      <c r="C483" s="10" t="s">
        <v>322</v>
      </c>
      <c r="D483" s="11">
        <v>46207</v>
      </c>
      <c r="E483" s="11">
        <v>46238</v>
      </c>
      <c r="F483" s="10" t="s">
        <v>301</v>
      </c>
      <c r="G483" s="10" t="s">
        <v>269</v>
      </c>
      <c r="H483" s="10" t="s">
        <v>1164</v>
      </c>
      <c r="I483" s="10" t="s">
        <v>379</v>
      </c>
      <c r="J483" s="10" t="s">
        <v>21</v>
      </c>
      <c r="K483" s="10" t="s">
        <v>15</v>
      </c>
      <c r="L483" s="10" t="s">
        <v>325</v>
      </c>
      <c r="M483" s="10">
        <v>9</v>
      </c>
      <c r="N483" s="10">
        <v>8500</v>
      </c>
      <c r="O483" s="10">
        <v>15</v>
      </c>
      <c r="P483" s="10">
        <v>65025</v>
      </c>
      <c r="Q483" s="10">
        <v>5</v>
      </c>
      <c r="R483" s="10" t="s">
        <v>254</v>
      </c>
      <c r="S483" s="10" t="s">
        <v>263</v>
      </c>
      <c r="T483" s="10" t="s">
        <v>302</v>
      </c>
      <c r="U483" s="10">
        <v>9780626473</v>
      </c>
      <c r="V483" s="12" t="s">
        <v>248</v>
      </c>
      <c r="W483" t="str">
        <f t="shared" si="51"/>
        <v/>
      </c>
      <c r="X483" t="str">
        <f t="shared" si="52"/>
        <v>Rohit Singh</v>
      </c>
      <c r="Y483" t="str">
        <f t="shared" si="50"/>
        <v>Roh003Ko</v>
      </c>
      <c r="Z483" t="str">
        <f t="shared" si="53"/>
        <v>rohit.singh@company.com</v>
      </c>
      <c r="AA483">
        <f t="shared" ca="1" si="56"/>
        <v>40</v>
      </c>
      <c r="AB483" t="str">
        <f t="shared" si="54"/>
        <v/>
      </c>
      <c r="AC483" t="str">
        <f t="shared" si="55"/>
        <v>Delayed</v>
      </c>
    </row>
    <row r="484" spans="1:29">
      <c r="A484" s="33" t="s">
        <v>1165</v>
      </c>
      <c r="B484" s="5" t="s">
        <v>266</v>
      </c>
      <c r="C484" s="5" t="s">
        <v>330</v>
      </c>
      <c r="D484" s="5" t="s">
        <v>156</v>
      </c>
      <c r="E484" s="6">
        <v>45815</v>
      </c>
      <c r="F484" s="5" t="s">
        <v>1166</v>
      </c>
      <c r="G484" s="5" t="s">
        <v>269</v>
      </c>
      <c r="H484" s="5" t="s">
        <v>1167</v>
      </c>
      <c r="I484" s="5" t="s">
        <v>379</v>
      </c>
      <c r="J484" s="5" t="s">
        <v>21</v>
      </c>
      <c r="K484" s="5" t="s">
        <v>243</v>
      </c>
      <c r="L484" s="5" t="s">
        <v>333</v>
      </c>
      <c r="M484" s="5">
        <v>17</v>
      </c>
      <c r="N484" s="5">
        <v>700</v>
      </c>
      <c r="O484" s="5">
        <v>0</v>
      </c>
      <c r="P484" s="5">
        <v>11900</v>
      </c>
      <c r="Q484" s="5">
        <v>2</v>
      </c>
      <c r="R484" s="5" t="s">
        <v>254</v>
      </c>
      <c r="S484" s="5" t="s">
        <v>246</v>
      </c>
      <c r="T484" s="5" t="s">
        <v>273</v>
      </c>
      <c r="U484" s="5">
        <v>9347298020</v>
      </c>
      <c r="V484" s="8" t="s">
        <v>265</v>
      </c>
      <c r="W484" t="str">
        <f t="shared" si="51"/>
        <v>Blacklisted</v>
      </c>
      <c r="X484" t="str">
        <f t="shared" si="52"/>
        <v>Mohit Verma</v>
      </c>
      <c r="Y484" t="str">
        <f t="shared" si="50"/>
        <v>Moh009Ko</v>
      </c>
      <c r="Z484" t="str">
        <f t="shared" si="53"/>
        <v>mohit.verma@company.com</v>
      </c>
      <c r="AA484" t="str">
        <f t="shared" ca="1" si="56"/>
        <v/>
      </c>
      <c r="AB484" t="str">
        <f t="shared" si="54"/>
        <v/>
      </c>
      <c r="AC484" t="str">
        <f t="shared" si="55"/>
        <v>Delayed</v>
      </c>
    </row>
    <row r="485" spans="1:29">
      <c r="A485" s="34" t="s">
        <v>1168</v>
      </c>
      <c r="B485" s="10" t="s">
        <v>249</v>
      </c>
      <c r="C485" s="10" t="s">
        <v>330</v>
      </c>
      <c r="D485" s="11">
        <v>45876</v>
      </c>
      <c r="E485" s="10" t="s">
        <v>69</v>
      </c>
      <c r="F485" s="10" t="s">
        <v>251</v>
      </c>
      <c r="G485" s="10" t="s">
        <v>239</v>
      </c>
      <c r="H485" s="11">
        <v>33304</v>
      </c>
      <c r="I485" s="10" t="s">
        <v>252</v>
      </c>
      <c r="J485" s="10" t="s">
        <v>242</v>
      </c>
      <c r="K485" s="10" t="s">
        <v>243</v>
      </c>
      <c r="L485" s="10" t="s">
        <v>333</v>
      </c>
      <c r="M485" s="10">
        <v>20</v>
      </c>
      <c r="N485" s="10">
        <v>700</v>
      </c>
      <c r="O485" s="10">
        <v>5</v>
      </c>
      <c r="P485" s="10">
        <v>13300</v>
      </c>
      <c r="Q485" s="10">
        <v>2</v>
      </c>
      <c r="R485" s="10" t="s">
        <v>277</v>
      </c>
      <c r="S485" s="10" t="s">
        <v>255</v>
      </c>
      <c r="T485" s="10" t="s">
        <v>264</v>
      </c>
      <c r="U485" s="10">
        <v>9345328522</v>
      </c>
      <c r="V485" s="12" t="s">
        <v>257</v>
      </c>
      <c r="W485" t="str">
        <f t="shared" si="51"/>
        <v>Blacklisted</v>
      </c>
      <c r="X485" t="str">
        <f t="shared" si="52"/>
        <v>Kavya Nair</v>
      </c>
      <c r="Y485" t="str">
        <f t="shared" si="50"/>
        <v>Kav008Hy</v>
      </c>
      <c r="Z485" t="str">
        <f t="shared" si="53"/>
        <v>kavya.nair@company.com</v>
      </c>
      <c r="AA485" t="str">
        <f t="shared" ca="1" si="56"/>
        <v/>
      </c>
      <c r="AB485" t="str">
        <f t="shared" si="54"/>
        <v/>
      </c>
      <c r="AC485" t="str">
        <f t="shared" si="55"/>
        <v>Delayed</v>
      </c>
    </row>
    <row r="486" spans="1:29">
      <c r="A486" s="33" t="s">
        <v>1169</v>
      </c>
      <c r="B486" s="5" t="s">
        <v>392</v>
      </c>
      <c r="C486" s="5" t="s">
        <v>267</v>
      </c>
      <c r="D486" s="6">
        <v>46329</v>
      </c>
      <c r="E486" s="5" t="s">
        <v>100</v>
      </c>
      <c r="F486" s="5" t="s">
        <v>323</v>
      </c>
      <c r="G486" s="5" t="s">
        <v>269</v>
      </c>
      <c r="H486" s="6">
        <v>28612</v>
      </c>
      <c r="I486" s="5" t="s">
        <v>306</v>
      </c>
      <c r="J486" s="5" t="s">
        <v>287</v>
      </c>
      <c r="K486" s="5" t="s">
        <v>243</v>
      </c>
      <c r="L486" s="5" t="s">
        <v>271</v>
      </c>
      <c r="M486" s="5">
        <v>13</v>
      </c>
      <c r="N486" s="5">
        <v>1200</v>
      </c>
      <c r="O486" s="5">
        <v>20</v>
      </c>
      <c r="P486" s="5">
        <v>12480</v>
      </c>
      <c r="Q486" s="5">
        <v>5</v>
      </c>
      <c r="R486" s="5" t="s">
        <v>272</v>
      </c>
      <c r="S486" s="5" t="s">
        <v>292</v>
      </c>
      <c r="T486" s="5" t="s">
        <v>395</v>
      </c>
      <c r="U486" s="5">
        <v>9160310438</v>
      </c>
      <c r="V486" s="8" t="s">
        <v>257</v>
      </c>
      <c r="W486" t="str">
        <f t="shared" si="51"/>
        <v>Silver</v>
      </c>
      <c r="X486" t="str">
        <f t="shared" si="52"/>
        <v>Amit Sharma</v>
      </c>
      <c r="Y486" t="str">
        <f t="shared" si="50"/>
        <v>Ami001Ah</v>
      </c>
      <c r="Z486" t="str">
        <f t="shared" si="53"/>
        <v>amit.sharma@company.com</v>
      </c>
      <c r="AA486">
        <f t="shared" ca="1" si="56"/>
        <v>35</v>
      </c>
      <c r="AB486" t="str">
        <f t="shared" si="54"/>
        <v/>
      </c>
      <c r="AC486" t="str">
        <f t="shared" si="55"/>
        <v>Delayed</v>
      </c>
    </row>
    <row r="487" spans="1:29">
      <c r="A487" s="34" t="s">
        <v>1170</v>
      </c>
      <c r="B487" s="10" t="s">
        <v>284</v>
      </c>
      <c r="C487" s="10" t="s">
        <v>236</v>
      </c>
      <c r="D487" s="10" t="s">
        <v>121</v>
      </c>
      <c r="E487" s="10" t="s">
        <v>185</v>
      </c>
      <c r="F487" s="10" t="s">
        <v>285</v>
      </c>
      <c r="G487" s="10" t="s">
        <v>239</v>
      </c>
      <c r="H487" s="10" t="s">
        <v>717</v>
      </c>
      <c r="I487" s="10" t="s">
        <v>342</v>
      </c>
      <c r="J487" s="10" t="s">
        <v>261</v>
      </c>
      <c r="K487" s="10" t="s">
        <v>243</v>
      </c>
      <c r="L487" s="10" t="s">
        <v>244</v>
      </c>
      <c r="M487" s="10">
        <v>20</v>
      </c>
      <c r="N487" s="10">
        <v>55000</v>
      </c>
      <c r="O487" s="10">
        <v>10</v>
      </c>
      <c r="P487" s="10">
        <v>990000</v>
      </c>
      <c r="Q487" s="10">
        <v>1</v>
      </c>
      <c r="R487" s="10" t="s">
        <v>277</v>
      </c>
      <c r="S487" s="10" t="s">
        <v>255</v>
      </c>
      <c r="T487" s="10" t="s">
        <v>308</v>
      </c>
      <c r="U487" s="10">
        <v>9343776153</v>
      </c>
      <c r="V487" s="12" t="s">
        <v>248</v>
      </c>
      <c r="W487" t="str">
        <f t="shared" si="51"/>
        <v>Blacklisted</v>
      </c>
      <c r="X487" t="str">
        <f t="shared" si="52"/>
        <v>Priya Patel</v>
      </c>
      <c r="Y487" t="str">
        <f t="shared" si="50"/>
        <v>Pri002Ja</v>
      </c>
      <c r="Z487" t="str">
        <f t="shared" si="53"/>
        <v>priya.patel@company.com</v>
      </c>
      <c r="AA487">
        <f t="shared" ca="1" si="56"/>
        <v>48</v>
      </c>
      <c r="AB487">
        <f t="shared" si="54"/>
        <v>6</v>
      </c>
      <c r="AC487" t="str">
        <f t="shared" si="55"/>
        <v>Delayed</v>
      </c>
    </row>
    <row r="488" spans="1:29">
      <c r="A488" s="33" t="s">
        <v>1171</v>
      </c>
      <c r="B488" s="5" t="s">
        <v>358</v>
      </c>
      <c r="C488" s="5" t="s">
        <v>267</v>
      </c>
      <c r="D488" s="5" t="s">
        <v>205</v>
      </c>
      <c r="E488" s="6">
        <v>45788</v>
      </c>
      <c r="F488" s="5" t="s">
        <v>359</v>
      </c>
      <c r="G488" s="5" t="s">
        <v>239</v>
      </c>
      <c r="H488" s="6">
        <v>32206</v>
      </c>
      <c r="I488" s="5" t="s">
        <v>379</v>
      </c>
      <c r="J488" s="5" t="s">
        <v>21</v>
      </c>
      <c r="K488" s="5" t="s">
        <v>243</v>
      </c>
      <c r="L488" s="5" t="s">
        <v>271</v>
      </c>
      <c r="M488" s="5">
        <v>8</v>
      </c>
      <c r="N488" s="5">
        <v>1200</v>
      </c>
      <c r="O488" s="5">
        <v>0</v>
      </c>
      <c r="P488" s="5">
        <v>9600</v>
      </c>
      <c r="Q488" s="5">
        <v>2</v>
      </c>
      <c r="R488" s="5" t="s">
        <v>245</v>
      </c>
      <c r="S488" s="5" t="s">
        <v>312</v>
      </c>
      <c r="T488" s="5" t="s">
        <v>360</v>
      </c>
      <c r="U488" s="5">
        <v>9458599727</v>
      </c>
      <c r="V488" s="8" t="s">
        <v>257</v>
      </c>
      <c r="W488" t="str">
        <f t="shared" si="51"/>
        <v>Blacklisted</v>
      </c>
      <c r="X488" t="str">
        <f t="shared" si="52"/>
        <v>Sneha Joshi</v>
      </c>
      <c r="Y488" t="str">
        <f t="shared" si="50"/>
        <v>Sne006Ko</v>
      </c>
      <c r="Z488" t="str">
        <f t="shared" si="53"/>
        <v>sneha.joshi@company.com</v>
      </c>
      <c r="AA488" t="str">
        <f t="shared" ca="1" si="56"/>
        <v/>
      </c>
      <c r="AB488" t="str">
        <f t="shared" si="54"/>
        <v/>
      </c>
      <c r="AC488" t="str">
        <f t="shared" si="55"/>
        <v>Delayed</v>
      </c>
    </row>
    <row r="489" spans="1:29">
      <c r="A489" s="34" t="s">
        <v>1172</v>
      </c>
      <c r="B489" s="10" t="s">
        <v>235</v>
      </c>
      <c r="C489" s="10" t="s">
        <v>347</v>
      </c>
      <c r="D489" s="11">
        <v>46147</v>
      </c>
      <c r="E489" s="11">
        <v>46270</v>
      </c>
      <c r="F489" s="10" t="s">
        <v>318</v>
      </c>
      <c r="G489" s="10" t="s">
        <v>239</v>
      </c>
      <c r="H489" s="11">
        <v>28805</v>
      </c>
      <c r="I489" s="10" t="s">
        <v>379</v>
      </c>
      <c r="J489" s="10" t="s">
        <v>21</v>
      </c>
      <c r="K489" s="10" t="s">
        <v>295</v>
      </c>
      <c r="L489" s="10" t="s">
        <v>349</v>
      </c>
      <c r="M489" s="10">
        <v>18</v>
      </c>
      <c r="N489" s="10">
        <v>20</v>
      </c>
      <c r="O489" s="10">
        <v>10</v>
      </c>
      <c r="P489" s="10">
        <v>324</v>
      </c>
      <c r="Q489" s="10">
        <v>5</v>
      </c>
      <c r="R489" s="10" t="s">
        <v>272</v>
      </c>
      <c r="S489" s="10"/>
      <c r="T489" s="13" t="s">
        <v>1173</v>
      </c>
      <c r="U489" s="10">
        <v>9218660140</v>
      </c>
      <c r="V489" s="12" t="s">
        <v>248</v>
      </c>
      <c r="W489" t="str">
        <f t="shared" si="51"/>
        <v/>
      </c>
      <c r="X489" t="str">
        <f t="shared" si="52"/>
        <v>Pooja Shah</v>
      </c>
      <c r="Y489" t="str">
        <f t="shared" si="50"/>
        <v>Poo010Ko</v>
      </c>
      <c r="Z489" t="str">
        <f t="shared" si="53"/>
        <v>pooja.shah@company.com</v>
      </c>
      <c r="AA489">
        <f t="shared" ca="1" si="56"/>
        <v>38</v>
      </c>
      <c r="AB489" t="str">
        <f t="shared" si="54"/>
        <v/>
      </c>
      <c r="AC489" t="str">
        <f t="shared" si="55"/>
        <v>Delayed</v>
      </c>
    </row>
    <row r="490" spans="1:29">
      <c r="A490" s="33" t="s">
        <v>1174</v>
      </c>
      <c r="B490" s="5" t="s">
        <v>321</v>
      </c>
      <c r="C490" s="5" t="s">
        <v>258</v>
      </c>
      <c r="D490" s="5" t="s">
        <v>119</v>
      </c>
      <c r="E490" s="6">
        <v>45841</v>
      </c>
      <c r="F490" s="5" t="s">
        <v>408</v>
      </c>
      <c r="G490" s="5" t="s">
        <v>239</v>
      </c>
      <c r="H490" s="6">
        <v>34369</v>
      </c>
      <c r="I490" s="5" t="s">
        <v>291</v>
      </c>
      <c r="J490" s="5" t="s">
        <v>287</v>
      </c>
      <c r="K490" s="5" t="s">
        <v>243</v>
      </c>
      <c r="L490" s="5" t="s">
        <v>262</v>
      </c>
      <c r="M490" s="5">
        <v>11</v>
      </c>
      <c r="N490" s="5">
        <v>12000</v>
      </c>
      <c r="O490" s="5">
        <v>10</v>
      </c>
      <c r="P490" s="5">
        <v>118800</v>
      </c>
      <c r="Q490" s="5">
        <v>1</v>
      </c>
      <c r="R490" s="5" t="s">
        <v>272</v>
      </c>
      <c r="S490" s="5" t="s">
        <v>263</v>
      </c>
      <c r="T490" s="5" t="s">
        <v>326</v>
      </c>
      <c r="U490" s="5">
        <v>9341979199</v>
      </c>
      <c r="V490" s="8" t="s">
        <v>265</v>
      </c>
      <c r="W490" t="str">
        <f t="shared" si="51"/>
        <v>Blacklisted</v>
      </c>
      <c r="X490" t="str">
        <f t="shared" si="52"/>
        <v>Anita Gupta</v>
      </c>
      <c r="Y490" t="str">
        <f t="shared" si="50"/>
        <v>Ani004Pu</v>
      </c>
      <c r="Z490" t="str">
        <f t="shared" si="53"/>
        <v>anita.gupta@company.com</v>
      </c>
      <c r="AA490">
        <f t="shared" ca="1" si="56"/>
        <v>47</v>
      </c>
      <c r="AB490" t="str">
        <f t="shared" si="54"/>
        <v/>
      </c>
      <c r="AC490" t="str">
        <f t="shared" si="55"/>
        <v>Delayed</v>
      </c>
    </row>
    <row r="491" spans="1:29">
      <c r="A491" s="34" t="s">
        <v>1175</v>
      </c>
      <c r="B491" s="10" t="s">
        <v>392</v>
      </c>
      <c r="C491" s="10" t="s">
        <v>322</v>
      </c>
      <c r="D491" s="10" t="s">
        <v>31</v>
      </c>
      <c r="E491" s="10" t="s">
        <v>53</v>
      </c>
      <c r="F491" s="10" t="s">
        <v>323</v>
      </c>
      <c r="G491" s="10" t="s">
        <v>269</v>
      </c>
      <c r="H491" s="11">
        <v>34217</v>
      </c>
      <c r="I491" s="10" t="s">
        <v>252</v>
      </c>
      <c r="J491" s="10" t="s">
        <v>242</v>
      </c>
      <c r="K491" s="10" t="s">
        <v>15</v>
      </c>
      <c r="L491" s="10" t="s">
        <v>325</v>
      </c>
      <c r="M491" s="10">
        <v>2</v>
      </c>
      <c r="N491" s="10">
        <v>8500</v>
      </c>
      <c r="O491" s="10">
        <v>5</v>
      </c>
      <c r="P491" s="10">
        <v>16150</v>
      </c>
      <c r="Q491" s="10">
        <v>1</v>
      </c>
      <c r="R491" s="10" t="s">
        <v>272</v>
      </c>
      <c r="S491" s="10" t="s">
        <v>246</v>
      </c>
      <c r="T491" s="10" t="s">
        <v>395</v>
      </c>
      <c r="U491" s="10">
        <v>9823080381</v>
      </c>
      <c r="V491" s="12" t="s">
        <v>257</v>
      </c>
      <c r="W491" t="str">
        <f t="shared" si="51"/>
        <v>Blacklisted</v>
      </c>
      <c r="X491" t="str">
        <f t="shared" si="52"/>
        <v>Amit Sharma</v>
      </c>
      <c r="Y491" t="str">
        <f t="shared" si="50"/>
        <v>Ami001Hy</v>
      </c>
      <c r="Z491" t="str">
        <f t="shared" si="53"/>
        <v>amit.sharma@company.com</v>
      </c>
      <c r="AA491">
        <f t="shared" ca="1" si="56"/>
        <v>32</v>
      </c>
      <c r="AB491">
        <f t="shared" si="54"/>
        <v>2</v>
      </c>
      <c r="AC491" t="str">
        <f t="shared" si="55"/>
        <v>On time</v>
      </c>
    </row>
    <row r="492" spans="1:29">
      <c r="A492" s="33" t="s">
        <v>1176</v>
      </c>
      <c r="B492" s="5" t="s">
        <v>284</v>
      </c>
      <c r="C492" s="5" t="s">
        <v>250</v>
      </c>
      <c r="D492" s="5" t="s">
        <v>195</v>
      </c>
      <c r="E492" s="6">
        <v>45873</v>
      </c>
      <c r="F492" s="5" t="s">
        <v>285</v>
      </c>
      <c r="G492" s="5" t="s">
        <v>239</v>
      </c>
      <c r="H492" s="6">
        <v>34645</v>
      </c>
      <c r="I492" s="5" t="s">
        <v>291</v>
      </c>
      <c r="J492" s="5" t="s">
        <v>287</v>
      </c>
      <c r="K492" s="5" t="s">
        <v>15</v>
      </c>
      <c r="L492" s="5" t="s">
        <v>253</v>
      </c>
      <c r="M492" s="5">
        <v>7</v>
      </c>
      <c r="N492" s="5">
        <v>2200</v>
      </c>
      <c r="O492" s="5">
        <v>0</v>
      </c>
      <c r="P492" s="5">
        <v>15400</v>
      </c>
      <c r="Q492" s="5">
        <v>5</v>
      </c>
      <c r="R492" s="5" t="s">
        <v>245</v>
      </c>
      <c r="S492" s="5" t="s">
        <v>255</v>
      </c>
      <c r="T492" s="5" t="s">
        <v>308</v>
      </c>
      <c r="U492" s="5">
        <v>9981183477</v>
      </c>
      <c r="V492" s="8" t="s">
        <v>248</v>
      </c>
      <c r="W492" t="str">
        <f t="shared" si="51"/>
        <v/>
      </c>
      <c r="X492" t="str">
        <f t="shared" si="52"/>
        <v>Priya Patel</v>
      </c>
      <c r="Y492" t="str">
        <f t="shared" si="50"/>
        <v>Pri002Pu</v>
      </c>
      <c r="Z492" t="str">
        <f t="shared" si="53"/>
        <v>priya.patel@company.com</v>
      </c>
      <c r="AA492">
        <f t="shared" ca="1" si="56"/>
        <v>33</v>
      </c>
      <c r="AB492" t="str">
        <f t="shared" si="54"/>
        <v/>
      </c>
      <c r="AC492" t="str">
        <f t="shared" si="55"/>
        <v>Delayed</v>
      </c>
    </row>
    <row r="493" spans="1:29">
      <c r="A493" s="34" t="s">
        <v>1177</v>
      </c>
      <c r="B493" s="10" t="s">
        <v>275</v>
      </c>
      <c r="C493" s="10" t="s">
        <v>322</v>
      </c>
      <c r="D493" s="10" t="s">
        <v>132</v>
      </c>
      <c r="E493" s="11">
        <v>46058</v>
      </c>
      <c r="F493" s="10" t="s">
        <v>328</v>
      </c>
      <c r="G493" s="10" t="s">
        <v>269</v>
      </c>
      <c r="H493" s="10" t="s">
        <v>1178</v>
      </c>
      <c r="I493" s="10" t="s">
        <v>260</v>
      </c>
      <c r="J493" s="10" t="s">
        <v>261</v>
      </c>
      <c r="K493" s="10" t="s">
        <v>15</v>
      </c>
      <c r="L493" s="10" t="s">
        <v>325</v>
      </c>
      <c r="M493" s="10">
        <v>20</v>
      </c>
      <c r="N493" s="10">
        <v>8500</v>
      </c>
      <c r="O493" s="10">
        <v>0</v>
      </c>
      <c r="P493" s="10">
        <v>170000</v>
      </c>
      <c r="Q493" s="10">
        <v>3</v>
      </c>
      <c r="R493" s="10" t="s">
        <v>245</v>
      </c>
      <c r="S493" s="10" t="s">
        <v>263</v>
      </c>
      <c r="T493" s="10" t="s">
        <v>278</v>
      </c>
      <c r="U493" s="10">
        <v>9281596011</v>
      </c>
      <c r="V493" s="12" t="s">
        <v>257</v>
      </c>
      <c r="W493" t="str">
        <f t="shared" si="51"/>
        <v>Gold</v>
      </c>
      <c r="X493" t="str">
        <f t="shared" si="52"/>
        <v>Arjun Rao</v>
      </c>
      <c r="Y493" t="str">
        <f t="shared" si="50"/>
        <v>Arj007De</v>
      </c>
      <c r="Z493" t="str">
        <f t="shared" si="53"/>
        <v>arjun.rao@company.com</v>
      </c>
      <c r="AA493">
        <f t="shared" ca="1" si="56"/>
        <v>31</v>
      </c>
      <c r="AB493" t="str">
        <f t="shared" si="54"/>
        <v/>
      </c>
      <c r="AC493" t="str">
        <f t="shared" si="55"/>
        <v>Delayed</v>
      </c>
    </row>
    <row r="494" spans="1:29">
      <c r="A494" s="33" t="s">
        <v>1179</v>
      </c>
      <c r="B494" s="5" t="s">
        <v>299</v>
      </c>
      <c r="C494" s="5" t="s">
        <v>267</v>
      </c>
      <c r="D494" s="5" t="s">
        <v>93</v>
      </c>
      <c r="E494" s="5" t="s">
        <v>189</v>
      </c>
      <c r="F494" s="5" t="s">
        <v>301</v>
      </c>
      <c r="G494" s="5" t="s">
        <v>269</v>
      </c>
      <c r="H494" s="6">
        <v>36933</v>
      </c>
      <c r="I494" s="5" t="s">
        <v>252</v>
      </c>
      <c r="J494" s="5" t="s">
        <v>242</v>
      </c>
      <c r="K494" s="5" t="s">
        <v>243</v>
      </c>
      <c r="L494" s="5" t="s">
        <v>271</v>
      </c>
      <c r="M494" s="5">
        <v>11</v>
      </c>
      <c r="N494" s="5">
        <v>1200</v>
      </c>
      <c r="O494" s="5">
        <v>5</v>
      </c>
      <c r="P494" s="5">
        <v>12540</v>
      </c>
      <c r="Q494" s="5">
        <v>2</v>
      </c>
      <c r="R494" s="5" t="s">
        <v>254</v>
      </c>
      <c r="S494" s="5" t="s">
        <v>255</v>
      </c>
      <c r="T494" s="5" t="s">
        <v>302</v>
      </c>
      <c r="U494" s="5">
        <v>9211734022</v>
      </c>
      <c r="V494" s="8" t="s">
        <v>248</v>
      </c>
      <c r="W494" t="str">
        <f t="shared" si="51"/>
        <v>Blacklisted</v>
      </c>
      <c r="X494" t="str">
        <f t="shared" si="52"/>
        <v>Rohit Singh</v>
      </c>
      <c r="Y494" t="str">
        <f t="shared" si="50"/>
        <v>Roh003Hy</v>
      </c>
      <c r="Z494" t="str">
        <f t="shared" si="53"/>
        <v>rohit.singh@company.com</v>
      </c>
      <c r="AA494" t="str">
        <f t="shared" ca="1" si="56"/>
        <v/>
      </c>
      <c r="AB494">
        <f t="shared" si="54"/>
        <v>9</v>
      </c>
      <c r="AC494" t="str">
        <f t="shared" si="55"/>
        <v>Delayed</v>
      </c>
    </row>
    <row r="495" spans="1:29">
      <c r="A495" s="34" t="s">
        <v>1180</v>
      </c>
      <c r="B495" s="10" t="s">
        <v>275</v>
      </c>
      <c r="C495" s="10" t="s">
        <v>330</v>
      </c>
      <c r="D495" s="10" t="s">
        <v>189</v>
      </c>
      <c r="E495" s="11">
        <v>45665</v>
      </c>
      <c r="F495" s="10" t="s">
        <v>328</v>
      </c>
      <c r="G495" s="10" t="s">
        <v>269</v>
      </c>
      <c r="H495" s="10" t="s">
        <v>1181</v>
      </c>
      <c r="I495" s="10" t="s">
        <v>306</v>
      </c>
      <c r="J495" s="10" t="s">
        <v>287</v>
      </c>
      <c r="K495" s="10" t="s">
        <v>243</v>
      </c>
      <c r="L495" s="10" t="s">
        <v>333</v>
      </c>
      <c r="M495" s="10">
        <v>14</v>
      </c>
      <c r="N495" s="10">
        <v>700</v>
      </c>
      <c r="O495" s="10">
        <v>0</v>
      </c>
      <c r="P495" s="10">
        <v>9800</v>
      </c>
      <c r="Q495" s="10">
        <v>2</v>
      </c>
      <c r="R495" s="10" t="s">
        <v>272</v>
      </c>
      <c r="S495" s="10" t="s">
        <v>312</v>
      </c>
      <c r="T495" s="10" t="s">
        <v>278</v>
      </c>
      <c r="U495" s="10">
        <v>9447151666</v>
      </c>
      <c r="V495" s="12" t="s">
        <v>265</v>
      </c>
      <c r="W495" t="str">
        <f t="shared" si="51"/>
        <v>Blacklisted</v>
      </c>
      <c r="X495" t="str">
        <f t="shared" si="52"/>
        <v>Arjun Rao</v>
      </c>
      <c r="Y495" t="str">
        <f t="shared" si="50"/>
        <v>Arj007Ah</v>
      </c>
      <c r="Z495" t="str">
        <f t="shared" si="53"/>
        <v>arjun.rao@company.com</v>
      </c>
      <c r="AA495">
        <f t="shared" ca="1" si="56"/>
        <v>25</v>
      </c>
      <c r="AB495" t="str">
        <f t="shared" si="54"/>
        <v/>
      </c>
      <c r="AC495" t="str">
        <f t="shared" si="55"/>
        <v>Delayed</v>
      </c>
    </row>
    <row r="496" spans="1:29">
      <c r="A496" s="33" t="s">
        <v>1182</v>
      </c>
      <c r="B496" s="5" t="s">
        <v>266</v>
      </c>
      <c r="C496" s="5" t="s">
        <v>267</v>
      </c>
      <c r="D496" s="5" t="s">
        <v>105</v>
      </c>
      <c r="E496" s="6">
        <v>45668</v>
      </c>
      <c r="F496" s="5" t="s">
        <v>268</v>
      </c>
      <c r="G496" s="5" t="s">
        <v>269</v>
      </c>
      <c r="H496" s="5" t="s">
        <v>1183</v>
      </c>
      <c r="I496" s="5" t="s">
        <v>291</v>
      </c>
      <c r="J496" s="5" t="s">
        <v>287</v>
      </c>
      <c r="K496" s="5" t="s">
        <v>243</v>
      </c>
      <c r="L496" s="5" t="s">
        <v>271</v>
      </c>
      <c r="M496" s="5">
        <v>16</v>
      </c>
      <c r="N496" s="5">
        <v>1200</v>
      </c>
      <c r="O496" s="5">
        <v>15</v>
      </c>
      <c r="P496" s="5">
        <v>16320</v>
      </c>
      <c r="Q496" s="5">
        <v>4</v>
      </c>
      <c r="R496" s="5" t="s">
        <v>254</v>
      </c>
      <c r="S496" s="5" t="s">
        <v>312</v>
      </c>
      <c r="T496" s="5" t="s">
        <v>273</v>
      </c>
      <c r="U496" s="5">
        <v>9345342793</v>
      </c>
      <c r="V496" s="8" t="s">
        <v>248</v>
      </c>
      <c r="W496" t="str">
        <f t="shared" si="51"/>
        <v/>
      </c>
      <c r="X496" t="str">
        <f t="shared" si="52"/>
        <v>Mohit Verma</v>
      </c>
      <c r="Y496" t="str">
        <f t="shared" si="50"/>
        <v>Moh009Pu</v>
      </c>
      <c r="Z496" t="str">
        <f t="shared" si="53"/>
        <v>mohit.verma@company.com</v>
      </c>
      <c r="AA496" t="str">
        <f t="shared" ca="1" si="56"/>
        <v/>
      </c>
      <c r="AB496" t="str">
        <f t="shared" si="54"/>
        <v/>
      </c>
      <c r="AC496" t="str">
        <f t="shared" si="55"/>
        <v>Delayed</v>
      </c>
    </row>
    <row r="497" spans="1:29">
      <c r="A497" s="34" t="s">
        <v>1184</v>
      </c>
      <c r="B497" s="10" t="s">
        <v>321</v>
      </c>
      <c r="C497" s="10" t="s">
        <v>250</v>
      </c>
      <c r="D497" s="10" t="s">
        <v>58</v>
      </c>
      <c r="E497" s="10" t="s">
        <v>185</v>
      </c>
      <c r="F497" s="10" t="s">
        <v>408</v>
      </c>
      <c r="G497" s="10" t="s">
        <v>239</v>
      </c>
      <c r="H497" s="10" t="s">
        <v>1185</v>
      </c>
      <c r="I497" s="10" t="s">
        <v>342</v>
      </c>
      <c r="J497" s="10" t="s">
        <v>261</v>
      </c>
      <c r="K497" s="10" t="s">
        <v>15</v>
      </c>
      <c r="L497" s="10" t="s">
        <v>253</v>
      </c>
      <c r="M497" s="10">
        <v>20</v>
      </c>
      <c r="N497" s="10">
        <v>2200</v>
      </c>
      <c r="O497" s="10">
        <v>0</v>
      </c>
      <c r="P497" s="10">
        <v>44000</v>
      </c>
      <c r="Q497" s="10">
        <v>5</v>
      </c>
      <c r="R497" s="10" t="s">
        <v>254</v>
      </c>
      <c r="S497" s="10" t="s">
        <v>255</v>
      </c>
      <c r="T497" s="10" t="s">
        <v>326</v>
      </c>
      <c r="U497" s="10">
        <v>9329668173</v>
      </c>
      <c r="V497" s="12" t="s">
        <v>265</v>
      </c>
      <c r="W497" t="str">
        <f t="shared" si="51"/>
        <v>Blacklisted</v>
      </c>
      <c r="X497" t="str">
        <f t="shared" si="52"/>
        <v>Anita Gupta</v>
      </c>
      <c r="Y497" t="str">
        <f t="shared" si="50"/>
        <v>Ani004Ja</v>
      </c>
      <c r="Z497" t="str">
        <f t="shared" si="53"/>
        <v>anita.gupta@company.com</v>
      </c>
      <c r="AA497" t="str">
        <f t="shared" ca="1" si="56"/>
        <v/>
      </c>
      <c r="AB497">
        <f t="shared" si="54"/>
        <v>12</v>
      </c>
      <c r="AC497" t="str">
        <f t="shared" si="55"/>
        <v>Delayed</v>
      </c>
    </row>
    <row r="498" spans="1:29">
      <c r="A498" s="33" t="s">
        <v>1186</v>
      </c>
      <c r="B498" s="5" t="s">
        <v>275</v>
      </c>
      <c r="C498" s="5" t="s">
        <v>258</v>
      </c>
      <c r="D498" s="5" t="s">
        <v>119</v>
      </c>
      <c r="E498" s="6">
        <v>45841</v>
      </c>
      <c r="F498" s="5" t="s">
        <v>328</v>
      </c>
      <c r="G498" s="5" t="s">
        <v>269</v>
      </c>
      <c r="H498" s="5" t="s">
        <v>1187</v>
      </c>
      <c r="I498" s="5" t="s">
        <v>342</v>
      </c>
      <c r="J498" s="5" t="s">
        <v>261</v>
      </c>
      <c r="K498" s="5" t="s">
        <v>243</v>
      </c>
      <c r="L498" s="5" t="s">
        <v>262</v>
      </c>
      <c r="M498" s="5">
        <v>12</v>
      </c>
      <c r="N498" s="5">
        <v>12000</v>
      </c>
      <c r="O498" s="5">
        <v>15</v>
      </c>
      <c r="P498" s="5">
        <v>122400</v>
      </c>
      <c r="Q498" s="5">
        <v>5</v>
      </c>
      <c r="R498" s="5" t="s">
        <v>254</v>
      </c>
      <c r="S498" s="5" t="s">
        <v>312</v>
      </c>
      <c r="T498" s="5" t="s">
        <v>278</v>
      </c>
      <c r="U498" s="5">
        <v>9294740227</v>
      </c>
      <c r="V498" s="8" t="s">
        <v>257</v>
      </c>
      <c r="W498" t="str">
        <f t="shared" si="51"/>
        <v>Gold</v>
      </c>
      <c r="X498" t="str">
        <f t="shared" si="52"/>
        <v>Arjun Rao</v>
      </c>
      <c r="Y498" t="str">
        <f t="shared" si="50"/>
        <v>Arj007Ja</v>
      </c>
      <c r="Z498" t="str">
        <f t="shared" si="53"/>
        <v>arjun.rao@company.com</v>
      </c>
      <c r="AA498" t="str">
        <f t="shared" ca="1" si="56"/>
        <v/>
      </c>
      <c r="AB498" t="str">
        <f t="shared" si="54"/>
        <v/>
      </c>
      <c r="AC498" t="str">
        <f t="shared" si="55"/>
        <v>Delayed</v>
      </c>
    </row>
    <row r="499" spans="1:29">
      <c r="A499" s="34" t="s">
        <v>1188</v>
      </c>
      <c r="B499" s="10" t="s">
        <v>346</v>
      </c>
      <c r="C499" s="10" t="s">
        <v>267</v>
      </c>
      <c r="D499" s="11">
        <v>45973</v>
      </c>
      <c r="E499" s="10" t="s">
        <v>514</v>
      </c>
      <c r="F499" s="10" t="s">
        <v>348</v>
      </c>
      <c r="G499" s="10" t="s">
        <v>269</v>
      </c>
      <c r="H499" s="10" t="s">
        <v>1189</v>
      </c>
      <c r="I499" s="10" t="s">
        <v>260</v>
      </c>
      <c r="J499" s="10" t="s">
        <v>261</v>
      </c>
      <c r="K499" s="10" t="s">
        <v>243</v>
      </c>
      <c r="L499" s="10" t="s">
        <v>271</v>
      </c>
      <c r="M499" s="10">
        <v>3</v>
      </c>
      <c r="N499" s="10">
        <v>1200</v>
      </c>
      <c r="O499" s="10">
        <v>20</v>
      </c>
      <c r="P499" s="10">
        <v>2880</v>
      </c>
      <c r="Q499" s="10">
        <v>2</v>
      </c>
      <c r="R499" s="10" t="s">
        <v>245</v>
      </c>
      <c r="S499" s="10" t="s">
        <v>292</v>
      </c>
      <c r="T499" s="10" t="s">
        <v>638</v>
      </c>
      <c r="U499" s="10">
        <v>9549426303</v>
      </c>
      <c r="V499" s="12" t="s">
        <v>248</v>
      </c>
      <c r="W499" t="str">
        <f t="shared" si="51"/>
        <v>Blacklisted</v>
      </c>
      <c r="X499" t="str">
        <f t="shared" si="52"/>
        <v>Vikas Mehta</v>
      </c>
      <c r="Y499" t="str">
        <f t="shared" si="50"/>
        <v>Vik005De</v>
      </c>
      <c r="Z499" t="str">
        <f t="shared" si="53"/>
        <v>invalid email</v>
      </c>
      <c r="AA499" t="str">
        <f t="shared" ca="1" si="56"/>
        <v/>
      </c>
      <c r="AB499" t="str">
        <f t="shared" si="54"/>
        <v/>
      </c>
      <c r="AC499" t="str">
        <f t="shared" si="55"/>
        <v>Delayed</v>
      </c>
    </row>
    <row r="500" spans="1:29">
      <c r="A500" s="33" t="s">
        <v>1190</v>
      </c>
      <c r="B500" s="5" t="s">
        <v>284</v>
      </c>
      <c r="C500" s="5" t="s">
        <v>236</v>
      </c>
      <c r="D500" s="6">
        <v>45754</v>
      </c>
      <c r="E500" s="6">
        <v>45784</v>
      </c>
      <c r="F500" s="5" t="s">
        <v>285</v>
      </c>
      <c r="G500" s="5" t="s">
        <v>239</v>
      </c>
      <c r="H500" s="6">
        <v>29197</v>
      </c>
      <c r="I500" s="5" t="s">
        <v>286</v>
      </c>
      <c r="J500" s="5" t="s">
        <v>287</v>
      </c>
      <c r="K500" s="5" t="s">
        <v>243</v>
      </c>
      <c r="L500" s="5" t="s">
        <v>1191</v>
      </c>
      <c r="M500" s="5">
        <v>6</v>
      </c>
      <c r="N500" s="5">
        <v>55000</v>
      </c>
      <c r="O500" s="5">
        <v>20</v>
      </c>
      <c r="P500" s="5">
        <v>264000</v>
      </c>
      <c r="Q500" s="5">
        <v>3</v>
      </c>
      <c r="R500" s="5" t="s">
        <v>254</v>
      </c>
      <c r="S500" s="5" t="s">
        <v>312</v>
      </c>
      <c r="T500" s="5" t="s">
        <v>308</v>
      </c>
      <c r="U500" s="5">
        <v>9374249303</v>
      </c>
      <c r="V500" s="8" t="s">
        <v>257</v>
      </c>
      <c r="W500" t="str">
        <f t="shared" si="51"/>
        <v>Gold</v>
      </c>
      <c r="X500" t="str">
        <f t="shared" si="52"/>
        <v>Priya Patel</v>
      </c>
      <c r="Y500" t="str">
        <f t="shared" ref="Y500:Y501" si="57">LEFT(F500,3)&amp;MID(B500,2,3)&amp;LEFT(I500,2)</f>
        <v>Pri002Mu</v>
      </c>
      <c r="Z500" t="str">
        <f t="shared" si="53"/>
        <v>priya.patel@company.com</v>
      </c>
      <c r="AA500" t="str">
        <f t="shared" ca="1" si="56"/>
        <v/>
      </c>
      <c r="AB500" t="str">
        <f t="shared" si="54"/>
        <v/>
      </c>
      <c r="AC500" t="str">
        <f t="shared" si="55"/>
        <v>Delayed</v>
      </c>
    </row>
    <row r="501" spans="1:29">
      <c r="A501" s="35" t="s">
        <v>1192</v>
      </c>
      <c r="B501" s="18" t="s">
        <v>284</v>
      </c>
      <c r="C501" s="18" t="s">
        <v>280</v>
      </c>
      <c r="D501" s="18" t="s">
        <v>50</v>
      </c>
      <c r="E501" s="18" t="s">
        <v>300</v>
      </c>
      <c r="F501" s="18" t="s">
        <v>285</v>
      </c>
      <c r="G501" s="18" t="s">
        <v>239</v>
      </c>
      <c r="H501" s="18" t="s">
        <v>1193</v>
      </c>
      <c r="I501" s="18" t="s">
        <v>241</v>
      </c>
      <c r="J501" s="18" t="s">
        <v>242</v>
      </c>
      <c r="K501" s="18" t="s">
        <v>15</v>
      </c>
      <c r="L501" s="18" t="s">
        <v>282</v>
      </c>
      <c r="M501" s="18">
        <v>20</v>
      </c>
      <c r="N501" s="18">
        <v>3500</v>
      </c>
      <c r="O501" s="18">
        <v>0</v>
      </c>
      <c r="P501" s="18">
        <v>70000</v>
      </c>
      <c r="Q501" s="18">
        <v>1</v>
      </c>
      <c r="R501" s="18" t="s">
        <v>245</v>
      </c>
      <c r="S501" s="18" t="s">
        <v>312</v>
      </c>
      <c r="T501" s="18" t="s">
        <v>308</v>
      </c>
      <c r="U501" s="18">
        <v>9810334941</v>
      </c>
      <c r="V501" s="19" t="s">
        <v>248</v>
      </c>
      <c r="W501" t="str">
        <f t="shared" si="51"/>
        <v>Blacklisted</v>
      </c>
      <c r="X501" t="str">
        <f t="shared" si="52"/>
        <v>Priya Patel</v>
      </c>
      <c r="Y501" t="str">
        <f t="shared" si="57"/>
        <v>Pri002Be</v>
      </c>
      <c r="Z501" t="str">
        <f t="shared" si="53"/>
        <v>priya.patel@company.com</v>
      </c>
      <c r="AA501">
        <f t="shared" ca="1" si="56"/>
        <v>46</v>
      </c>
      <c r="AB501">
        <f t="shared" si="54"/>
        <v>7</v>
      </c>
      <c r="AC501" t="str">
        <f t="shared" si="55"/>
        <v>Delayed</v>
      </c>
    </row>
  </sheetData>
  <hyperlinks>
    <hyperlink ref="T3" r:id="rId1" xr:uid="{8C0A718E-0FB0-484D-BCEE-FEFE1BA87A14}"/>
    <hyperlink ref="T5" r:id="rId2" xr:uid="{A0B18DC6-5EFF-4DCF-93E8-E5BAF16655AB}"/>
    <hyperlink ref="T9" r:id="rId3" xr:uid="{0F65DC9C-E2D2-4358-9D57-9517C9238221}"/>
    <hyperlink ref="T11" r:id="rId4" xr:uid="{4E828C5C-426A-4221-827F-34D81CE31DBA}"/>
    <hyperlink ref="T15" r:id="rId5" xr:uid="{84DCF445-31F3-4142-9293-FDFD51BCD60F}"/>
    <hyperlink ref="T16" r:id="rId6" xr:uid="{5149A612-DF13-455E-80C8-EFAE7033AF8B}"/>
    <hyperlink ref="T20" r:id="rId7" xr:uid="{86497A8D-90F3-4A7D-8DDB-EBD9292703A1}"/>
    <hyperlink ref="T61" r:id="rId8" xr:uid="{63F7E8A8-8853-46ED-AC82-2F15914BECA2}"/>
    <hyperlink ref="T72" r:id="rId9" xr:uid="{EDCEF8C9-5977-452A-85ED-A34988B43CC5}"/>
    <hyperlink ref="T294" r:id="rId10" xr:uid="{4EEA3242-1E99-4A4F-9D23-7C95792DF275}"/>
    <hyperlink ref="T450" r:id="rId11" xr:uid="{0FF32EB8-54DC-48ED-99E2-D78AA4AD00D1}"/>
    <hyperlink ref="T463" r:id="rId12" xr:uid="{509C6327-FC1D-4730-960D-1EF1C29E79DC}"/>
    <hyperlink ref="T479" r:id="rId13" xr:uid="{9A5CB9C9-843F-4E18-B918-095424DE5E8C}"/>
    <hyperlink ref="T489" r:id="rId14" xr:uid="{05A460F2-92C5-43D8-9AB6-63F0A8946BC5}"/>
  </hyperlinks>
  <pageMargins left="0.7" right="0.7" top="0.75" bottom="0.75" header="0.3" footer="0.3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1355-8A73-41A9-8412-854FB3CD353D}">
  <dimension ref="A1:C12"/>
  <sheetViews>
    <sheetView workbookViewId="0">
      <selection activeCell="B4" sqref="B4:B8"/>
    </sheetView>
  </sheetViews>
  <sheetFormatPr defaultRowHeight="15"/>
  <cols>
    <col min="1" max="1" width="44" customWidth="1"/>
    <col min="2" max="2" width="13.5703125" bestFit="1" customWidth="1"/>
  </cols>
  <sheetData>
    <row r="1" spans="1:3">
      <c r="A1" s="21" t="s">
        <v>1194</v>
      </c>
      <c r="B1" s="21"/>
    </row>
    <row r="2" spans="1:3">
      <c r="A2" s="21"/>
      <c r="B2" s="21"/>
    </row>
    <row r="3" spans="1:3">
      <c r="A3" s="21" t="s">
        <v>1195</v>
      </c>
      <c r="B3" s="21" t="s">
        <v>1196</v>
      </c>
    </row>
    <row r="4" spans="1:3">
      <c r="A4" s="21" t="s">
        <v>1197</v>
      </c>
      <c r="B4" s="25">
        <f>SUMIFS(Sheet2!S:S,Sheet2!N:N,"Electronics",Sheet2!Y:Y,"Completed")</f>
        <v>7222090</v>
      </c>
    </row>
    <row r="5" spans="1:3">
      <c r="A5" s="21" t="s">
        <v>1198</v>
      </c>
      <c r="B5" s="25">
        <f>SUMIFS(Sheet2!S:S,Sheet2!V:V,"Neha",Sheet2!M:M,"North")</f>
        <v>1550369.25</v>
      </c>
    </row>
    <row r="6" spans="1:3">
      <c r="A6" s="21" t="s">
        <v>1199</v>
      </c>
      <c r="B6" s="25">
        <f>COUNTIFS(Sheet2!R:R,"&gt;=15%",Sheet2!U:U,"UPI")</f>
        <v>83</v>
      </c>
    </row>
    <row r="7" spans="1:3">
      <c r="A7" s="21" t="s">
        <v>1200</v>
      </c>
      <c r="B7" s="25">
        <f>COUNTIFS(Sheet2!T:T,5,Sheet2!Y:Y,"Completed")</f>
        <v>27</v>
      </c>
    </row>
    <row r="8" spans="1:3">
      <c r="A8" s="21" t="s">
        <v>1201</v>
      </c>
      <c r="B8" s="25">
        <f>AVERAGEIFS(Sheet2!S:S,Sheet2!M:M,"West",Sheet2!P:P,"&gt;5")</f>
        <v>82824.450657894733</v>
      </c>
    </row>
    <row r="12" spans="1:3">
      <c r="C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4127-7526-4522-9304-2641BBB70EF3}">
  <dimension ref="A1:B10"/>
  <sheetViews>
    <sheetView workbookViewId="0">
      <selection activeCell="B4" sqref="B4:B9"/>
    </sheetView>
  </sheetViews>
  <sheetFormatPr defaultRowHeight="15"/>
  <cols>
    <col min="1" max="1" width="22.85546875" customWidth="1"/>
    <col min="2" max="2" width="13.5703125" bestFit="1" customWidth="1"/>
  </cols>
  <sheetData>
    <row r="1" spans="1:2">
      <c r="A1" s="21" t="s">
        <v>1202</v>
      </c>
      <c r="B1" s="21"/>
    </row>
    <row r="2" spans="1:2">
      <c r="A2" s="21"/>
      <c r="B2" s="21"/>
    </row>
    <row r="3" spans="1:2">
      <c r="A3" s="21" t="s">
        <v>1203</v>
      </c>
      <c r="B3" s="21" t="s">
        <v>1196</v>
      </c>
    </row>
    <row r="4" spans="1:2">
      <c r="A4" s="21" t="s">
        <v>1204</v>
      </c>
      <c r="B4" s="25">
        <f>AVERAGE(Sheet1!P:P)</f>
        <v>69531.875</v>
      </c>
    </row>
    <row r="5" spans="1:2">
      <c r="A5" s="21" t="s">
        <v>1205</v>
      </c>
      <c r="B5" s="25">
        <f>MEDIAN(Sheet1!P:P)</f>
        <v>10475</v>
      </c>
    </row>
    <row r="6" spans="1:2">
      <c r="A6" s="21" t="s">
        <v>1206</v>
      </c>
      <c r="B6" s="25">
        <f>MAX(Sheet1!P:P)</f>
        <v>1045000</v>
      </c>
    </row>
    <row r="7" spans="1:2">
      <c r="A7" s="21" t="s">
        <v>1207</v>
      </c>
      <c r="B7" s="25">
        <f>MIN(Sheet1!P:P)</f>
        <v>19</v>
      </c>
    </row>
    <row r="8" spans="1:2">
      <c r="A8" s="21" t="s">
        <v>1208</v>
      </c>
      <c r="B8" s="25">
        <f>_xlfn.STDEV.S(Sheet1!P:P)</f>
        <v>167151.44592393315</v>
      </c>
    </row>
    <row r="9" spans="1:2">
      <c r="A9" s="21" t="s">
        <v>1209</v>
      </c>
      <c r="B9" s="25">
        <f>_xlfn.PERCENTILE.INC(Sheet1!P:P,0.9)</f>
        <v>163880.00000000015</v>
      </c>
    </row>
    <row r="10" spans="1:2">
      <c r="A10" s="21" t="s">
        <v>1210</v>
      </c>
      <c r="B10" s="22" t="s">
        <v>1211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1D9D-50C9-4D3F-B0C4-F77E0706B4BD}">
  <dimension ref="A1:B6"/>
  <sheetViews>
    <sheetView workbookViewId="0">
      <selection activeCell="C17" sqref="C17"/>
    </sheetView>
  </sheetViews>
  <sheetFormatPr defaultRowHeight="15"/>
  <cols>
    <col min="1" max="1" width="32.7109375" customWidth="1"/>
    <col min="2" max="2" width="17.5703125" customWidth="1"/>
  </cols>
  <sheetData>
    <row r="1" spans="1:2">
      <c r="A1" s="28" t="s">
        <v>1212</v>
      </c>
      <c r="B1" s="26"/>
    </row>
    <row r="2" spans="1:2">
      <c r="A2" s="26"/>
      <c r="B2" s="26"/>
    </row>
    <row r="3" spans="1:2">
      <c r="A3" s="28" t="s">
        <v>1213</v>
      </c>
      <c r="B3" s="28" t="s">
        <v>1196</v>
      </c>
    </row>
    <row r="4" spans="1:2">
      <c r="A4" s="26" t="s">
        <v>1214</v>
      </c>
      <c r="B4" s="27">
        <f>ROUND(FV(0.1/12,60,-50000,0,0),2)</f>
        <v>3871853.61</v>
      </c>
    </row>
    <row r="5" spans="1:2">
      <c r="A5" s="26" t="s">
        <v>1215</v>
      </c>
      <c r="B5" s="27">
        <f>ROUND(PMT(10%/12,60,0,-5000000),2)</f>
        <v>64568.56</v>
      </c>
    </row>
    <row r="6" spans="1:2">
      <c r="A6" s="26" t="s">
        <v>1216</v>
      </c>
      <c r="B6" s="27">
        <f>ROUND(PMT(9%/12,60,1000000)*-1,0)</f>
        <v>20758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0FED-6D6F-46E8-9FA5-026C2353B1A4}">
  <dimension ref="A1:B7"/>
  <sheetViews>
    <sheetView workbookViewId="0">
      <selection activeCell="E10" sqref="E10"/>
    </sheetView>
  </sheetViews>
  <sheetFormatPr defaultRowHeight="15"/>
  <cols>
    <col min="1" max="1" width="44.7109375" customWidth="1"/>
    <col min="2" max="2" width="14.7109375" bestFit="1" customWidth="1"/>
  </cols>
  <sheetData>
    <row r="1" spans="1:2">
      <c r="A1" s="23" t="s">
        <v>1217</v>
      </c>
      <c r="B1" s="21"/>
    </row>
    <row r="2" spans="1:2">
      <c r="A2" s="21"/>
      <c r="B2" s="21"/>
    </row>
    <row r="3" spans="1:2">
      <c r="A3" s="21" t="s">
        <v>1218</v>
      </c>
      <c r="B3" s="21" t="s">
        <v>1196</v>
      </c>
    </row>
    <row r="4" spans="1:2">
      <c r="A4" s="21" t="s">
        <v>1219</v>
      </c>
      <c r="B4" s="24">
        <f>SUMPRODUCT(Sheet2!P2:P10000,Sheet2!Q2:Q10000)</f>
        <v>36610875</v>
      </c>
    </row>
    <row r="5" spans="1:2">
      <c r="A5" s="21" t="s">
        <v>1220</v>
      </c>
      <c r="B5" s="24">
        <f>SUMPRODUCT(Sheet2!P2:P10000,Sheet2!Q2:Q10000)/SUM(Sheet2!P2:P10000)</f>
        <v>6990.8105785755206</v>
      </c>
    </row>
    <row r="6" spans="1:2">
      <c r="A6" s="21" t="s">
        <v>1221</v>
      </c>
      <c r="B6" s="24">
        <f>SUMPRODUCT(Sheet2!P2:P10000,Sheet2!Q2:Q10000)-SUM(Sheet2!S2:S10000)</f>
        <v>1844937.5</v>
      </c>
    </row>
    <row r="7" spans="1:2">
      <c r="A7" s="21" t="s">
        <v>1222</v>
      </c>
      <c r="B7" s="24" cm="1">
        <f t="array" ref="B7">SUMPRODUCT(Sheet2!P2:P10000,Sheet2!Q2:Q10000,Sheet2!R2:R10000/100)</f>
        <v>2918151.5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8453-6D40-4D4E-863D-6236873D9D0E}">
  <dimension ref="A1:AK497"/>
  <sheetViews>
    <sheetView topLeftCell="AA1" workbookViewId="0">
      <selection activeCell="AL17" sqref="AL17"/>
    </sheetView>
  </sheetViews>
  <sheetFormatPr defaultRowHeight="15"/>
  <cols>
    <col min="4" max="4" width="12.42578125" customWidth="1"/>
    <col min="5" max="5" width="11.140625" bestFit="1" customWidth="1"/>
    <col min="11" max="11" width="16.140625" customWidth="1"/>
    <col min="18" max="18" width="14.7109375" customWidth="1"/>
    <col min="30" max="30" width="12.28515625" customWidth="1"/>
    <col min="37" max="37" width="15.140625" customWidth="1"/>
  </cols>
  <sheetData>
    <row r="1" spans="1:37">
      <c r="A1" s="1" t="s">
        <v>208</v>
      </c>
      <c r="B1" s="2" t="s">
        <v>209</v>
      </c>
      <c r="C1" s="2" t="s">
        <v>210</v>
      </c>
      <c r="D1" s="2" t="s">
        <v>3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19</v>
      </c>
      <c r="K1" s="2" t="s">
        <v>13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  <c r="Q1" s="2" t="s">
        <v>221</v>
      </c>
      <c r="R1" s="2" t="s">
        <v>222</v>
      </c>
      <c r="S1" s="2" t="s">
        <v>223</v>
      </c>
      <c r="T1" s="2" t="s">
        <v>224</v>
      </c>
      <c r="U1" s="2" t="s">
        <v>225</v>
      </c>
      <c r="V1" s="3" t="s">
        <v>226</v>
      </c>
      <c r="W1" t="s">
        <v>227</v>
      </c>
      <c r="X1" t="s">
        <v>228</v>
      </c>
      <c r="Y1" t="s">
        <v>229</v>
      </c>
      <c r="Z1" t="s">
        <v>230</v>
      </c>
      <c r="AA1" t="s">
        <v>231</v>
      </c>
      <c r="AB1" t="s">
        <v>232</v>
      </c>
      <c r="AC1" t="s">
        <v>233</v>
      </c>
      <c r="AK1" t="s">
        <v>1223</v>
      </c>
    </row>
    <row r="2" spans="1:37">
      <c r="A2" s="4" t="s">
        <v>234</v>
      </c>
      <c r="B2" s="5" t="s">
        <v>249</v>
      </c>
      <c r="C2" s="5" t="s">
        <v>250</v>
      </c>
      <c r="D2" s="5" t="s">
        <v>70</v>
      </c>
      <c r="E2" s="5" t="s">
        <v>115</v>
      </c>
      <c r="F2" s="5" t="s">
        <v>251</v>
      </c>
      <c r="G2" s="5" t="s">
        <v>239</v>
      </c>
      <c r="H2" s="6">
        <v>27767</v>
      </c>
      <c r="I2" s="5" t="s">
        <v>252</v>
      </c>
      <c r="J2" s="5" t="s">
        <v>242</v>
      </c>
      <c r="K2" s="5" t="s">
        <v>15</v>
      </c>
      <c r="L2" s="5" t="s">
        <v>253</v>
      </c>
      <c r="M2" s="5">
        <v>4</v>
      </c>
      <c r="N2" s="5">
        <v>2200</v>
      </c>
      <c r="O2" s="5">
        <v>10</v>
      </c>
      <c r="P2" s="5">
        <v>7920</v>
      </c>
      <c r="Q2" s="5">
        <v>4</v>
      </c>
      <c r="R2" s="5" t="s">
        <v>254</v>
      </c>
      <c r="S2" s="5" t="s">
        <v>255</v>
      </c>
      <c r="T2" s="7" t="s">
        <v>256</v>
      </c>
      <c r="U2" s="5">
        <v>9431429797</v>
      </c>
      <c r="V2" s="8" t="s">
        <v>257</v>
      </c>
      <c r="W2" t="str">
        <f>IF(OR(Q2&lt;=2,V2="Cancelled"),"Blacklisted",IF(AND(P2&gt;100000,Q2&gt;=4,O2&lt;=10%,V2="Completed"),"Platinum",IF(AND(P2&gt;=50000,Q2&gt;=3,V2="Completed"),"Gold",IF(AND(P2&lt;50000,V2="Completed"),"Silver",""))))</f>
        <v>Silver</v>
      </c>
      <c r="X2" t="str">
        <f>PROPER(TRIM(F2))</f>
        <v>Kavya Nair</v>
      </c>
      <c r="Y2" t="str">
        <f>LEFT(F2,3)&amp;MID(B2,2,3)&amp;LEFT(I2,2)</f>
        <v>Kav008Hy</v>
      </c>
      <c r="Z2" t="str">
        <f>IF(ISNUMBER(SEARCH("@",T2)),LOWER(TRIM(T2)),"invalid email")</f>
        <v>kavya.nair@company.com</v>
      </c>
      <c r="AA2">
        <f ca="1">DATEDIF(H2,TODAY(),"Y")</f>
        <v>50</v>
      </c>
      <c r="AB2">
        <f>IF(OR(D2="",E2=""),"",IFERROR(DATE(MID(E2,7,4),MID(E2,4,2),LEFT(E2,2))-DATE(MID(D2,7,4),MID(D2,4,2),LEFT(D2,2)),""))</f>
        <v>4</v>
      </c>
      <c r="AC2" t="str">
        <f>IF(E2="","Pending",IF(AB2&lt;=5,"On time","Delayed"))</f>
        <v>On time</v>
      </c>
      <c r="AD2" s="29" t="str">
        <f>IF(TRIM(S2)="","Not Assigned",S2)</f>
        <v>Ritika</v>
      </c>
      <c r="AE2" t="str">
        <f>PROPER(TRIM(F2))</f>
        <v>Kavya Nair</v>
      </c>
      <c r="AF2" t="str">
        <f>PROPER(TRIM(K2))</f>
        <v>Home Appliances</v>
      </c>
      <c r="AG2" t="str">
        <f>PROPER(TRIM(J2))</f>
        <v>South</v>
      </c>
      <c r="AH2" t="str">
        <f>PROPER(TRIM(K2))</f>
        <v>Home Appliances</v>
      </c>
      <c r="AI2" t="str">
        <f>IF(OR(LOWER(TRIM(K2))="electronic",LOWER(TRIM(K2))="electronics"),"Electronics",PROPER(TRIM(K2)))</f>
        <v>Home Appliances</v>
      </c>
      <c r="AK2">
        <f>IF(COUNTIF($A$2:A2,A2)=1,1,0)</f>
        <v>1</v>
      </c>
    </row>
    <row r="3" spans="1:37">
      <c r="A3" s="4" t="s">
        <v>234</v>
      </c>
      <c r="B3" s="10" t="s">
        <v>249</v>
      </c>
      <c r="C3" s="10" t="s">
        <v>258</v>
      </c>
      <c r="D3" s="10" t="s">
        <v>165</v>
      </c>
      <c r="E3" s="11">
        <v>45752</v>
      </c>
      <c r="F3" s="10" t="s">
        <v>251</v>
      </c>
      <c r="G3" s="10" t="s">
        <v>239</v>
      </c>
      <c r="H3" s="10" t="s">
        <v>259</v>
      </c>
      <c r="I3" s="10" t="s">
        <v>260</v>
      </c>
      <c r="J3" s="10" t="s">
        <v>261</v>
      </c>
      <c r="K3" s="10" t="s">
        <v>243</v>
      </c>
      <c r="L3" s="10" t="s">
        <v>262</v>
      </c>
      <c r="M3" s="10">
        <v>17</v>
      </c>
      <c r="N3" s="10">
        <v>12000</v>
      </c>
      <c r="O3" s="10">
        <v>10</v>
      </c>
      <c r="P3" s="10">
        <v>183600</v>
      </c>
      <c r="Q3" s="10">
        <v>1</v>
      </c>
      <c r="R3" s="10" t="s">
        <v>245</v>
      </c>
      <c r="S3" s="10" t="s">
        <v>263</v>
      </c>
      <c r="T3" s="10" t="s">
        <v>264</v>
      </c>
      <c r="U3" s="10">
        <v>9129865339</v>
      </c>
      <c r="V3" s="12" t="s">
        <v>257</v>
      </c>
      <c r="W3" t="str">
        <f>IF(OR(Q3&lt;=2,V3="Cancelled"),"Blacklisted",IF(AND(P3&gt;100000,Q3&gt;=4,O3&lt;=10%,V3="Completed"),"Platinum",IF(AND(P3&gt;=50000,Q3&gt;=3,V3="Completed"),"Gold",IF(AND(P3&lt;50000,V3="Completed"),"Silver",""))))</f>
        <v>Blacklisted</v>
      </c>
      <c r="X3" t="str">
        <f>PROPER(TRIM(F3))</f>
        <v>Kavya Nair</v>
      </c>
      <c r="Y3" t="str">
        <f>LEFT(F3,3)&amp;MID(B3,2,3)&amp;LEFT(I3,2)</f>
        <v>Kav008De</v>
      </c>
      <c r="Z3" t="str">
        <f>IF(ISNUMBER(SEARCH("@",T3)),LOWER(TRIM(T3)),"invalid email")</f>
        <v>kavya.nair@company.com</v>
      </c>
      <c r="AA3">
        <f ca="1">IF(H2="","",IFERROR(DATEDIF(IF(ISNUMBER(H2),H2,DATE(VALUE(RIGHT(H2,4)),VALUE(MID(H2,3,2)),VALUE(LEFT(H2,2)))),TODAY(),"Y"),""))</f>
        <v>50</v>
      </c>
      <c r="AB3" t="str">
        <f>IF(OR(D3="",E3=""),"",IFERROR(DATE(MID(E3,7,4),MID(E3,4,2),LEFT(E3,2))-DATE(MID(D3,7,4),MID(D3,4,2),LEFT(D3,2)),""))</f>
        <v/>
      </c>
      <c r="AC3" t="str">
        <f>IF(E3="","Pending",IF(AB3&lt;=5,"On time","Delayed"))</f>
        <v>Delayed</v>
      </c>
      <c r="AD3" s="29" t="str">
        <f>IF(TRIM(S3)="","Not Assigned",S3)</f>
        <v>Rahul</v>
      </c>
      <c r="AE3" t="str">
        <f>PROPER(TRIM(F3))</f>
        <v>Kavya Nair</v>
      </c>
      <c r="AF3" t="str">
        <f>PROPER(TRIM(K3))</f>
        <v>Electronics</v>
      </c>
      <c r="AG3" t="str">
        <f>PROPER(TRIM(J3))</f>
        <v>North</v>
      </c>
      <c r="AH3" t="str">
        <f t="shared" ref="AH3:AH66" si="0">PROPER(TRIM(K3))</f>
        <v>Electronics</v>
      </c>
      <c r="AI3" t="str">
        <f t="shared" ref="AI3:AI66" si="1">IF(OR(LOWER(TRIM(K3))="electronic",LOWER(TRIM(K3))="electronics"),"Electronics",PROPER(TRIM(K3)))</f>
        <v>Electronics</v>
      </c>
      <c r="AK3">
        <f>IF(COUNTIF($A$2:A3,A3)=1,1,0)</f>
        <v>0</v>
      </c>
    </row>
    <row r="4" spans="1:37">
      <c r="A4" s="9" t="s">
        <v>274</v>
      </c>
      <c r="B4" s="10" t="s">
        <v>275</v>
      </c>
      <c r="C4" s="10" t="s">
        <v>250</v>
      </c>
      <c r="D4" s="11">
        <v>46113</v>
      </c>
      <c r="E4" s="11">
        <v>46357</v>
      </c>
      <c r="F4" s="10" t="s">
        <v>328</v>
      </c>
      <c r="G4" s="10" t="s">
        <v>269</v>
      </c>
      <c r="H4" s="11">
        <v>32326</v>
      </c>
      <c r="I4" s="10" t="s">
        <v>252</v>
      </c>
      <c r="J4" s="10" t="s">
        <v>242</v>
      </c>
      <c r="K4" s="10" t="s">
        <v>15</v>
      </c>
      <c r="L4" s="10" t="s">
        <v>253</v>
      </c>
      <c r="M4" s="10">
        <v>4</v>
      </c>
      <c r="N4" s="10">
        <v>2200</v>
      </c>
      <c r="O4" s="10">
        <v>0</v>
      </c>
      <c r="P4" s="10">
        <v>8800</v>
      </c>
      <c r="Q4" s="10">
        <v>1</v>
      </c>
      <c r="R4" s="10" t="s">
        <v>277</v>
      </c>
      <c r="S4" s="10" t="s">
        <v>255</v>
      </c>
      <c r="T4" s="10" t="s">
        <v>278</v>
      </c>
      <c r="U4" s="10">
        <v>9780584905</v>
      </c>
      <c r="V4" s="12" t="s">
        <v>257</v>
      </c>
      <c r="W4" t="str">
        <f>IF(OR(Q4&lt;=2,V4="Cancelled"),"Blacklisted",IF(AND(P4&gt;100000,Q4&gt;=4,O4&lt;=10%,V4="Completed"),"Platinum",IF(AND(P4&gt;=50000,Q4&gt;=3,V4="Completed"),"Gold",IF(AND(P4&lt;50000,V4="Completed"),"Silver",""))))</f>
        <v>Blacklisted</v>
      </c>
      <c r="X4" t="str">
        <f>PROPER(TRIM(F4))</f>
        <v>Arjun Rao</v>
      </c>
      <c r="Y4" t="str">
        <f>LEFT(F4,3)&amp;MID(B4,2,3)&amp;LEFT(I4,2)</f>
        <v>Arj007Hy</v>
      </c>
      <c r="Z4" t="str">
        <f>IF(ISNUMBER(SEARCH("@",T4)),LOWER(TRIM(T4)),"invalid email")</f>
        <v>arjun.rao@company.com</v>
      </c>
      <c r="AA4" t="str">
        <f ca="1">IF(H3="","",IFERROR(DATEDIF(IF(ISNUMBER(H3),H3,DATE(VALUE(RIGHT(H3,4)),VALUE(MID(H3,3,2)),VALUE(LEFT(H3,2)))),TODAY(),"Y"),""))</f>
        <v/>
      </c>
      <c r="AB4" t="str">
        <f>IF(OR(D4="",E4=""),"",IFERROR(DATE(MID(E4,7,4),MID(E4,4,2),LEFT(E4,2))-DATE(MID(D4,7,4),MID(D4,4,2),LEFT(D4,2)),""))</f>
        <v/>
      </c>
      <c r="AC4" t="str">
        <f>IF(E4="","Pending",IF(AB4&lt;=5,"On time","Delayed"))</f>
        <v>Delayed</v>
      </c>
      <c r="AD4" s="29" t="str">
        <f>IF(TRIM(S4)="","Not Assigned",S4)</f>
        <v>Ritika</v>
      </c>
      <c r="AE4" t="str">
        <f>PROPER(TRIM(F4))</f>
        <v>Arjun Rao</v>
      </c>
      <c r="AF4" t="str">
        <f>PROPER(TRIM(K4))</f>
        <v>Home Appliances</v>
      </c>
      <c r="AG4" t="str">
        <f>PROPER(TRIM(J4))</f>
        <v>South</v>
      </c>
      <c r="AH4" t="str">
        <f t="shared" si="0"/>
        <v>Home Appliances</v>
      </c>
      <c r="AI4" t="str">
        <f t="shared" si="1"/>
        <v>Home Appliances</v>
      </c>
      <c r="AK4">
        <f>IF(COUNTIF($A$2:A4,A4)=1,1,0)</f>
        <v>1</v>
      </c>
    </row>
    <row r="5" spans="1:37">
      <c r="A5" s="4" t="s">
        <v>279</v>
      </c>
      <c r="B5" s="5" t="s">
        <v>249</v>
      </c>
      <c r="C5" s="5" t="s">
        <v>280</v>
      </c>
      <c r="D5" s="5" t="s">
        <v>203</v>
      </c>
      <c r="E5" s="5" t="s">
        <v>139</v>
      </c>
      <c r="F5" s="5" t="s">
        <v>251</v>
      </c>
      <c r="G5" s="5" t="s">
        <v>239</v>
      </c>
      <c r="H5" s="5" t="s">
        <v>281</v>
      </c>
      <c r="I5" s="5" t="s">
        <v>252</v>
      </c>
      <c r="J5" s="5" t="s">
        <v>242</v>
      </c>
      <c r="K5" s="5" t="s">
        <v>15</v>
      </c>
      <c r="L5" s="5" t="s">
        <v>282</v>
      </c>
      <c r="M5" s="5">
        <v>2</v>
      </c>
      <c r="N5" s="5">
        <v>3500</v>
      </c>
      <c r="O5" s="5">
        <v>5</v>
      </c>
      <c r="P5" s="5">
        <v>6650</v>
      </c>
      <c r="Q5" s="5">
        <v>1</v>
      </c>
      <c r="R5" s="5" t="s">
        <v>277</v>
      </c>
      <c r="S5" s="5" t="s">
        <v>255</v>
      </c>
      <c r="T5" s="5" t="s">
        <v>264</v>
      </c>
      <c r="U5" s="5">
        <v>9958252176</v>
      </c>
      <c r="V5" s="8" t="s">
        <v>257</v>
      </c>
      <c r="W5" t="str">
        <f>IF(OR(Q5&lt;=2,V5="Cancelled"),"Blacklisted",IF(AND(P5&gt;100000,Q5&gt;=4,O5&lt;=10%,V5="Completed"),"Platinum",IF(AND(P5&gt;=50000,Q5&gt;=3,V5="Completed"),"Gold",IF(AND(P5&lt;50000,V5="Completed"),"Silver",""))))</f>
        <v>Blacklisted</v>
      </c>
      <c r="X5" t="str">
        <f>PROPER(TRIM(F5))</f>
        <v>Kavya Nair</v>
      </c>
      <c r="Y5" t="str">
        <f>LEFT(F5,3)&amp;MID(B5,2,3)&amp;LEFT(I5,2)</f>
        <v>Kav008Hy</v>
      </c>
      <c r="Z5" t="str">
        <f>IF(ISNUMBER(SEARCH("@",T5)),LOWER(TRIM(T5)),"invalid email")</f>
        <v>kavya.nair@company.com</v>
      </c>
      <c r="AA5">
        <f ca="1">IF(H4="","",IFERROR(DATEDIF(IF(ISNUMBER(H4),H4,DATE(VALUE(RIGHT(H4,4)),VALUE(MID(H4,3,2)),VALUE(LEFT(H4,2)))),TODAY(),"Y"),""))</f>
        <v>38</v>
      </c>
      <c r="AB5">
        <f>IF(OR(D5="",E5=""),"",IFERROR(DATE(MID(E5,7,4),MID(E5,4,2),LEFT(E5,2))-DATE(MID(D5,7,4),MID(D5,4,2),LEFT(D5,2)),""))</f>
        <v>359</v>
      </c>
      <c r="AC5" t="str">
        <f>IF(E5="","Pending",IF(AB5&lt;=5,"On time","Delayed"))</f>
        <v>Delayed</v>
      </c>
      <c r="AD5" s="29" t="str">
        <f>IF(TRIM(S5)="","Not Assigned",S5)</f>
        <v>Ritika</v>
      </c>
      <c r="AE5" t="str">
        <f>PROPER(TRIM(F5))</f>
        <v>Kavya Nair</v>
      </c>
      <c r="AF5" t="str">
        <f>PROPER(TRIM(K5))</f>
        <v>Home Appliances</v>
      </c>
      <c r="AG5" t="str">
        <f>PROPER(TRIM(J5))</f>
        <v>South</v>
      </c>
      <c r="AH5" t="str">
        <f t="shared" si="0"/>
        <v>Home Appliances</v>
      </c>
      <c r="AI5" t="str">
        <f t="shared" si="1"/>
        <v>Home Appliances</v>
      </c>
      <c r="AK5">
        <f>IF(COUNTIF($A$2:A5,A5)=1,1,0)</f>
        <v>1</v>
      </c>
    </row>
    <row r="6" spans="1:37">
      <c r="A6" s="9" t="s">
        <v>283</v>
      </c>
      <c r="B6" s="10" t="s">
        <v>284</v>
      </c>
      <c r="C6" s="10" t="s">
        <v>258</v>
      </c>
      <c r="D6" s="10" t="s">
        <v>12</v>
      </c>
      <c r="E6" s="10" t="s">
        <v>77</v>
      </c>
      <c r="F6" s="10" t="s">
        <v>285</v>
      </c>
      <c r="G6" s="10" t="s">
        <v>239</v>
      </c>
      <c r="H6" s="11">
        <v>34883</v>
      </c>
      <c r="I6" s="10" t="s">
        <v>286</v>
      </c>
      <c r="J6" s="10" t="s">
        <v>287</v>
      </c>
      <c r="K6" s="10" t="s">
        <v>243</v>
      </c>
      <c r="L6" s="10" t="s">
        <v>262</v>
      </c>
      <c r="M6" s="10">
        <v>14</v>
      </c>
      <c r="N6" s="10">
        <v>12000</v>
      </c>
      <c r="O6" s="10">
        <v>15</v>
      </c>
      <c r="P6" s="10">
        <v>142800</v>
      </c>
      <c r="Q6" s="10">
        <v>4</v>
      </c>
      <c r="R6" s="10" t="s">
        <v>245</v>
      </c>
      <c r="S6" s="10" t="s">
        <v>255</v>
      </c>
      <c r="T6" s="13" t="s">
        <v>288</v>
      </c>
      <c r="U6" s="10">
        <v>9705521654</v>
      </c>
      <c r="V6" s="12" t="s">
        <v>257</v>
      </c>
      <c r="W6" t="str">
        <f>IF(OR(Q6&lt;=2,V6="Cancelled"),"Blacklisted",IF(AND(P6&gt;100000,Q6&gt;=4,O6&lt;=10%,V6="Completed"),"Platinum",IF(AND(P6&gt;=50000,Q6&gt;=3,V6="Completed"),"Gold",IF(AND(P6&lt;50000,V6="Completed"),"Silver",""))))</f>
        <v>Gold</v>
      </c>
      <c r="X6" t="str">
        <f>PROPER(TRIM(F6))</f>
        <v>Priya Patel</v>
      </c>
      <c r="Y6" t="str">
        <f>LEFT(F6,3)&amp;MID(B6,2,3)&amp;LEFT(I6,2)</f>
        <v>Pri002Mu</v>
      </c>
      <c r="Z6" t="str">
        <f>IF(ISNUMBER(SEARCH("@",T6)),LOWER(TRIM(T6)),"invalid email")</f>
        <v>priya.patel@company.com</v>
      </c>
      <c r="AA6" t="str">
        <f ca="1">IF(H5="","",IFERROR(DATEDIF(IF(ISNUMBER(H5),H5,DATE(VALUE(RIGHT(H5,4)),VALUE(MID(H5,3,2)),VALUE(LEFT(H5,2)))),TODAY(),"Y"),""))</f>
        <v/>
      </c>
      <c r="AB6">
        <f>IF(OR(D6="",E6=""),"",IFERROR(DATE(MID(E6,7,4),MID(E6,4,2),LEFT(E6,2))-DATE(MID(D6,7,4),MID(D6,4,2),LEFT(D6,2)),""))</f>
        <v>6</v>
      </c>
      <c r="AC6" t="str">
        <f>IF(E6="","Pending",IF(AB6&lt;=5,"On time","Delayed"))</f>
        <v>Delayed</v>
      </c>
      <c r="AD6" s="29" t="str">
        <f>IF(TRIM(S6)="","Not Assigned",S6)</f>
        <v>Ritika</v>
      </c>
      <c r="AE6" t="str">
        <f>PROPER(TRIM(F6))</f>
        <v>Priya Patel</v>
      </c>
      <c r="AF6" t="str">
        <f>PROPER(TRIM(K6))</f>
        <v>Electronics</v>
      </c>
      <c r="AG6" t="str">
        <f>PROPER(TRIM(J6))</f>
        <v>West</v>
      </c>
      <c r="AH6" t="str">
        <f t="shared" si="0"/>
        <v>Electronics</v>
      </c>
      <c r="AI6" t="str">
        <f t="shared" si="1"/>
        <v>Electronics</v>
      </c>
      <c r="AK6">
        <f>IF(COUNTIF($A$2:A6,A6)=1,1,0)</f>
        <v>1</v>
      </c>
    </row>
    <row r="7" spans="1:37">
      <c r="A7" s="4" t="s">
        <v>289</v>
      </c>
      <c r="B7" s="5" t="s">
        <v>249</v>
      </c>
      <c r="C7" s="5" t="s">
        <v>258</v>
      </c>
      <c r="D7" s="5" t="s">
        <v>202</v>
      </c>
      <c r="E7" s="6">
        <v>46055</v>
      </c>
      <c r="F7" s="5" t="s">
        <v>251</v>
      </c>
      <c r="G7" s="5" t="s">
        <v>239</v>
      </c>
      <c r="H7" s="6">
        <v>35585</v>
      </c>
      <c r="I7" s="5" t="s">
        <v>291</v>
      </c>
      <c r="J7" s="5" t="s">
        <v>287</v>
      </c>
      <c r="K7" s="5" t="s">
        <v>243</v>
      </c>
      <c r="L7" s="5" t="s">
        <v>262</v>
      </c>
      <c r="M7" s="5">
        <v>4</v>
      </c>
      <c r="N7" s="5">
        <v>12000</v>
      </c>
      <c r="O7" s="5">
        <v>15</v>
      </c>
      <c r="P7" s="5">
        <v>40800</v>
      </c>
      <c r="Q7" s="5">
        <v>4</v>
      </c>
      <c r="R7" s="5" t="s">
        <v>277</v>
      </c>
      <c r="S7" s="5" t="s">
        <v>292</v>
      </c>
      <c r="T7" s="5" t="s">
        <v>264</v>
      </c>
      <c r="U7" s="5">
        <v>9588041011</v>
      </c>
      <c r="V7" s="8" t="s">
        <v>257</v>
      </c>
      <c r="W7" t="str">
        <f>IF(OR(Q7&lt;=2,V7="Cancelled"),"Blacklisted",IF(AND(P7&gt;100000,Q7&gt;=4,O7&lt;=10%,V7="Completed"),"Platinum",IF(AND(P7&gt;=50000,Q7&gt;=3,V7="Completed"),"Gold",IF(AND(P7&lt;50000,V7="Completed"),"Silver",""))))</f>
        <v>Silver</v>
      </c>
      <c r="X7" t="str">
        <f>PROPER(TRIM(F7))</f>
        <v>Kavya Nair</v>
      </c>
      <c r="Y7" t="str">
        <f>LEFT(F7,3)&amp;MID(B7,2,3)&amp;LEFT(I7,2)</f>
        <v>Kav008Pu</v>
      </c>
      <c r="Z7" t="str">
        <f>IF(ISNUMBER(SEARCH("@",T7)),LOWER(TRIM(T7)),"invalid email")</f>
        <v>kavya.nair@company.com</v>
      </c>
      <c r="AA7">
        <f ca="1">IF(H6="","",IFERROR(DATEDIF(IF(ISNUMBER(H6),H6,DATE(VALUE(RIGHT(H6,4)),VALUE(MID(H6,3,2)),VALUE(LEFT(H6,2)))),TODAY(),"Y"),""))</f>
        <v>31</v>
      </c>
      <c r="AB7" t="str">
        <f>IF(OR(D7="",E7=""),"",IFERROR(DATE(MID(E7,7,4),MID(E7,4,2),LEFT(E7,2))-DATE(MID(D7,7,4),MID(D7,4,2),LEFT(D7,2)),""))</f>
        <v/>
      </c>
      <c r="AC7" t="str">
        <f>IF(E7="","Pending",IF(AB7&lt;=5,"On time","Delayed"))</f>
        <v>Delayed</v>
      </c>
      <c r="AD7" s="29" t="str">
        <f>IF(TRIM(S7)="","Not Assigned",S7)</f>
        <v>Neha</v>
      </c>
      <c r="AE7" t="str">
        <f>PROPER(TRIM(F7))</f>
        <v>Kavya Nair</v>
      </c>
      <c r="AF7" t="str">
        <f>PROPER(TRIM(K7))</f>
        <v>Electronics</v>
      </c>
      <c r="AG7" t="str">
        <f>PROPER(TRIM(J7))</f>
        <v>West</v>
      </c>
      <c r="AH7" t="str">
        <f t="shared" si="0"/>
        <v>Electronics</v>
      </c>
      <c r="AI7" t="str">
        <f t="shared" si="1"/>
        <v>Electronics</v>
      </c>
      <c r="AK7">
        <f>IF(COUNTIF($A$2:A7,A7)=1,1,0)</f>
        <v>1</v>
      </c>
    </row>
    <row r="8" spans="1:37">
      <c r="A8" s="9" t="s">
        <v>293</v>
      </c>
      <c r="B8" s="10" t="s">
        <v>284</v>
      </c>
      <c r="C8" s="10" t="s">
        <v>294</v>
      </c>
      <c r="D8" s="10" t="s">
        <v>140</v>
      </c>
      <c r="E8" s="10" t="s">
        <v>163</v>
      </c>
      <c r="F8" s="10" t="s">
        <v>285</v>
      </c>
      <c r="G8" s="10" t="s">
        <v>239</v>
      </c>
      <c r="H8" s="11">
        <v>33055</v>
      </c>
      <c r="I8" s="10" t="s">
        <v>286</v>
      </c>
      <c r="J8" s="10" t="s">
        <v>287</v>
      </c>
      <c r="K8" s="10" t="s">
        <v>295</v>
      </c>
      <c r="L8" s="10" t="s">
        <v>296</v>
      </c>
      <c r="M8" s="10">
        <v>6</v>
      </c>
      <c r="N8" s="10">
        <v>60</v>
      </c>
      <c r="O8" s="10">
        <v>0</v>
      </c>
      <c r="P8" s="10">
        <v>360</v>
      </c>
      <c r="Q8" s="10">
        <v>4</v>
      </c>
      <c r="R8" s="10" t="s">
        <v>272</v>
      </c>
      <c r="S8" s="10" t="s">
        <v>292</v>
      </c>
      <c r="T8" s="13" t="s">
        <v>297</v>
      </c>
      <c r="U8" s="10">
        <v>9340540608</v>
      </c>
      <c r="V8" s="12" t="s">
        <v>257</v>
      </c>
      <c r="W8" t="str">
        <f>IF(OR(Q8&lt;=2,V8="Cancelled"),"Blacklisted",IF(AND(P8&gt;100000,Q8&gt;=4,O8&lt;=10%,V8="Completed"),"Platinum",IF(AND(P8&gt;=50000,Q8&gt;=3,V8="Completed"),"Gold",IF(AND(P8&lt;50000,V8="Completed"),"Silver",""))))</f>
        <v>Silver</v>
      </c>
      <c r="X8" t="str">
        <f>PROPER(TRIM(F8))</f>
        <v>Priya Patel</v>
      </c>
      <c r="Y8" t="str">
        <f>LEFT(F8,3)&amp;MID(B8,2,3)&amp;LEFT(I8,2)</f>
        <v>Pri002Mu</v>
      </c>
      <c r="Z8" t="str">
        <f>IF(ISNUMBER(SEARCH("@",T8)),LOWER(TRIM(T8)),"invalid email")</f>
        <v>priya.patel@company.com</v>
      </c>
      <c r="AA8">
        <f ca="1">IF(H7="","",IFERROR(DATEDIF(IF(ISNUMBER(H7),H7,DATE(VALUE(RIGHT(H7,4)),VALUE(MID(H7,3,2)),VALUE(LEFT(H7,2)))),TODAY(),"Y"),""))</f>
        <v>29</v>
      </c>
      <c r="AB8">
        <f>IF(OR(D8="",E8=""),"",IFERROR(DATE(MID(E8,7,4),MID(E8,4,2),LEFT(E8,2))-DATE(MID(D8,7,4),MID(D8,4,2),LEFT(D8,2)),""))</f>
        <v>2</v>
      </c>
      <c r="AC8" t="str">
        <f>IF(E8="","Pending",IF(AB8&lt;=5,"On time","Delayed"))</f>
        <v>On time</v>
      </c>
      <c r="AD8" s="29" t="str">
        <f>IF(TRIM(S8)="","Not Assigned",S8)</f>
        <v>Neha</v>
      </c>
      <c r="AE8" t="str">
        <f>PROPER(TRIM(F8))</f>
        <v>Priya Patel</v>
      </c>
      <c r="AF8" t="str">
        <f>PROPER(TRIM(K8))</f>
        <v>Stationery</v>
      </c>
      <c r="AG8" t="str">
        <f>PROPER(TRIM(J8))</f>
        <v>West</v>
      </c>
      <c r="AH8" t="str">
        <f t="shared" si="0"/>
        <v>Stationery</v>
      </c>
      <c r="AI8" t="str">
        <f t="shared" si="1"/>
        <v>Stationery</v>
      </c>
      <c r="AK8">
        <f>IF(COUNTIF($A$2:A8,A8)=1,1,0)</f>
        <v>1</v>
      </c>
    </row>
    <row r="9" spans="1:37">
      <c r="A9" s="4" t="s">
        <v>298</v>
      </c>
      <c r="B9" s="5" t="s">
        <v>299</v>
      </c>
      <c r="C9" s="5" t="s">
        <v>250</v>
      </c>
      <c r="D9" s="5" t="s">
        <v>83</v>
      </c>
      <c r="E9" s="5" t="s">
        <v>300</v>
      </c>
      <c r="F9" s="5" t="s">
        <v>301</v>
      </c>
      <c r="G9" s="5" t="s">
        <v>269</v>
      </c>
      <c r="H9" s="6">
        <v>30229</v>
      </c>
      <c r="I9" s="5" t="s">
        <v>260</v>
      </c>
      <c r="J9" s="5" t="s">
        <v>261</v>
      </c>
      <c r="K9" s="5" t="s">
        <v>15</v>
      </c>
      <c r="L9" s="5" t="s">
        <v>253</v>
      </c>
      <c r="M9" s="5">
        <v>-3</v>
      </c>
      <c r="N9" s="5">
        <v>2200</v>
      </c>
      <c r="O9" s="5">
        <v>0</v>
      </c>
      <c r="P9" s="5">
        <v>35200</v>
      </c>
      <c r="Q9" s="5">
        <v>2</v>
      </c>
      <c r="R9" s="5" t="s">
        <v>272</v>
      </c>
      <c r="S9" s="5" t="s">
        <v>263</v>
      </c>
      <c r="T9" s="5" t="s">
        <v>302</v>
      </c>
      <c r="U9" s="5">
        <v>9521710321</v>
      </c>
      <c r="V9" s="8" t="s">
        <v>248</v>
      </c>
      <c r="W9" t="str">
        <f>IF(OR(Q9&lt;=2,V9="Cancelled"),"Blacklisted",IF(AND(P9&gt;100000,Q9&gt;=4,O9&lt;=10%,V9="Completed"),"Platinum",IF(AND(P9&gt;=50000,Q9&gt;=3,V9="Completed"),"Gold",IF(AND(P9&lt;50000,V9="Completed"),"Silver",""))))</f>
        <v>Blacklisted</v>
      </c>
      <c r="X9" t="str">
        <f>PROPER(TRIM(F9))</f>
        <v>Rohit Singh</v>
      </c>
      <c r="Y9" t="str">
        <f>LEFT(F9,3)&amp;MID(B9,2,3)&amp;LEFT(I9,2)</f>
        <v>Roh003De</v>
      </c>
      <c r="Z9" t="str">
        <f>IF(ISNUMBER(SEARCH("@",T9)),LOWER(TRIM(T9)),"invalid email")</f>
        <v>rohit.singh@company.com</v>
      </c>
      <c r="AA9">
        <f ca="1">IF(H8="","",IFERROR(DATEDIF(IF(ISNUMBER(H8),H8,DATE(VALUE(RIGHT(H8,4)),VALUE(MID(H8,3,2)),VALUE(LEFT(H8,2)))),TODAY(),"Y"),""))</f>
        <v>36</v>
      </c>
      <c r="AB9">
        <f>IF(OR(D9="",E9=""),"",IFERROR(DATE(MID(E9,7,4),MID(E9,4,2),LEFT(E9,2))-DATE(MID(D9,7,4),MID(D9,4,2),LEFT(D9,2)),""))</f>
        <v>4</v>
      </c>
      <c r="AC9" t="str">
        <f>IF(E9="","Pending",IF(AB9&lt;=5,"On time","Delayed"))</f>
        <v>On time</v>
      </c>
      <c r="AD9" s="29" t="str">
        <f>IF(TRIM(S9)="","Not Assigned",S9)</f>
        <v>Rahul</v>
      </c>
      <c r="AE9" t="str">
        <f>PROPER(TRIM(F9))</f>
        <v>Rohit Singh</v>
      </c>
      <c r="AF9" t="str">
        <f>PROPER(TRIM(K9))</f>
        <v>Home Appliances</v>
      </c>
      <c r="AG9" t="str">
        <f>PROPER(TRIM(J9))</f>
        <v>North</v>
      </c>
      <c r="AH9" t="str">
        <f t="shared" si="0"/>
        <v>Home Appliances</v>
      </c>
      <c r="AI9" t="str">
        <f t="shared" si="1"/>
        <v>Home Appliances</v>
      </c>
      <c r="AK9">
        <f>IF(COUNTIF($A$2:A9,A9)=1,1,0)</f>
        <v>1</v>
      </c>
    </row>
    <row r="10" spans="1:37">
      <c r="A10" s="9" t="s">
        <v>303</v>
      </c>
      <c r="B10" s="10" t="s">
        <v>249</v>
      </c>
      <c r="C10" s="10" t="s">
        <v>280</v>
      </c>
      <c r="D10" s="11">
        <v>45872</v>
      </c>
      <c r="E10" s="10" t="s">
        <v>304</v>
      </c>
      <c r="F10" s="10" t="s">
        <v>251</v>
      </c>
      <c r="G10" s="10" t="s">
        <v>239</v>
      </c>
      <c r="H10" s="10" t="s">
        <v>305</v>
      </c>
      <c r="I10" s="10" t="s">
        <v>306</v>
      </c>
      <c r="J10" s="10" t="s">
        <v>287</v>
      </c>
      <c r="K10" s="10" t="s">
        <v>15</v>
      </c>
      <c r="L10" s="10" t="s">
        <v>282</v>
      </c>
      <c r="M10" s="10">
        <v>10</v>
      </c>
      <c r="N10" s="10">
        <v>3500</v>
      </c>
      <c r="O10" s="10">
        <v>5</v>
      </c>
      <c r="P10" s="10">
        <v>33250</v>
      </c>
      <c r="Q10" s="10">
        <v>5</v>
      </c>
      <c r="R10" s="10" t="s">
        <v>272</v>
      </c>
      <c r="S10" s="10" t="s">
        <v>246</v>
      </c>
      <c r="T10" s="10" t="s">
        <v>264</v>
      </c>
      <c r="U10" s="10">
        <v>9123535241</v>
      </c>
      <c r="V10" s="12" t="s">
        <v>265</v>
      </c>
      <c r="W10" t="str">
        <f>IF(OR(Q10&lt;=2,V10="Cancelled"),"Blacklisted",IF(AND(P10&gt;100000,Q10&gt;=4,O10&lt;=10%,V10="Completed"),"Platinum",IF(AND(P10&gt;=50000,Q10&gt;=3,V10="Completed"),"Gold",IF(AND(P10&lt;50000,V10="Completed"),"Silver",""))))</f>
        <v>Blacklisted</v>
      </c>
      <c r="X10" t="str">
        <f>PROPER(TRIM(F10))</f>
        <v>Kavya Nair</v>
      </c>
      <c r="Y10" t="str">
        <f>LEFT(F10,3)&amp;MID(B10,2,3)&amp;LEFT(I10,2)</f>
        <v>Kav008Ah</v>
      </c>
      <c r="Z10" t="str">
        <f>IF(ISNUMBER(SEARCH("@",T10)),LOWER(TRIM(T10)),"invalid email")</f>
        <v>kavya.nair@company.com</v>
      </c>
      <c r="AA10">
        <f ca="1">IF(H9="","",IFERROR(DATEDIF(IF(ISNUMBER(H9),H9,DATE(VALUE(RIGHT(H9,4)),VALUE(MID(H9,3,2)),VALUE(LEFT(H9,2)))),TODAY(),"Y"),""))</f>
        <v>44</v>
      </c>
      <c r="AB10" t="str">
        <f>IF(OR(D10="",E10=""),"",IFERROR(DATE(MID(E10,7,4),MID(E10,4,2),LEFT(E10,2))-DATE(MID(D10,7,4),MID(D10,4,2),LEFT(D10,2)),""))</f>
        <v/>
      </c>
      <c r="AC10" t="str">
        <f>IF(E10="","Pending",IF(AB10&lt;=5,"On time","Delayed"))</f>
        <v>Delayed</v>
      </c>
      <c r="AD10" s="29" t="str">
        <f>IF(TRIM(S10)="","Not Assigned",S10)</f>
        <v>Aisha</v>
      </c>
      <c r="AE10" t="str">
        <f>PROPER(TRIM(F10))</f>
        <v>Kavya Nair</v>
      </c>
      <c r="AF10" t="str">
        <f>PROPER(TRIM(K10))</f>
        <v>Home Appliances</v>
      </c>
      <c r="AG10" t="str">
        <f>PROPER(TRIM(J10))</f>
        <v>West</v>
      </c>
      <c r="AH10" t="str">
        <f t="shared" si="0"/>
        <v>Home Appliances</v>
      </c>
      <c r="AI10" t="str">
        <f t="shared" si="1"/>
        <v>Home Appliances</v>
      </c>
      <c r="AK10">
        <f>IF(COUNTIF($A$2:A10,A10)=1,1,0)</f>
        <v>1</v>
      </c>
    </row>
    <row r="11" spans="1:37">
      <c r="A11" s="4" t="s">
        <v>307</v>
      </c>
      <c r="B11" s="5" t="s">
        <v>284</v>
      </c>
      <c r="C11" s="5" t="s">
        <v>250</v>
      </c>
      <c r="D11" s="6">
        <v>45931</v>
      </c>
      <c r="E11" s="5" t="s">
        <v>31</v>
      </c>
      <c r="F11" s="5" t="s">
        <v>285</v>
      </c>
      <c r="G11" s="5" t="s">
        <v>239</v>
      </c>
      <c r="H11" s="6">
        <v>33762</v>
      </c>
      <c r="I11" s="5" t="s">
        <v>291</v>
      </c>
      <c r="J11" s="5" t="s">
        <v>287</v>
      </c>
      <c r="K11" s="5" t="s">
        <v>15</v>
      </c>
      <c r="L11" s="5" t="s">
        <v>253</v>
      </c>
      <c r="M11" s="5">
        <v>15</v>
      </c>
      <c r="N11" s="5">
        <v>2200</v>
      </c>
      <c r="O11" s="5">
        <v>10</v>
      </c>
      <c r="P11" s="5">
        <v>29700</v>
      </c>
      <c r="Q11" s="5">
        <v>1</v>
      </c>
      <c r="R11" s="5" t="s">
        <v>277</v>
      </c>
      <c r="S11" s="5" t="s">
        <v>292</v>
      </c>
      <c r="T11" s="5" t="s">
        <v>308</v>
      </c>
      <c r="U11" s="5">
        <v>9367316892</v>
      </c>
      <c r="V11" s="8" t="s">
        <v>248</v>
      </c>
      <c r="W11" t="str">
        <f>IF(OR(Q11&lt;=2,V11="Cancelled"),"Blacklisted",IF(AND(P11&gt;100000,Q11&gt;=4,O11&lt;=10%,V11="Completed"),"Platinum",IF(AND(P11&gt;=50000,Q11&gt;=3,V11="Completed"),"Gold",IF(AND(P11&lt;50000,V11="Completed"),"Silver",""))))</f>
        <v>Blacklisted</v>
      </c>
      <c r="X11" t="str">
        <f>PROPER(TRIM(F11))</f>
        <v>Priya Patel</v>
      </c>
      <c r="Y11" t="str">
        <f>LEFT(F11,3)&amp;MID(B11,2,3)&amp;LEFT(I11,2)</f>
        <v>Pri002Pu</v>
      </c>
      <c r="Z11" t="str">
        <f>IF(ISNUMBER(SEARCH("@",T11)),LOWER(TRIM(T11)),"invalid email")</f>
        <v>priya.patel@company.com</v>
      </c>
      <c r="AA11" t="str">
        <f ca="1">IF(H10="","",IFERROR(DATEDIF(IF(ISNUMBER(H10),H10,DATE(VALUE(RIGHT(H10,4)),VALUE(MID(H10,3,2)),VALUE(LEFT(H10,2)))),TODAY(),"Y"),""))</f>
        <v/>
      </c>
      <c r="AB11" t="str">
        <f>IF(OR(D11="",E11=""),"",IFERROR(DATE(MID(E11,7,4),MID(E11,4,2),LEFT(E11,2))-DATE(MID(D11,7,4),MID(D11,4,2),LEFT(D11,2)),""))</f>
        <v/>
      </c>
      <c r="AC11" t="str">
        <f>IF(E11="","Pending",IF(AB11&lt;=5,"On time","Delayed"))</f>
        <v>Delayed</v>
      </c>
      <c r="AD11" s="29" t="str">
        <f>IF(TRIM(S11)="","Not Assigned",S11)</f>
        <v>Neha</v>
      </c>
      <c r="AE11" t="str">
        <f>PROPER(TRIM(F11))</f>
        <v>Priya Patel</v>
      </c>
      <c r="AF11" t="str">
        <f>PROPER(TRIM(K11))</f>
        <v>Home Appliances</v>
      </c>
      <c r="AG11" t="str">
        <f>PROPER(TRIM(J11))</f>
        <v>West</v>
      </c>
      <c r="AH11" t="str">
        <f t="shared" si="0"/>
        <v>Home Appliances</v>
      </c>
      <c r="AI11" t="str">
        <f t="shared" si="1"/>
        <v>Home Appliances</v>
      </c>
      <c r="AK11">
        <f>IF(COUNTIF($A$2:A11,A11)=1,1,0)</f>
        <v>1</v>
      </c>
    </row>
    <row r="12" spans="1:37">
      <c r="A12" s="9" t="s">
        <v>309</v>
      </c>
      <c r="B12" s="10" t="s">
        <v>299</v>
      </c>
      <c r="C12" s="10" t="s">
        <v>250</v>
      </c>
      <c r="D12" s="11">
        <v>45903</v>
      </c>
      <c r="E12" s="10" t="s">
        <v>10</v>
      </c>
      <c r="F12" s="10" t="s">
        <v>301</v>
      </c>
      <c r="G12" s="10" t="s">
        <v>269</v>
      </c>
      <c r="H12" s="10" t="s">
        <v>311</v>
      </c>
      <c r="I12" s="10" t="s">
        <v>286</v>
      </c>
      <c r="J12" s="10" t="s">
        <v>287</v>
      </c>
      <c r="K12" s="10" t="s">
        <v>15</v>
      </c>
      <c r="L12" s="10" t="s">
        <v>253</v>
      </c>
      <c r="M12" s="10">
        <v>17</v>
      </c>
      <c r="N12" s="10">
        <v>2200</v>
      </c>
      <c r="O12" s="10">
        <v>5</v>
      </c>
      <c r="P12" s="10">
        <v>35530</v>
      </c>
      <c r="Q12" s="10">
        <v>1</v>
      </c>
      <c r="R12" s="10" t="s">
        <v>254</v>
      </c>
      <c r="S12" s="10" t="s">
        <v>312</v>
      </c>
      <c r="T12" s="13" t="s">
        <v>313</v>
      </c>
      <c r="U12" s="10">
        <v>9778489803</v>
      </c>
      <c r="V12" s="12" t="s">
        <v>257</v>
      </c>
      <c r="W12" t="str">
        <f>IF(OR(Q12&lt;=2,V12="Cancelled"),"Blacklisted",IF(AND(P12&gt;100000,Q12&gt;=4,O12&lt;=10%,V12="Completed"),"Platinum",IF(AND(P12&gt;=50000,Q12&gt;=3,V12="Completed"),"Gold",IF(AND(P12&lt;50000,V12="Completed"),"Silver",""))))</f>
        <v>Blacklisted</v>
      </c>
      <c r="X12" t="str">
        <f>PROPER(TRIM(F12))</f>
        <v>Rohit Singh</v>
      </c>
      <c r="Y12" t="str">
        <f>LEFT(F12,3)&amp;MID(B12,2,3)&amp;LEFT(I12,2)</f>
        <v>Roh003Mu</v>
      </c>
      <c r="Z12" t="str">
        <f>IF(ISNUMBER(SEARCH("@",T12)),LOWER(TRIM(T12)),"invalid email")</f>
        <v>rohit.singh@company.com</v>
      </c>
      <c r="AA12">
        <f ca="1">IF(H11="","",IFERROR(DATEDIF(IF(ISNUMBER(H11),H11,DATE(VALUE(RIGHT(H11,4)),VALUE(MID(H11,3,2)),VALUE(LEFT(H11,2)))),TODAY(),"Y"),""))</f>
        <v>34</v>
      </c>
      <c r="AB12" t="str">
        <f>IF(OR(D12="",E12=""),"",IFERROR(DATE(MID(E12,7,4),MID(E12,4,2),LEFT(E12,2))-DATE(MID(D12,7,4),MID(D12,4,2),LEFT(D12,2)),""))</f>
        <v/>
      </c>
      <c r="AC12" t="str">
        <f>IF(E12="","Pending",IF(AB12&lt;=5,"On time","Delayed"))</f>
        <v>Delayed</v>
      </c>
      <c r="AD12" s="29" t="str">
        <f>IF(TRIM(S12)="","Not Assigned",S12)</f>
        <v>Karan</v>
      </c>
      <c r="AE12" t="str">
        <f>PROPER(TRIM(F12))</f>
        <v>Rohit Singh</v>
      </c>
      <c r="AF12" t="str">
        <f>PROPER(TRIM(K12))</f>
        <v>Home Appliances</v>
      </c>
      <c r="AG12" t="str">
        <f>PROPER(TRIM(J12))</f>
        <v>West</v>
      </c>
      <c r="AH12" t="str">
        <f t="shared" si="0"/>
        <v>Home Appliances</v>
      </c>
      <c r="AI12" t="str">
        <f t="shared" si="1"/>
        <v>Home Appliances</v>
      </c>
      <c r="AK12">
        <f>IF(COUNTIF($A$2:A12,A12)=1,1,0)</f>
        <v>1</v>
      </c>
    </row>
    <row r="13" spans="1:37">
      <c r="A13" s="4" t="s">
        <v>314</v>
      </c>
      <c r="B13" s="5" t="s">
        <v>249</v>
      </c>
      <c r="C13" s="5" t="s">
        <v>280</v>
      </c>
      <c r="D13" s="5" t="s">
        <v>157</v>
      </c>
      <c r="E13" s="6">
        <v>45846</v>
      </c>
      <c r="F13" s="5" t="s">
        <v>251</v>
      </c>
      <c r="G13" s="5" t="s">
        <v>239</v>
      </c>
      <c r="H13" s="5" t="s">
        <v>316</v>
      </c>
      <c r="I13" s="5" t="s">
        <v>286</v>
      </c>
      <c r="J13" s="5" t="s">
        <v>287</v>
      </c>
      <c r="K13" s="5" t="s">
        <v>15</v>
      </c>
      <c r="L13" s="5" t="s">
        <v>282</v>
      </c>
      <c r="M13" s="5">
        <v>15</v>
      </c>
      <c r="N13" s="5">
        <v>3500</v>
      </c>
      <c r="O13" s="5">
        <v>15</v>
      </c>
      <c r="P13" s="5">
        <v>44625</v>
      </c>
      <c r="Q13" s="5">
        <v>2</v>
      </c>
      <c r="R13" s="5" t="s">
        <v>254</v>
      </c>
      <c r="S13" s="5" t="s">
        <v>292</v>
      </c>
      <c r="T13" s="7" t="s">
        <v>264</v>
      </c>
      <c r="U13" s="5">
        <v>9582960180</v>
      </c>
      <c r="V13" s="8" t="s">
        <v>265</v>
      </c>
      <c r="W13" t="str">
        <f>IF(OR(Q13&lt;=2,V13="Cancelled"),"Blacklisted",IF(AND(P13&gt;100000,Q13&gt;=4,O13&lt;=10%,V13="Completed"),"Platinum",IF(AND(P13&gt;=50000,Q13&gt;=3,V13="Completed"),"Gold",IF(AND(P13&lt;50000,V13="Completed"),"Silver",""))))</f>
        <v>Blacklisted</v>
      </c>
      <c r="X13" t="str">
        <f>PROPER(TRIM(F13))</f>
        <v>Kavya Nair</v>
      </c>
      <c r="Y13" t="str">
        <f>LEFT(F13,3)&amp;MID(B13,2,3)&amp;LEFT(I13,2)</f>
        <v>Kav008Mu</v>
      </c>
      <c r="Z13" t="str">
        <f>IF(ISNUMBER(SEARCH("@",T13)),LOWER(TRIM(T13)),"invalid email")</f>
        <v>kavya.nair@company.com</v>
      </c>
      <c r="AA13" t="str">
        <f ca="1">IF(H12="","",IFERROR(DATEDIF(IF(ISNUMBER(H12),H12,DATE(VALUE(RIGHT(H12,4)),VALUE(MID(H12,3,2)),VALUE(LEFT(H12,2)))),TODAY(),"Y"),""))</f>
        <v/>
      </c>
      <c r="AB13" t="str">
        <f>IF(OR(D13="",E13=""),"",IFERROR(DATE(MID(E13,7,4),MID(E13,4,2),LEFT(E13,2))-DATE(MID(D13,7,4),MID(D13,4,2),LEFT(D13,2)),""))</f>
        <v/>
      </c>
      <c r="AC13" t="str">
        <f>IF(E13="","Pending",IF(AB13&lt;=5,"On time","Delayed"))</f>
        <v>Delayed</v>
      </c>
      <c r="AD13" s="29" t="str">
        <f>IF(TRIM(S13)="","Not Assigned",S13)</f>
        <v>Neha</v>
      </c>
      <c r="AE13" t="str">
        <f>PROPER(TRIM(F13))</f>
        <v>Kavya Nair</v>
      </c>
      <c r="AF13" t="str">
        <f>PROPER(TRIM(K13))</f>
        <v>Home Appliances</v>
      </c>
      <c r="AG13" t="str">
        <f>PROPER(TRIM(J13))</f>
        <v>West</v>
      </c>
      <c r="AH13" t="str">
        <f t="shared" si="0"/>
        <v>Home Appliances</v>
      </c>
      <c r="AI13" t="str">
        <f t="shared" si="1"/>
        <v>Home Appliances</v>
      </c>
      <c r="AK13">
        <f>IF(COUNTIF($A$2:A13,A13)=1,1,0)</f>
        <v>1</v>
      </c>
    </row>
    <row r="14" spans="1:37">
      <c r="A14" s="9" t="s">
        <v>317</v>
      </c>
      <c r="B14" s="10" t="s">
        <v>235</v>
      </c>
      <c r="C14" s="10" t="s">
        <v>267</v>
      </c>
      <c r="D14" s="11">
        <v>46238</v>
      </c>
      <c r="E14" s="11">
        <v>46330</v>
      </c>
      <c r="F14" s="10" t="s">
        <v>318</v>
      </c>
      <c r="G14" s="10" t="s">
        <v>239</v>
      </c>
      <c r="H14" s="11">
        <v>37564</v>
      </c>
      <c r="I14" s="10" t="s">
        <v>252</v>
      </c>
      <c r="J14" s="10" t="s">
        <v>242</v>
      </c>
      <c r="K14" s="10" t="s">
        <v>243</v>
      </c>
      <c r="L14" s="10" t="s">
        <v>271</v>
      </c>
      <c r="M14" s="10">
        <v>3</v>
      </c>
      <c r="N14" s="10">
        <v>1200</v>
      </c>
      <c r="O14" s="10">
        <v>5</v>
      </c>
      <c r="P14" s="10">
        <v>3420</v>
      </c>
      <c r="Q14" s="10">
        <v>5</v>
      </c>
      <c r="R14" s="10" t="s">
        <v>277</v>
      </c>
      <c r="S14" s="10" t="s">
        <v>255</v>
      </c>
      <c r="T14" s="10" t="s">
        <v>319</v>
      </c>
      <c r="U14" s="10">
        <v>9611394005</v>
      </c>
      <c r="V14" s="12" t="s">
        <v>257</v>
      </c>
      <c r="W14" t="str">
        <f>IF(OR(Q14&lt;=2,V14="Cancelled"),"Blacklisted",IF(AND(P14&gt;100000,Q14&gt;=4,O14&lt;=10%,V14="Completed"),"Platinum",IF(AND(P14&gt;=50000,Q14&gt;=3,V14="Completed"),"Gold",IF(AND(P14&lt;50000,V14="Completed"),"Silver",""))))</f>
        <v>Silver</v>
      </c>
      <c r="X14" t="str">
        <f>PROPER(TRIM(F14))</f>
        <v>Pooja Shah</v>
      </c>
      <c r="Y14" t="str">
        <f>LEFT(F14,3)&amp;MID(B14,2,3)&amp;LEFT(I14,2)</f>
        <v>Poo010Hy</v>
      </c>
      <c r="Z14" t="str">
        <f>IF(ISNUMBER(SEARCH("@",T14)),LOWER(TRIM(T14)),"invalid email")</f>
        <v>invalid email</v>
      </c>
      <c r="AA14" t="str">
        <f ca="1">IF(H13="","",IFERROR(DATEDIF(IF(ISNUMBER(H13),H13,DATE(VALUE(RIGHT(H13,4)),VALUE(MID(H13,3,2)),VALUE(LEFT(H13,2)))),TODAY(),"Y"),""))</f>
        <v/>
      </c>
      <c r="AB14" t="str">
        <f>IF(OR(D14="",E14=""),"",IFERROR(DATE(MID(E14,7,4),MID(E14,4,2),LEFT(E14,2))-DATE(MID(D14,7,4),MID(D14,4,2),LEFT(D14,2)),""))</f>
        <v/>
      </c>
      <c r="AC14" t="str">
        <f>IF(E14="","Pending",IF(AB14&lt;=5,"On time","Delayed"))</f>
        <v>Delayed</v>
      </c>
      <c r="AD14" s="29" t="str">
        <f>IF(TRIM(S14)="","Not Assigned",S14)</f>
        <v>Ritika</v>
      </c>
      <c r="AE14" t="str">
        <f>PROPER(TRIM(F14))</f>
        <v>Pooja Shah</v>
      </c>
      <c r="AF14" t="str">
        <f>PROPER(TRIM(K14))</f>
        <v>Electronics</v>
      </c>
      <c r="AG14" t="str">
        <f>PROPER(TRIM(J14))</f>
        <v>South</v>
      </c>
      <c r="AH14" t="str">
        <f t="shared" si="0"/>
        <v>Electronics</v>
      </c>
      <c r="AI14" t="str">
        <f t="shared" si="1"/>
        <v>Electronics</v>
      </c>
      <c r="AK14">
        <f>IF(COUNTIF($A$2:A14,A14)=1,1,0)</f>
        <v>1</v>
      </c>
    </row>
    <row r="15" spans="1:37">
      <c r="A15" s="4" t="s">
        <v>320</v>
      </c>
      <c r="B15" s="5" t="s">
        <v>321</v>
      </c>
      <c r="C15" s="5" t="s">
        <v>322</v>
      </c>
      <c r="D15" s="5" t="s">
        <v>108</v>
      </c>
      <c r="E15" s="6">
        <v>46084</v>
      </c>
      <c r="F15" s="5" t="s">
        <v>323</v>
      </c>
      <c r="G15" s="5" t="s">
        <v>239</v>
      </c>
      <c r="H15" s="5" t="s">
        <v>324</v>
      </c>
      <c r="I15" s="5" t="s">
        <v>291</v>
      </c>
      <c r="J15" s="5" t="s">
        <v>287</v>
      </c>
      <c r="K15" s="5" t="s">
        <v>15</v>
      </c>
      <c r="L15" s="5" t="s">
        <v>325</v>
      </c>
      <c r="M15" s="5">
        <v>13</v>
      </c>
      <c r="N15" s="5">
        <v>8500</v>
      </c>
      <c r="O15" s="5">
        <v>20</v>
      </c>
      <c r="P15" s="5">
        <v>88400</v>
      </c>
      <c r="Q15" s="5">
        <v>4</v>
      </c>
      <c r="R15" s="5" t="s">
        <v>272</v>
      </c>
      <c r="S15" s="5" t="s">
        <v>263</v>
      </c>
      <c r="T15" s="5" t="s">
        <v>326</v>
      </c>
      <c r="U15" s="5">
        <v>9692599404</v>
      </c>
      <c r="V15" s="8" t="s">
        <v>248</v>
      </c>
      <c r="W15" t="str">
        <f>IF(OR(Q15&lt;=2,V15="Cancelled"),"Blacklisted",IF(AND(P15&gt;100000,Q15&gt;=4,O15&lt;=10%,V15="Completed"),"Platinum",IF(AND(P15&gt;=50000,Q15&gt;=3,V15="Completed"),"Gold",IF(AND(P15&lt;50000,V15="Completed"),"Silver",""))))</f>
        <v/>
      </c>
      <c r="X15" t="str">
        <f>PROPER(TRIM(F15))</f>
        <v>Amit Sharma</v>
      </c>
      <c r="Y15" t="str">
        <f>LEFT(F15,3)&amp;MID(B15,2,3)&amp;LEFT(I15,2)</f>
        <v>Ami004Pu</v>
      </c>
      <c r="Z15" t="str">
        <f>IF(ISNUMBER(SEARCH("@",T15)),LOWER(TRIM(T15)),"invalid email")</f>
        <v>anita.gupta@company.com</v>
      </c>
      <c r="AA15">
        <f ca="1">IF(H14="","",IFERROR(DATEDIF(IF(ISNUMBER(H14),H14,DATE(VALUE(RIGHT(H14,4)),VALUE(MID(H14,3,2)),VALUE(LEFT(H14,2)))),TODAY(),"Y"),""))</f>
        <v>23</v>
      </c>
      <c r="AB15" t="str">
        <f>IF(OR(D15="",E15=""),"",IFERROR(DATE(MID(E15,7,4),MID(E15,4,2),LEFT(E15,2))-DATE(MID(D15,7,4),MID(D15,4,2),LEFT(D15,2)),""))</f>
        <v/>
      </c>
      <c r="AC15" t="str">
        <f>IF(E15="","Pending",IF(AB15&lt;=5,"On time","Delayed"))</f>
        <v>Delayed</v>
      </c>
      <c r="AD15" s="29" t="str">
        <f>IF(TRIM(S15)="","Not Assigned",S15)</f>
        <v>Rahul</v>
      </c>
      <c r="AE15" t="str">
        <f>PROPER(TRIM(F15))</f>
        <v>Amit Sharma</v>
      </c>
      <c r="AF15" t="str">
        <f>PROPER(TRIM(K15))</f>
        <v>Home Appliances</v>
      </c>
      <c r="AG15" t="str">
        <f>PROPER(TRIM(J15))</f>
        <v>West</v>
      </c>
      <c r="AH15" t="str">
        <f t="shared" si="0"/>
        <v>Home Appliances</v>
      </c>
      <c r="AI15" t="str">
        <f t="shared" si="1"/>
        <v>Home Appliances</v>
      </c>
      <c r="AK15">
        <f>IF(COUNTIF($A$2:A15,A15)=1,1,0)</f>
        <v>1</v>
      </c>
    </row>
    <row r="16" spans="1:37">
      <c r="A16" s="9" t="s">
        <v>327</v>
      </c>
      <c r="B16" s="10" t="s">
        <v>275</v>
      </c>
      <c r="C16" s="10" t="s">
        <v>322</v>
      </c>
      <c r="D16" s="10" t="s">
        <v>176</v>
      </c>
      <c r="E16" s="11">
        <v>46145</v>
      </c>
      <c r="F16" s="10" t="s">
        <v>328</v>
      </c>
      <c r="G16" s="10" t="s">
        <v>269</v>
      </c>
      <c r="H16" s="11">
        <v>32761</v>
      </c>
      <c r="I16" s="10" t="s">
        <v>306</v>
      </c>
      <c r="J16" s="10" t="s">
        <v>287</v>
      </c>
      <c r="K16" s="10" t="s">
        <v>15</v>
      </c>
      <c r="L16" s="10" t="s">
        <v>325</v>
      </c>
      <c r="M16" s="10">
        <v>4</v>
      </c>
      <c r="N16" s="10">
        <v>8500</v>
      </c>
      <c r="O16" s="10">
        <v>20</v>
      </c>
      <c r="P16" s="10">
        <v>27200</v>
      </c>
      <c r="Q16" s="10">
        <v>5</v>
      </c>
      <c r="R16" s="10" t="s">
        <v>272</v>
      </c>
      <c r="S16" s="10" t="s">
        <v>246</v>
      </c>
      <c r="T16" s="10" t="s">
        <v>278</v>
      </c>
      <c r="U16" s="10">
        <v>9426119622</v>
      </c>
      <c r="V16" s="12" t="s">
        <v>248</v>
      </c>
      <c r="W16" t="str">
        <f>IF(OR(Q16&lt;=2,V16="Cancelled"),"Blacklisted",IF(AND(P16&gt;100000,Q16&gt;=4,O16&lt;=10%,V16="Completed"),"Platinum",IF(AND(P16&gt;=50000,Q16&gt;=3,V16="Completed"),"Gold",IF(AND(P16&lt;50000,V16="Completed"),"Silver",""))))</f>
        <v/>
      </c>
      <c r="X16" t="str">
        <f>PROPER(TRIM(F16))</f>
        <v>Arjun Rao</v>
      </c>
      <c r="Y16" t="str">
        <f>LEFT(F16,3)&amp;MID(B16,2,3)&amp;LEFT(I16,2)</f>
        <v>Arj007Ah</v>
      </c>
      <c r="Z16" t="str">
        <f>IF(ISNUMBER(SEARCH("@",T16)),LOWER(TRIM(T16)),"invalid email")</f>
        <v>arjun.rao@company.com</v>
      </c>
      <c r="AA16" t="str">
        <f ca="1">IF(H15="","",IFERROR(DATEDIF(IF(ISNUMBER(H15),H15,DATE(VALUE(RIGHT(H15,4)),VALUE(MID(H15,3,2)),VALUE(LEFT(H15,2)))),TODAY(),"Y"),""))</f>
        <v/>
      </c>
      <c r="AB16" t="str">
        <f>IF(OR(D16="",E16=""),"",IFERROR(DATE(MID(E16,7,4),MID(E16,4,2),LEFT(E16,2))-DATE(MID(D16,7,4),MID(D16,4,2),LEFT(D16,2)),""))</f>
        <v/>
      </c>
      <c r="AC16" t="str">
        <f>IF(E16="","Pending",IF(AB16&lt;=5,"On time","Delayed"))</f>
        <v>Delayed</v>
      </c>
      <c r="AD16" s="29" t="str">
        <f>IF(TRIM(S16)="","Not Assigned",S16)</f>
        <v>Aisha</v>
      </c>
      <c r="AE16" t="str">
        <f>PROPER(TRIM(F16))</f>
        <v>Arjun Rao</v>
      </c>
      <c r="AF16" t="str">
        <f>PROPER(TRIM(K16))</f>
        <v>Home Appliances</v>
      </c>
      <c r="AG16" t="str">
        <f>PROPER(TRIM(J16))</f>
        <v>West</v>
      </c>
      <c r="AH16" t="str">
        <f t="shared" si="0"/>
        <v>Home Appliances</v>
      </c>
      <c r="AI16" t="str">
        <f t="shared" si="1"/>
        <v>Home Appliances</v>
      </c>
      <c r="AK16">
        <f>IF(COUNTIF($A$2:A16,A16)=1,1,0)</f>
        <v>1</v>
      </c>
    </row>
    <row r="17" spans="1:37">
      <c r="A17" s="4" t="s">
        <v>329</v>
      </c>
      <c r="B17" s="5" t="s">
        <v>275</v>
      </c>
      <c r="C17" s="5" t="s">
        <v>330</v>
      </c>
      <c r="D17" s="6">
        <v>45669</v>
      </c>
      <c r="E17" s="6">
        <v>45759</v>
      </c>
      <c r="F17" s="5" t="s">
        <v>328</v>
      </c>
      <c r="G17" s="5" t="s">
        <v>269</v>
      </c>
      <c r="H17" s="5" t="s">
        <v>332</v>
      </c>
      <c r="I17" s="5" t="s">
        <v>286</v>
      </c>
      <c r="J17" s="5" t="s">
        <v>287</v>
      </c>
      <c r="K17" s="5" t="s">
        <v>243</v>
      </c>
      <c r="L17" s="5" t="s">
        <v>333</v>
      </c>
      <c r="M17" s="5">
        <v>9</v>
      </c>
      <c r="N17" s="5">
        <v>700</v>
      </c>
      <c r="O17" s="5">
        <v>5</v>
      </c>
      <c r="P17" s="5">
        <v>5985</v>
      </c>
      <c r="Q17" s="5">
        <v>3</v>
      </c>
      <c r="R17" s="5" t="s">
        <v>277</v>
      </c>
      <c r="S17" s="5" t="s">
        <v>255</v>
      </c>
      <c r="T17" s="7" t="s">
        <v>334</v>
      </c>
      <c r="U17" s="5">
        <v>9184436009</v>
      </c>
      <c r="V17" s="8" t="s">
        <v>248</v>
      </c>
      <c r="W17" t="str">
        <f>IF(OR(Q17&lt;=2,V17="Cancelled"),"Blacklisted",IF(AND(P17&gt;100000,Q17&gt;=4,O17&lt;=10%,V17="Completed"),"Platinum",IF(AND(P17&gt;=50000,Q17&gt;=3,V17="Completed"),"Gold",IF(AND(P17&lt;50000,V17="Completed"),"Silver",""))))</f>
        <v/>
      </c>
      <c r="X17" t="str">
        <f>PROPER(TRIM(F17))</f>
        <v>Arjun Rao</v>
      </c>
      <c r="Y17" t="str">
        <f>LEFT(F17,3)&amp;MID(B17,2,3)&amp;LEFT(I17,2)</f>
        <v>Arj007Mu</v>
      </c>
      <c r="Z17" t="str">
        <f>IF(ISNUMBER(SEARCH("@",T17)),LOWER(TRIM(T17)),"invalid email")</f>
        <v>arjun.rao@company.com</v>
      </c>
      <c r="AA17">
        <f ca="1">IF(H16="","",IFERROR(DATEDIF(IF(ISNUMBER(H16),H16,DATE(VALUE(RIGHT(H16,4)),VALUE(MID(H16,3,2)),VALUE(LEFT(H16,2)))),TODAY(),"Y"),""))</f>
        <v>37</v>
      </c>
      <c r="AB17" t="str">
        <f>IF(OR(D17="",E17=""),"",IFERROR(DATE(MID(E17,7,4),MID(E17,4,2),LEFT(E17,2))-DATE(MID(D17,7,4),MID(D17,4,2),LEFT(D17,2)),""))</f>
        <v/>
      </c>
      <c r="AC17" t="str">
        <f>IF(E17="","Pending",IF(AB17&lt;=5,"On time","Delayed"))</f>
        <v>Delayed</v>
      </c>
      <c r="AD17" s="29" t="str">
        <f>IF(TRIM(S17)="","Not Assigned",S17)</f>
        <v>Ritika</v>
      </c>
      <c r="AE17" t="str">
        <f>PROPER(TRIM(F17))</f>
        <v>Arjun Rao</v>
      </c>
      <c r="AF17" t="str">
        <f>PROPER(TRIM(K17))</f>
        <v>Electronics</v>
      </c>
      <c r="AG17" t="str">
        <f>PROPER(TRIM(J17))</f>
        <v>West</v>
      </c>
      <c r="AH17" t="str">
        <f t="shared" si="0"/>
        <v>Electronics</v>
      </c>
      <c r="AI17" t="str">
        <f t="shared" si="1"/>
        <v>Electronics</v>
      </c>
      <c r="AK17">
        <f>IF(COUNTIF($A$2:A17,A17)=1,1,0)</f>
        <v>1</v>
      </c>
    </row>
    <row r="18" spans="1:37">
      <c r="A18" s="9" t="s">
        <v>335</v>
      </c>
      <c r="B18" s="10" t="s">
        <v>249</v>
      </c>
      <c r="C18" s="10" t="s">
        <v>236</v>
      </c>
      <c r="D18" s="10" t="s">
        <v>144</v>
      </c>
      <c r="E18" s="11">
        <v>45723</v>
      </c>
      <c r="F18" s="10" t="s">
        <v>251</v>
      </c>
      <c r="G18" s="10" t="s">
        <v>239</v>
      </c>
      <c r="H18" s="11">
        <v>32876</v>
      </c>
      <c r="I18" s="10" t="s">
        <v>306</v>
      </c>
      <c r="J18" s="10" t="s">
        <v>287</v>
      </c>
      <c r="K18" s="10" t="s">
        <v>243</v>
      </c>
      <c r="L18" s="10" t="s">
        <v>244</v>
      </c>
      <c r="M18" s="10">
        <v>8</v>
      </c>
      <c r="N18" s="10">
        <v>55000</v>
      </c>
      <c r="O18" s="10">
        <v>20</v>
      </c>
      <c r="P18" s="10">
        <v>352000</v>
      </c>
      <c r="Q18" s="10">
        <v>1</v>
      </c>
      <c r="R18" s="10" t="s">
        <v>254</v>
      </c>
      <c r="S18" s="10" t="s">
        <v>312</v>
      </c>
      <c r="T18" s="10" t="s">
        <v>264</v>
      </c>
      <c r="U18" s="10">
        <v>9263774934</v>
      </c>
      <c r="V18" s="12" t="s">
        <v>257</v>
      </c>
      <c r="W18" t="str">
        <f>IF(OR(Q18&lt;=2,V18="Cancelled"),"Blacklisted",IF(AND(P18&gt;100000,Q18&gt;=4,O18&lt;=10%,V18="Completed"),"Platinum",IF(AND(P18&gt;=50000,Q18&gt;=3,V18="Completed"),"Gold",IF(AND(P18&lt;50000,V18="Completed"),"Silver",""))))</f>
        <v>Blacklisted</v>
      </c>
      <c r="X18" t="str">
        <f>PROPER(TRIM(F18))</f>
        <v>Kavya Nair</v>
      </c>
      <c r="Y18" t="str">
        <f>LEFT(F18,3)&amp;MID(B18,2,3)&amp;LEFT(I18,2)</f>
        <v>Kav008Ah</v>
      </c>
      <c r="Z18" t="str">
        <f>IF(ISNUMBER(SEARCH("@",T18)),LOWER(TRIM(T18)),"invalid email")</f>
        <v>kavya.nair@company.com</v>
      </c>
      <c r="AA18" t="str">
        <f ca="1">IF(H17="","",IFERROR(DATEDIF(IF(ISNUMBER(H17),H17,DATE(VALUE(RIGHT(H17,4)),VALUE(MID(H17,3,2)),VALUE(LEFT(H17,2)))),TODAY(),"Y"),""))</f>
        <v/>
      </c>
      <c r="AB18" t="str">
        <f>IF(OR(D18="",E18=""),"",IFERROR(DATE(MID(E18,7,4),MID(E18,4,2),LEFT(E18,2))-DATE(MID(D18,7,4),MID(D18,4,2),LEFT(D18,2)),""))</f>
        <v/>
      </c>
      <c r="AC18" t="str">
        <f>IF(E18="","Pending",IF(AB18&lt;=5,"On time","Delayed"))</f>
        <v>Delayed</v>
      </c>
      <c r="AD18" s="29" t="str">
        <f>IF(TRIM(S18)="","Not Assigned",S18)</f>
        <v>Karan</v>
      </c>
      <c r="AE18" t="str">
        <f>PROPER(TRIM(F18))</f>
        <v>Kavya Nair</v>
      </c>
      <c r="AF18" t="str">
        <f>PROPER(TRIM(K18))</f>
        <v>Electronics</v>
      </c>
      <c r="AG18" t="str">
        <f>PROPER(TRIM(J18))</f>
        <v>West</v>
      </c>
      <c r="AH18" t="str">
        <f t="shared" si="0"/>
        <v>Electronics</v>
      </c>
      <c r="AI18" t="str">
        <f t="shared" si="1"/>
        <v>Electronics</v>
      </c>
      <c r="AK18">
        <f>IF(COUNTIF($A$2:A18,A18)=1,1,0)</f>
        <v>1</v>
      </c>
    </row>
    <row r="19" spans="1:37">
      <c r="A19" s="4" t="s">
        <v>336</v>
      </c>
      <c r="B19" s="5" t="s">
        <v>299</v>
      </c>
      <c r="C19" s="5" t="s">
        <v>330</v>
      </c>
      <c r="D19" s="5" t="s">
        <v>153</v>
      </c>
      <c r="E19" s="6">
        <v>45782</v>
      </c>
      <c r="F19" s="5" t="s">
        <v>301</v>
      </c>
      <c r="G19" s="5" t="s">
        <v>269</v>
      </c>
      <c r="H19" s="5" t="s">
        <v>337</v>
      </c>
      <c r="I19" s="5" t="s">
        <v>260</v>
      </c>
      <c r="J19" s="5" t="s">
        <v>261</v>
      </c>
      <c r="K19" s="5" t="s">
        <v>243</v>
      </c>
      <c r="L19" s="5" t="s">
        <v>333</v>
      </c>
      <c r="M19" s="5">
        <v>10</v>
      </c>
      <c r="N19" s="5">
        <v>700</v>
      </c>
      <c r="O19" s="5">
        <v>20</v>
      </c>
      <c r="P19" s="5">
        <v>5600</v>
      </c>
      <c r="Q19" s="5">
        <v>4</v>
      </c>
      <c r="R19" s="5" t="s">
        <v>272</v>
      </c>
      <c r="S19" s="5" t="s">
        <v>246</v>
      </c>
      <c r="T19" s="5" t="s">
        <v>302</v>
      </c>
      <c r="U19" s="5">
        <v>9473159572</v>
      </c>
      <c r="V19" s="8" t="s">
        <v>265</v>
      </c>
      <c r="W19" t="str">
        <f>IF(OR(Q19&lt;=2,V19="Cancelled"),"Blacklisted",IF(AND(P19&gt;100000,Q19&gt;=4,O19&lt;=10%,V19="Completed"),"Platinum",IF(AND(P19&gt;=50000,Q19&gt;=3,V19="Completed"),"Gold",IF(AND(P19&lt;50000,V19="Completed"),"Silver",""))))</f>
        <v>Blacklisted</v>
      </c>
      <c r="X19" t="str">
        <f>PROPER(TRIM(F19))</f>
        <v>Rohit Singh</v>
      </c>
      <c r="Y19" t="str">
        <f>LEFT(F19,3)&amp;MID(B19,2,3)&amp;LEFT(I19,2)</f>
        <v>Roh003De</v>
      </c>
      <c r="Z19" t="str">
        <f>IF(ISNUMBER(SEARCH("@",T19)),LOWER(TRIM(T19)),"invalid email")</f>
        <v>rohit.singh@company.com</v>
      </c>
      <c r="AA19">
        <f ca="1">IF(H18="","",IFERROR(DATEDIF(IF(ISNUMBER(H18),H18,DATE(VALUE(RIGHT(H18,4)),VALUE(MID(H18,3,2)),VALUE(LEFT(H18,2)))),TODAY(),"Y"),""))</f>
        <v>36</v>
      </c>
      <c r="AB19" t="str">
        <f>IF(OR(D19="",E19=""),"",IFERROR(DATE(MID(E19,7,4),MID(E19,4,2),LEFT(E19,2))-DATE(MID(D19,7,4),MID(D19,4,2),LEFT(D19,2)),""))</f>
        <v/>
      </c>
      <c r="AC19" t="str">
        <f>IF(E19="","Pending",IF(AB19&lt;=5,"On time","Delayed"))</f>
        <v>Delayed</v>
      </c>
      <c r="AD19" s="29" t="str">
        <f>IF(TRIM(S19)="","Not Assigned",S19)</f>
        <v>Aisha</v>
      </c>
      <c r="AE19" t="str">
        <f>PROPER(TRIM(F19))</f>
        <v>Rohit Singh</v>
      </c>
      <c r="AF19" t="str">
        <f>PROPER(TRIM(K19))</f>
        <v>Electronics</v>
      </c>
      <c r="AG19" t="str">
        <f>PROPER(TRIM(J19))</f>
        <v>North</v>
      </c>
      <c r="AH19" t="str">
        <f t="shared" si="0"/>
        <v>Electronics</v>
      </c>
      <c r="AI19" t="str">
        <f t="shared" si="1"/>
        <v>Electronics</v>
      </c>
      <c r="AK19">
        <f>IF(COUNTIF($A$2:A19,A19)=1,1,0)</f>
        <v>1</v>
      </c>
    </row>
    <row r="20" spans="1:37">
      <c r="A20" s="9" t="s">
        <v>339</v>
      </c>
      <c r="B20" s="10" t="s">
        <v>249</v>
      </c>
      <c r="C20" s="10" t="s">
        <v>280</v>
      </c>
      <c r="D20" s="11">
        <v>45717</v>
      </c>
      <c r="E20" s="11">
        <v>45870</v>
      </c>
      <c r="F20" s="10" t="s">
        <v>251</v>
      </c>
      <c r="G20" s="10" t="s">
        <v>239</v>
      </c>
      <c r="H20" s="10" t="s">
        <v>340</v>
      </c>
      <c r="I20" s="10" t="s">
        <v>241</v>
      </c>
      <c r="J20" s="10" t="s">
        <v>242</v>
      </c>
      <c r="K20" s="10" t="s">
        <v>15</v>
      </c>
      <c r="L20" s="10" t="s">
        <v>282</v>
      </c>
      <c r="M20" s="10">
        <v>1</v>
      </c>
      <c r="N20" s="10">
        <v>3500</v>
      </c>
      <c r="O20" s="10">
        <v>5</v>
      </c>
      <c r="P20" s="10">
        <v>3325</v>
      </c>
      <c r="Q20" s="10">
        <v>3</v>
      </c>
      <c r="R20" s="10" t="s">
        <v>277</v>
      </c>
      <c r="S20" s="10" t="s">
        <v>292</v>
      </c>
      <c r="T20" s="10" t="s">
        <v>264</v>
      </c>
      <c r="U20" s="10">
        <v>9660493688</v>
      </c>
      <c r="V20" s="12" t="s">
        <v>265</v>
      </c>
      <c r="W20" t="str">
        <f>IF(OR(Q20&lt;=2,V20="Cancelled"),"Blacklisted",IF(AND(P20&gt;100000,Q20&gt;=4,O20&lt;=10%,V20="Completed"),"Platinum",IF(AND(P20&gt;=50000,Q20&gt;=3,V20="Completed"),"Gold",IF(AND(P20&lt;50000,V20="Completed"),"Silver",""))))</f>
        <v>Blacklisted</v>
      </c>
      <c r="X20" t="str">
        <f>PROPER(TRIM(F20))</f>
        <v>Kavya Nair</v>
      </c>
      <c r="Y20" t="str">
        <f>LEFT(F20,3)&amp;MID(B20,2,3)&amp;LEFT(I20,2)</f>
        <v>Kav008Be</v>
      </c>
      <c r="Z20" t="str">
        <f>IF(ISNUMBER(SEARCH("@",T20)),LOWER(TRIM(T20)),"invalid email")</f>
        <v>kavya.nair@company.com</v>
      </c>
      <c r="AA20" t="str">
        <f ca="1">IF(H19="","",IFERROR(DATEDIF(IF(ISNUMBER(H19),H19,DATE(VALUE(RIGHT(H19,4)),VALUE(MID(H19,3,2)),VALUE(LEFT(H19,2)))),TODAY(),"Y"),""))</f>
        <v/>
      </c>
      <c r="AB20" t="str">
        <f>IF(OR(D20="",E20=""),"",IFERROR(DATE(MID(E20,7,4),MID(E20,4,2),LEFT(E20,2))-DATE(MID(D20,7,4),MID(D20,4,2),LEFT(D20,2)),""))</f>
        <v/>
      </c>
      <c r="AC20" t="str">
        <f>IF(E20="","Pending",IF(AB20&lt;=5,"On time","Delayed"))</f>
        <v>Delayed</v>
      </c>
      <c r="AD20" s="29" t="str">
        <f>IF(TRIM(S20)="","Not Assigned",S20)</f>
        <v>Neha</v>
      </c>
      <c r="AE20" t="str">
        <f>PROPER(TRIM(F20))</f>
        <v>Kavya Nair</v>
      </c>
      <c r="AF20" t="str">
        <f>PROPER(TRIM(K20))</f>
        <v>Home Appliances</v>
      </c>
      <c r="AG20" t="str">
        <f>PROPER(TRIM(J20))</f>
        <v>South</v>
      </c>
      <c r="AH20" t="str">
        <f t="shared" si="0"/>
        <v>Home Appliances</v>
      </c>
      <c r="AI20" t="str">
        <f t="shared" si="1"/>
        <v>Home Appliances</v>
      </c>
      <c r="AK20">
        <f>IF(COUNTIF($A$2:A20,A20)=1,1,0)</f>
        <v>1</v>
      </c>
    </row>
    <row r="21" spans="1:37">
      <c r="A21" s="4" t="s">
        <v>341</v>
      </c>
      <c r="B21" s="5" t="s">
        <v>284</v>
      </c>
      <c r="C21" s="5" t="s">
        <v>330</v>
      </c>
      <c r="D21" s="5" t="s">
        <v>77</v>
      </c>
      <c r="E21" s="5" t="s">
        <v>196</v>
      </c>
      <c r="F21" s="5" t="s">
        <v>285</v>
      </c>
      <c r="G21" s="5" t="s">
        <v>239</v>
      </c>
      <c r="H21" s="6">
        <v>30779</v>
      </c>
      <c r="I21" s="5" t="s">
        <v>342</v>
      </c>
      <c r="J21" s="5" t="s">
        <v>261</v>
      </c>
      <c r="K21" s="5" t="s">
        <v>243</v>
      </c>
      <c r="L21" s="5" t="s">
        <v>333</v>
      </c>
      <c r="M21" s="5">
        <v>19</v>
      </c>
      <c r="N21" s="5">
        <v>700</v>
      </c>
      <c r="O21" s="5">
        <v>15</v>
      </c>
      <c r="P21" s="5">
        <v>11305</v>
      </c>
      <c r="Q21" s="5">
        <v>3</v>
      </c>
      <c r="R21" s="5" t="s">
        <v>245</v>
      </c>
      <c r="S21" s="5" t="s">
        <v>312</v>
      </c>
      <c r="T21" s="5" t="s">
        <v>308</v>
      </c>
      <c r="U21" s="5">
        <v>9513325819</v>
      </c>
      <c r="V21" s="8" t="s">
        <v>248</v>
      </c>
      <c r="W21" t="str">
        <f>IF(OR(Q21&lt;=2,V21="Cancelled"),"Blacklisted",IF(AND(P21&gt;100000,Q21&gt;=4,O21&lt;=10%,V21="Completed"),"Platinum",IF(AND(P21&gt;=50000,Q21&gt;=3,V21="Completed"),"Gold",IF(AND(P21&lt;50000,V21="Completed"),"Silver",""))))</f>
        <v/>
      </c>
      <c r="X21" t="str">
        <f>PROPER(TRIM(F21))</f>
        <v>Priya Patel</v>
      </c>
      <c r="Y21" t="str">
        <f>LEFT(F21,3)&amp;MID(B21,2,3)&amp;LEFT(I21,2)</f>
        <v>Pri002Ja</v>
      </c>
      <c r="Z21" t="str">
        <f>IF(ISNUMBER(SEARCH("@",T21)),LOWER(TRIM(T21)),"invalid email")</f>
        <v>priya.patel@company.com</v>
      </c>
      <c r="AA21" t="str">
        <f ca="1">IF(H20="","",IFERROR(DATEDIF(IF(ISNUMBER(H20),H20,DATE(VALUE(RIGHT(H20,4)),VALUE(MID(H20,3,2)),VALUE(LEFT(H20,2)))),TODAY(),"Y"),""))</f>
        <v/>
      </c>
      <c r="AB21">
        <f>IF(OR(D21="",E21=""),"",IFERROR(DATE(MID(E21,7,4),MID(E21,4,2),LEFT(E21,2))-DATE(MID(D21,7,4),MID(D21,4,2),LEFT(D21,2)),""))</f>
        <v>11</v>
      </c>
      <c r="AC21" t="str">
        <f>IF(E21="","Pending",IF(AB21&lt;=5,"On time","Delayed"))</f>
        <v>Delayed</v>
      </c>
      <c r="AD21" s="29" t="str">
        <f>IF(TRIM(S21)="","Not Assigned",S21)</f>
        <v>Karan</v>
      </c>
      <c r="AE21" t="str">
        <f>PROPER(TRIM(F21))</f>
        <v>Priya Patel</v>
      </c>
      <c r="AF21" t="str">
        <f>PROPER(TRIM(K21))</f>
        <v>Electronics</v>
      </c>
      <c r="AG21" t="str">
        <f>PROPER(TRIM(J21))</f>
        <v>North</v>
      </c>
      <c r="AH21" t="str">
        <f t="shared" si="0"/>
        <v>Electronics</v>
      </c>
      <c r="AI21" t="str">
        <f t="shared" si="1"/>
        <v>Electronics</v>
      </c>
      <c r="AK21">
        <f>IF(COUNTIF($A$2:A21,A21)=1,1,0)</f>
        <v>1</v>
      </c>
    </row>
    <row r="22" spans="1:37">
      <c r="A22" s="9" t="s">
        <v>343</v>
      </c>
      <c r="B22" s="10" t="s">
        <v>266</v>
      </c>
      <c r="C22" s="10" t="s">
        <v>236</v>
      </c>
      <c r="D22" s="10" t="s">
        <v>117</v>
      </c>
      <c r="E22" s="11">
        <v>46023</v>
      </c>
      <c r="F22" s="10" t="s">
        <v>268</v>
      </c>
      <c r="G22" s="10" t="s">
        <v>269</v>
      </c>
      <c r="H22" s="10" t="s">
        <v>344</v>
      </c>
      <c r="I22" s="10" t="s">
        <v>241</v>
      </c>
      <c r="J22" s="10" t="s">
        <v>242</v>
      </c>
      <c r="K22" s="10" t="s">
        <v>243</v>
      </c>
      <c r="L22" s="10" t="s">
        <v>244</v>
      </c>
      <c r="M22" s="10">
        <v>12</v>
      </c>
      <c r="N22" s="10">
        <v>55000</v>
      </c>
      <c r="O22" s="10">
        <v>0</v>
      </c>
      <c r="P22" s="10">
        <v>660000</v>
      </c>
      <c r="Q22" s="10">
        <v>1</v>
      </c>
      <c r="R22" s="10" t="s">
        <v>272</v>
      </c>
      <c r="S22" s="10" t="s">
        <v>263</v>
      </c>
      <c r="T22" s="10" t="s">
        <v>273</v>
      </c>
      <c r="U22" s="10">
        <v>9641063242</v>
      </c>
      <c r="V22" s="12" t="s">
        <v>248</v>
      </c>
      <c r="W22" t="str">
        <f>IF(OR(Q22&lt;=2,V22="Cancelled"),"Blacklisted",IF(AND(P22&gt;100000,Q22&gt;=4,O22&lt;=10%,V22="Completed"),"Platinum",IF(AND(P22&gt;=50000,Q22&gt;=3,V22="Completed"),"Gold",IF(AND(P22&lt;50000,V22="Completed"),"Silver",""))))</f>
        <v>Blacklisted</v>
      </c>
      <c r="X22" t="str">
        <f>PROPER(TRIM(F22))</f>
        <v>Mohit Verma</v>
      </c>
      <c r="Y22" t="str">
        <f>LEFT(F22,3)&amp;MID(B22,2,3)&amp;LEFT(I22,2)</f>
        <v>Moh009Be</v>
      </c>
      <c r="Z22" t="str">
        <f>IF(ISNUMBER(SEARCH("@",T22)),LOWER(TRIM(T22)),"invalid email")</f>
        <v>mohit.verma@company.com</v>
      </c>
      <c r="AA22">
        <f ca="1">IF(H21="","",IFERROR(DATEDIF(IF(ISNUMBER(H21),H21,DATE(VALUE(RIGHT(H21,4)),VALUE(MID(H21,3,2)),VALUE(LEFT(H21,2)))),TODAY(),"Y"),""))</f>
        <v>42</v>
      </c>
      <c r="AB22" t="str">
        <f>IF(OR(D22="",E22=""),"",IFERROR(DATE(MID(E22,7,4),MID(E22,4,2),LEFT(E22,2))-DATE(MID(D22,7,4),MID(D22,4,2),LEFT(D22,2)),""))</f>
        <v/>
      </c>
      <c r="AC22" t="str">
        <f>IF(E22="","Pending",IF(AB22&lt;=5,"On time","Delayed"))</f>
        <v>Delayed</v>
      </c>
      <c r="AD22" s="29" t="str">
        <f>IF(TRIM(S22)="","Not Assigned",S22)</f>
        <v>Rahul</v>
      </c>
      <c r="AE22" t="str">
        <f>PROPER(TRIM(F22))</f>
        <v>Mohit Verma</v>
      </c>
      <c r="AF22" t="str">
        <f>PROPER(TRIM(K22))</f>
        <v>Electronics</v>
      </c>
      <c r="AG22" t="str">
        <f>PROPER(TRIM(J22))</f>
        <v>South</v>
      </c>
      <c r="AH22" t="str">
        <f t="shared" si="0"/>
        <v>Electronics</v>
      </c>
      <c r="AI22" t="str">
        <f t="shared" si="1"/>
        <v>Electronics</v>
      </c>
      <c r="AK22">
        <f>IF(COUNTIF($A$2:A22,A22)=1,1,0)</f>
        <v>1</v>
      </c>
    </row>
    <row r="23" spans="1:37">
      <c r="A23" s="4" t="s">
        <v>345</v>
      </c>
      <c r="B23" s="5" t="s">
        <v>346</v>
      </c>
      <c r="C23" s="5" t="s">
        <v>347</v>
      </c>
      <c r="D23" s="6">
        <v>46269</v>
      </c>
      <c r="E23" s="5" t="s">
        <v>90</v>
      </c>
      <c r="F23" s="5" t="s">
        <v>348</v>
      </c>
      <c r="G23" s="5" t="s">
        <v>269</v>
      </c>
      <c r="H23" s="6">
        <v>33305</v>
      </c>
      <c r="I23" s="5" t="s">
        <v>286</v>
      </c>
      <c r="J23" s="5" t="s">
        <v>287</v>
      </c>
      <c r="K23" s="5" t="s">
        <v>295</v>
      </c>
      <c r="L23" s="5" t="s">
        <v>349</v>
      </c>
      <c r="M23" s="5">
        <v>1</v>
      </c>
      <c r="N23" s="5">
        <v>20</v>
      </c>
      <c r="O23" s="5">
        <v>5</v>
      </c>
      <c r="P23" s="5">
        <v>19</v>
      </c>
      <c r="Q23" s="5">
        <v>5</v>
      </c>
      <c r="R23" s="5" t="s">
        <v>272</v>
      </c>
      <c r="S23" s="5" t="s">
        <v>255</v>
      </c>
      <c r="T23" s="5" t="s">
        <v>350</v>
      </c>
      <c r="U23" s="5">
        <v>9277372518</v>
      </c>
      <c r="V23" s="8" t="s">
        <v>265</v>
      </c>
      <c r="W23" t="str">
        <f>IF(OR(Q23&lt;=2,V23="Cancelled"),"Blacklisted",IF(AND(P23&gt;100000,Q23&gt;=4,O23&lt;=10%,V23="Completed"),"Platinum",IF(AND(P23&gt;=50000,Q23&gt;=3,V23="Completed"),"Gold",IF(AND(P23&lt;50000,V23="Completed"),"Silver",""))))</f>
        <v>Blacklisted</v>
      </c>
      <c r="X23" t="str">
        <f>PROPER(TRIM(F23))</f>
        <v>Vikas Mehta</v>
      </c>
      <c r="Y23" t="str">
        <f>LEFT(F23,3)&amp;MID(B23,2,3)&amp;LEFT(I23,2)</f>
        <v>Vik005Mu</v>
      </c>
      <c r="Z23" t="str">
        <f>IF(ISNUMBER(SEARCH("@",T23)),LOWER(TRIM(T23)),"invalid email")</f>
        <v>vikas.mehta@company.com</v>
      </c>
      <c r="AA23" t="str">
        <f ca="1">IF(H22="","",IFERROR(DATEDIF(IF(ISNUMBER(H22),H22,DATE(VALUE(RIGHT(H22,4)),VALUE(MID(H22,3,2)),VALUE(LEFT(H22,2)))),TODAY(),"Y"),""))</f>
        <v/>
      </c>
      <c r="AB23" t="str">
        <f>IF(OR(D23="",E23=""),"",IFERROR(DATE(MID(E23,7,4),MID(E23,4,2),LEFT(E23,2))-DATE(MID(D23,7,4),MID(D23,4,2),LEFT(D23,2)),""))</f>
        <v/>
      </c>
      <c r="AC23" t="str">
        <f>IF(E23="","Pending",IF(AB23&lt;=5,"On time","Delayed"))</f>
        <v>Delayed</v>
      </c>
      <c r="AD23" s="29" t="str">
        <f>IF(TRIM(S23)="","Not Assigned",S23)</f>
        <v>Ritika</v>
      </c>
      <c r="AE23" t="str">
        <f>PROPER(TRIM(F23))</f>
        <v>Vikas Mehta</v>
      </c>
      <c r="AF23" t="str">
        <f>PROPER(TRIM(K23))</f>
        <v>Stationery</v>
      </c>
      <c r="AG23" t="str">
        <f>PROPER(TRIM(J23))</f>
        <v>West</v>
      </c>
      <c r="AH23" t="str">
        <f t="shared" si="0"/>
        <v>Stationery</v>
      </c>
      <c r="AI23" t="str">
        <f t="shared" si="1"/>
        <v>Stationery</v>
      </c>
      <c r="AK23">
        <f>IF(COUNTIF($A$2:A23,A23)=1,1,0)</f>
        <v>1</v>
      </c>
    </row>
    <row r="24" spans="1:37">
      <c r="A24" s="9" t="s">
        <v>351</v>
      </c>
      <c r="B24" s="10" t="s">
        <v>275</v>
      </c>
      <c r="C24" s="10" t="s">
        <v>347</v>
      </c>
      <c r="D24" s="10" t="s">
        <v>134</v>
      </c>
      <c r="E24" s="11">
        <v>45695</v>
      </c>
      <c r="F24" s="10" t="s">
        <v>328</v>
      </c>
      <c r="G24" s="10" t="s">
        <v>269</v>
      </c>
      <c r="H24" s="11">
        <v>28441</v>
      </c>
      <c r="I24" s="10" t="s">
        <v>286</v>
      </c>
      <c r="J24" s="10" t="s">
        <v>287</v>
      </c>
      <c r="K24" s="10" t="s">
        <v>295</v>
      </c>
      <c r="L24" s="10" t="s">
        <v>349</v>
      </c>
      <c r="M24" s="10">
        <v>2</v>
      </c>
      <c r="N24" s="10">
        <v>20</v>
      </c>
      <c r="O24" s="10">
        <v>15</v>
      </c>
      <c r="P24" s="10">
        <v>34</v>
      </c>
      <c r="Q24" s="10">
        <v>1</v>
      </c>
      <c r="R24" s="10" t="s">
        <v>277</v>
      </c>
      <c r="S24" s="10" t="s">
        <v>255</v>
      </c>
      <c r="T24" s="10" t="s">
        <v>278</v>
      </c>
      <c r="U24" s="10">
        <v>9193154372</v>
      </c>
      <c r="V24" s="12" t="s">
        <v>248</v>
      </c>
      <c r="W24" t="str">
        <f>IF(OR(Q24&lt;=2,V24="Cancelled"),"Blacklisted",IF(AND(P24&gt;100000,Q24&gt;=4,O24&lt;=10%,V24="Completed"),"Platinum",IF(AND(P24&gt;=50000,Q24&gt;=3,V24="Completed"),"Gold",IF(AND(P24&lt;50000,V24="Completed"),"Silver",""))))</f>
        <v>Blacklisted</v>
      </c>
      <c r="X24" t="str">
        <f>PROPER(TRIM(F24))</f>
        <v>Arjun Rao</v>
      </c>
      <c r="Y24" t="str">
        <f>LEFT(F24,3)&amp;MID(B24,2,3)&amp;LEFT(I24,2)</f>
        <v>Arj007Mu</v>
      </c>
      <c r="Z24" t="str">
        <f>IF(ISNUMBER(SEARCH("@",T24)),LOWER(TRIM(T24)),"invalid email")</f>
        <v>arjun.rao@company.com</v>
      </c>
      <c r="AA24">
        <f ca="1">IF(H23="","",IFERROR(DATEDIF(IF(ISNUMBER(H23),H23,DATE(VALUE(RIGHT(H23,4)),VALUE(MID(H23,3,2)),VALUE(LEFT(H23,2)))),TODAY(),"Y"),""))</f>
        <v>35</v>
      </c>
      <c r="AB24" t="str">
        <f>IF(OR(D24="",E24=""),"",IFERROR(DATE(MID(E24,7,4),MID(E24,4,2),LEFT(E24,2))-DATE(MID(D24,7,4),MID(D24,4,2),LEFT(D24,2)),""))</f>
        <v/>
      </c>
      <c r="AC24" t="str">
        <f>IF(E24="","Pending",IF(AB24&lt;=5,"On time","Delayed"))</f>
        <v>Delayed</v>
      </c>
      <c r="AD24" s="29" t="str">
        <f>IF(TRIM(S24)="","Not Assigned",S24)</f>
        <v>Ritika</v>
      </c>
      <c r="AE24" t="str">
        <f>PROPER(TRIM(F24))</f>
        <v>Arjun Rao</v>
      </c>
      <c r="AF24" t="str">
        <f>PROPER(TRIM(K24))</f>
        <v>Stationery</v>
      </c>
      <c r="AG24" t="str">
        <f>PROPER(TRIM(J24))</f>
        <v>West</v>
      </c>
      <c r="AH24" t="str">
        <f t="shared" si="0"/>
        <v>Stationery</v>
      </c>
      <c r="AI24" t="str">
        <f t="shared" si="1"/>
        <v>Stationery</v>
      </c>
      <c r="AK24">
        <f>IF(COUNTIF($A$2:A24,A24)=1,1,0)</f>
        <v>1</v>
      </c>
    </row>
    <row r="25" spans="1:37">
      <c r="A25" s="4" t="s">
        <v>352</v>
      </c>
      <c r="B25" s="5" t="s">
        <v>266</v>
      </c>
      <c r="C25" s="5" t="s">
        <v>280</v>
      </c>
      <c r="D25" s="5" t="s">
        <v>112</v>
      </c>
      <c r="E25" s="5" t="s">
        <v>143</v>
      </c>
      <c r="F25" s="5" t="s">
        <v>268</v>
      </c>
      <c r="G25" s="5" t="s">
        <v>269</v>
      </c>
      <c r="H25" s="6">
        <v>33818</v>
      </c>
      <c r="I25" s="5" t="s">
        <v>306</v>
      </c>
      <c r="J25" s="5" t="s">
        <v>287</v>
      </c>
      <c r="K25" s="5" t="s">
        <v>15</v>
      </c>
      <c r="L25" s="5" t="s">
        <v>282</v>
      </c>
      <c r="M25" s="5">
        <v>12</v>
      </c>
      <c r="N25" s="5">
        <v>3500</v>
      </c>
      <c r="O25" s="5">
        <v>15</v>
      </c>
      <c r="P25" s="5">
        <v>35700</v>
      </c>
      <c r="Q25" s="5">
        <v>4</v>
      </c>
      <c r="R25" s="5" t="s">
        <v>254</v>
      </c>
      <c r="S25" s="5" t="s">
        <v>263</v>
      </c>
      <c r="T25" s="5" t="s">
        <v>273</v>
      </c>
      <c r="U25" s="5">
        <v>9400073244</v>
      </c>
      <c r="V25" s="8" t="s">
        <v>265</v>
      </c>
      <c r="W25" t="str">
        <f>IF(OR(Q25&lt;=2,V25="Cancelled"),"Blacklisted",IF(AND(P25&gt;100000,Q25&gt;=4,O25&lt;=10%,V25="Completed"),"Platinum",IF(AND(P25&gt;=50000,Q25&gt;=3,V25="Completed"),"Gold",IF(AND(P25&lt;50000,V25="Completed"),"Silver",""))))</f>
        <v>Blacklisted</v>
      </c>
      <c r="X25" t="str">
        <f>PROPER(TRIM(F25))</f>
        <v>Mohit Verma</v>
      </c>
      <c r="Y25" t="str">
        <f>LEFT(F25,3)&amp;MID(B25,2,3)&amp;LEFT(I25,2)</f>
        <v>Moh009Ah</v>
      </c>
      <c r="Z25" t="str">
        <f>IF(ISNUMBER(SEARCH("@",T25)),LOWER(TRIM(T25)),"invalid email")</f>
        <v>mohit.verma@company.com</v>
      </c>
      <c r="AA25">
        <f ca="1">IF(H24="","",IFERROR(DATEDIF(IF(ISNUMBER(H24),H24,DATE(VALUE(RIGHT(H24,4)),VALUE(MID(H24,3,2)),VALUE(LEFT(H24,2)))),TODAY(),"Y"),""))</f>
        <v>48</v>
      </c>
      <c r="AB25">
        <f>IF(OR(D25="",E25=""),"",IFERROR(DATE(MID(E25,7,4),MID(E25,4,2),LEFT(E25,2))-DATE(MID(D25,7,4),MID(D25,4,2),LEFT(D25,2)),""))</f>
        <v>3</v>
      </c>
      <c r="AC25" t="str">
        <f>IF(E25="","Pending",IF(AB25&lt;=5,"On time","Delayed"))</f>
        <v>On time</v>
      </c>
      <c r="AD25" s="29" t="str">
        <f>IF(TRIM(S25)="","Not Assigned",S25)</f>
        <v>Rahul</v>
      </c>
      <c r="AE25" t="str">
        <f>PROPER(TRIM(F25))</f>
        <v>Mohit Verma</v>
      </c>
      <c r="AF25" t="str">
        <f>PROPER(TRIM(K25))</f>
        <v>Home Appliances</v>
      </c>
      <c r="AG25" t="str">
        <f>PROPER(TRIM(J25))</f>
        <v>West</v>
      </c>
      <c r="AH25" t="str">
        <f t="shared" si="0"/>
        <v>Home Appliances</v>
      </c>
      <c r="AI25" t="str">
        <f t="shared" si="1"/>
        <v>Home Appliances</v>
      </c>
      <c r="AK25">
        <f>IF(COUNTIF($A$2:A25,A25)=1,1,0)</f>
        <v>1</v>
      </c>
    </row>
    <row r="26" spans="1:37">
      <c r="A26" s="9" t="s">
        <v>353</v>
      </c>
      <c r="B26" s="10" t="s">
        <v>249</v>
      </c>
      <c r="C26" s="10" t="s">
        <v>267</v>
      </c>
      <c r="D26" s="10" t="s">
        <v>11</v>
      </c>
      <c r="E26" s="10" t="s">
        <v>354</v>
      </c>
      <c r="F26" s="10" t="s">
        <v>251</v>
      </c>
      <c r="G26" s="10" t="s">
        <v>239</v>
      </c>
      <c r="H26" s="11">
        <v>38113</v>
      </c>
      <c r="I26" s="10" t="s">
        <v>306</v>
      </c>
      <c r="J26" s="10" t="s">
        <v>287</v>
      </c>
      <c r="K26" s="10" t="s">
        <v>243</v>
      </c>
      <c r="L26" s="10" t="s">
        <v>271</v>
      </c>
      <c r="M26" s="10">
        <v>11</v>
      </c>
      <c r="N26" s="10">
        <v>1200</v>
      </c>
      <c r="O26" s="10">
        <v>0</v>
      </c>
      <c r="P26" s="10">
        <v>13200</v>
      </c>
      <c r="Q26" s="10">
        <v>2</v>
      </c>
      <c r="R26" s="10" t="s">
        <v>277</v>
      </c>
      <c r="S26" s="10" t="s">
        <v>312</v>
      </c>
      <c r="T26" s="10" t="s">
        <v>264</v>
      </c>
      <c r="U26" s="10">
        <v>9771556720</v>
      </c>
      <c r="V26" s="12" t="s">
        <v>257</v>
      </c>
      <c r="W26" t="str">
        <f>IF(OR(Q26&lt;=2,V26="Cancelled"),"Blacklisted",IF(AND(P26&gt;100000,Q26&gt;=4,O26&lt;=10%,V26="Completed"),"Platinum",IF(AND(P26&gt;=50000,Q26&gt;=3,V26="Completed"),"Gold",IF(AND(P26&lt;50000,V26="Completed"),"Silver",""))))</f>
        <v>Blacklisted</v>
      </c>
      <c r="X26" t="str">
        <f>PROPER(TRIM(F26))</f>
        <v>Kavya Nair</v>
      </c>
      <c r="Y26" t="str">
        <f>LEFT(F26,3)&amp;MID(B26,2,3)&amp;LEFT(I26,2)</f>
        <v>Kav008Ah</v>
      </c>
      <c r="Z26" t="str">
        <f>IF(ISNUMBER(SEARCH("@",T26)),LOWER(TRIM(T26)),"invalid email")</f>
        <v>kavya.nair@company.com</v>
      </c>
      <c r="AA26">
        <f ca="1">IF(H25="","",IFERROR(DATEDIF(IF(ISNUMBER(H25),H25,DATE(VALUE(RIGHT(H25,4)),VALUE(MID(H25,3,2)),VALUE(LEFT(H25,2)))),TODAY(),"Y"),""))</f>
        <v>34</v>
      </c>
      <c r="AB26">
        <f>IF(OR(D26="",E26=""),"",IFERROR(DATE(MID(E26,7,4),MID(E26,4,2),LEFT(E26,2))-DATE(MID(D26,7,4),MID(D26,4,2),LEFT(D26,2)),""))</f>
        <v>7</v>
      </c>
      <c r="AC26" t="str">
        <f>IF(E26="","Pending",IF(AB26&lt;=5,"On time","Delayed"))</f>
        <v>Delayed</v>
      </c>
      <c r="AD26" s="29" t="str">
        <f>IF(TRIM(S26)="","Not Assigned",S26)</f>
        <v>Karan</v>
      </c>
      <c r="AE26" t="str">
        <f>PROPER(TRIM(F26))</f>
        <v>Kavya Nair</v>
      </c>
      <c r="AF26" t="str">
        <f>PROPER(TRIM(K26))</f>
        <v>Electronics</v>
      </c>
      <c r="AG26" t="str">
        <f>PROPER(TRIM(J26))</f>
        <v>West</v>
      </c>
      <c r="AH26" t="str">
        <f t="shared" si="0"/>
        <v>Electronics</v>
      </c>
      <c r="AI26" t="str">
        <f t="shared" si="1"/>
        <v>Electronics</v>
      </c>
      <c r="AK26">
        <f>IF(COUNTIF($A$2:A26,A26)=1,1,0)</f>
        <v>1</v>
      </c>
    </row>
    <row r="27" spans="1:37">
      <c r="A27" s="4" t="s">
        <v>355</v>
      </c>
      <c r="B27" s="5" t="s">
        <v>299</v>
      </c>
      <c r="C27" s="5" t="s">
        <v>322</v>
      </c>
      <c r="D27" s="6">
        <v>45878</v>
      </c>
      <c r="E27" s="5" t="s">
        <v>356</v>
      </c>
      <c r="F27" s="5" t="s">
        <v>301</v>
      </c>
      <c r="G27" s="5" t="s">
        <v>269</v>
      </c>
      <c r="H27" s="6">
        <v>37203</v>
      </c>
      <c r="I27" s="5" t="s">
        <v>291</v>
      </c>
      <c r="J27" s="5" t="s">
        <v>287</v>
      </c>
      <c r="K27" s="5" t="s">
        <v>15</v>
      </c>
      <c r="L27" s="5" t="s">
        <v>325</v>
      </c>
      <c r="M27" s="5">
        <v>6</v>
      </c>
      <c r="N27" s="5">
        <v>8500</v>
      </c>
      <c r="O27" s="5">
        <v>65</v>
      </c>
      <c r="P27" s="5">
        <v>51000</v>
      </c>
      <c r="Q27" s="5">
        <v>1</v>
      </c>
      <c r="R27" s="5" t="s">
        <v>272</v>
      </c>
      <c r="S27" s="5" t="s">
        <v>246</v>
      </c>
      <c r="T27" s="5" t="s">
        <v>302</v>
      </c>
      <c r="U27" s="5">
        <v>9127480734</v>
      </c>
      <c r="V27" s="8" t="s">
        <v>257</v>
      </c>
      <c r="W27" t="str">
        <f>IF(OR(Q27&lt;=2,V27="Cancelled"),"Blacklisted",IF(AND(P27&gt;100000,Q27&gt;=4,O27&lt;=10%,V27="Completed"),"Platinum",IF(AND(P27&gt;=50000,Q27&gt;=3,V27="Completed"),"Gold",IF(AND(P27&lt;50000,V27="Completed"),"Silver",""))))</f>
        <v>Blacklisted</v>
      </c>
      <c r="X27" t="str">
        <f>PROPER(TRIM(F27))</f>
        <v>Rohit Singh</v>
      </c>
      <c r="Y27" t="str">
        <f>LEFT(F27,3)&amp;MID(B27,2,3)&amp;LEFT(I27,2)</f>
        <v>Roh003Pu</v>
      </c>
      <c r="Z27" t="str">
        <f>IF(ISNUMBER(SEARCH("@",T27)),LOWER(TRIM(T27)),"invalid email")</f>
        <v>rohit.singh@company.com</v>
      </c>
      <c r="AA27">
        <f ca="1">IF(H26="","",IFERROR(DATEDIF(IF(ISNUMBER(H26),H26,DATE(VALUE(RIGHT(H26,4)),VALUE(MID(H26,3,2)),VALUE(LEFT(H26,2)))),TODAY(),"Y"),""))</f>
        <v>22</v>
      </c>
      <c r="AB27" t="str">
        <f>IF(OR(D27="",E27=""),"",IFERROR(DATE(MID(E27,7,4),MID(E27,4,2),LEFT(E27,2))-DATE(MID(D27,7,4),MID(D27,4,2),LEFT(D27,2)),""))</f>
        <v/>
      </c>
      <c r="AC27" t="str">
        <f>IF(E27="","Pending",IF(AB27&lt;=5,"On time","Delayed"))</f>
        <v>Delayed</v>
      </c>
      <c r="AD27" s="29" t="str">
        <f>IF(TRIM(S27)="","Not Assigned",S27)</f>
        <v>Aisha</v>
      </c>
      <c r="AE27" t="str">
        <f>PROPER(TRIM(F27))</f>
        <v>Rohit Singh</v>
      </c>
      <c r="AF27" t="str">
        <f>PROPER(TRIM(K27))</f>
        <v>Home Appliances</v>
      </c>
      <c r="AG27" t="str">
        <f>PROPER(TRIM(J27))</f>
        <v>West</v>
      </c>
      <c r="AH27" t="str">
        <f t="shared" si="0"/>
        <v>Home Appliances</v>
      </c>
      <c r="AI27" t="str">
        <f t="shared" si="1"/>
        <v>Home Appliances</v>
      </c>
      <c r="AK27">
        <f>IF(COUNTIF($A$2:A27,A27)=1,1,0)</f>
        <v>1</v>
      </c>
    </row>
    <row r="28" spans="1:37">
      <c r="A28" s="9" t="s">
        <v>357</v>
      </c>
      <c r="B28" s="10" t="s">
        <v>358</v>
      </c>
      <c r="C28" s="10" t="s">
        <v>294</v>
      </c>
      <c r="D28" s="11">
        <v>46327</v>
      </c>
      <c r="E28" s="10" t="s">
        <v>41</v>
      </c>
      <c r="F28" s="10" t="s">
        <v>359</v>
      </c>
      <c r="G28" s="10" t="s">
        <v>239</v>
      </c>
      <c r="H28" s="11">
        <v>29680</v>
      </c>
      <c r="I28" s="10" t="s">
        <v>291</v>
      </c>
      <c r="J28" s="10" t="s">
        <v>287</v>
      </c>
      <c r="K28" s="10" t="s">
        <v>295</v>
      </c>
      <c r="L28" s="10" t="s">
        <v>296</v>
      </c>
      <c r="M28" s="10">
        <v>2</v>
      </c>
      <c r="N28" s="10">
        <v>60</v>
      </c>
      <c r="O28" s="10">
        <v>5</v>
      </c>
      <c r="P28" s="10">
        <v>114</v>
      </c>
      <c r="Q28" s="10">
        <v>3</v>
      </c>
      <c r="R28" s="10" t="s">
        <v>254</v>
      </c>
      <c r="S28" s="10" t="s">
        <v>312</v>
      </c>
      <c r="T28" s="10" t="s">
        <v>360</v>
      </c>
      <c r="U28" s="10">
        <v>9512997042</v>
      </c>
      <c r="V28" s="12" t="s">
        <v>265</v>
      </c>
      <c r="W28" t="str">
        <f>IF(OR(Q28&lt;=2,V28="Cancelled"),"Blacklisted",IF(AND(P28&gt;100000,Q28&gt;=4,O28&lt;=10%,V28="Completed"),"Platinum",IF(AND(P28&gt;=50000,Q28&gt;=3,V28="Completed"),"Gold",IF(AND(P28&lt;50000,V28="Completed"),"Silver",""))))</f>
        <v>Blacklisted</v>
      </c>
      <c r="X28" t="str">
        <f>PROPER(TRIM(F28))</f>
        <v>Sneha Joshi</v>
      </c>
      <c r="Y28" t="str">
        <f>LEFT(F28,3)&amp;MID(B28,2,3)&amp;LEFT(I28,2)</f>
        <v>Sne006Pu</v>
      </c>
      <c r="Z28" t="str">
        <f>IF(ISNUMBER(SEARCH("@",T28)),LOWER(TRIM(T28)),"invalid email")</f>
        <v>sneha.joshi@company.com</v>
      </c>
      <c r="AA28">
        <f ca="1">IF(H27="","",IFERROR(DATEDIF(IF(ISNUMBER(H27),H27,DATE(VALUE(RIGHT(H27,4)),VALUE(MID(H27,3,2)),VALUE(LEFT(H27,2)))),TODAY(),"Y"),""))</f>
        <v>24</v>
      </c>
      <c r="AB28" t="str">
        <f>IF(OR(D28="",E28=""),"",IFERROR(DATE(MID(E28,7,4),MID(E28,4,2),LEFT(E28,2))-DATE(MID(D28,7,4),MID(D28,4,2),LEFT(D28,2)),""))</f>
        <v/>
      </c>
      <c r="AC28" t="str">
        <f>IF(E28="","Pending",IF(AB28&lt;=5,"On time","Delayed"))</f>
        <v>Delayed</v>
      </c>
      <c r="AD28" s="29" t="str">
        <f>IF(TRIM(S28)="","Not Assigned",S28)</f>
        <v>Karan</v>
      </c>
      <c r="AE28" t="str">
        <f>PROPER(TRIM(F28))</f>
        <v>Sneha Joshi</v>
      </c>
      <c r="AF28" t="str">
        <f>PROPER(TRIM(K28))</f>
        <v>Stationery</v>
      </c>
      <c r="AG28" t="str">
        <f>PROPER(TRIM(J28))</f>
        <v>West</v>
      </c>
      <c r="AH28" t="str">
        <f t="shared" si="0"/>
        <v>Stationery</v>
      </c>
      <c r="AI28" t="str">
        <f t="shared" si="1"/>
        <v>Stationery</v>
      </c>
      <c r="AK28">
        <f>IF(COUNTIF($A$2:A28,A28)=1,1,0)</f>
        <v>1</v>
      </c>
    </row>
    <row r="29" spans="1:37">
      <c r="A29" s="4" t="s">
        <v>361</v>
      </c>
      <c r="B29" s="5" t="s">
        <v>249</v>
      </c>
      <c r="C29" s="5" t="s">
        <v>362</v>
      </c>
      <c r="D29" s="5" t="s">
        <v>48</v>
      </c>
      <c r="E29" s="5" t="s">
        <v>156</v>
      </c>
      <c r="F29" s="5" t="s">
        <v>251</v>
      </c>
      <c r="G29" s="5" t="s">
        <v>239</v>
      </c>
      <c r="H29" s="6">
        <v>35102</v>
      </c>
      <c r="I29" s="5" t="s">
        <v>241</v>
      </c>
      <c r="J29" s="5" t="s">
        <v>242</v>
      </c>
      <c r="K29" s="5" t="s">
        <v>295</v>
      </c>
      <c r="L29" s="5" t="s">
        <v>363</v>
      </c>
      <c r="M29" s="5">
        <v>19</v>
      </c>
      <c r="N29" s="5">
        <v>45</v>
      </c>
      <c r="O29" s="5">
        <v>20</v>
      </c>
      <c r="P29" s="5">
        <v>684</v>
      </c>
      <c r="Q29" s="5">
        <v>4</v>
      </c>
      <c r="R29" s="5" t="s">
        <v>245</v>
      </c>
      <c r="S29" s="5" t="s">
        <v>246</v>
      </c>
      <c r="T29" s="5" t="s">
        <v>264</v>
      </c>
      <c r="U29" s="5">
        <v>9372748661</v>
      </c>
      <c r="V29" s="8" t="s">
        <v>265</v>
      </c>
      <c r="W29" t="str">
        <f>IF(OR(Q29&lt;=2,V29="Cancelled"),"Blacklisted",IF(AND(P29&gt;100000,Q29&gt;=4,O29&lt;=10%,V29="Completed"),"Platinum",IF(AND(P29&gt;=50000,Q29&gt;=3,V29="Completed"),"Gold",IF(AND(P29&lt;50000,V29="Completed"),"Silver",""))))</f>
        <v>Blacklisted</v>
      </c>
      <c r="X29" t="str">
        <f>PROPER(TRIM(F29))</f>
        <v>Kavya Nair</v>
      </c>
      <c r="Y29" t="str">
        <f>LEFT(F29,3)&amp;MID(B29,2,3)&amp;LEFT(I29,2)</f>
        <v>Kav008Be</v>
      </c>
      <c r="Z29" t="str">
        <f>IF(ISNUMBER(SEARCH("@",T29)),LOWER(TRIM(T29)),"invalid email")</f>
        <v>kavya.nair@company.com</v>
      </c>
      <c r="AA29">
        <f ca="1">IF(H28="","",IFERROR(DATEDIF(IF(ISNUMBER(H28),H28,DATE(VALUE(RIGHT(H28,4)),VALUE(MID(H28,3,2)),VALUE(LEFT(H28,2)))),TODAY(),"Y"),""))</f>
        <v>45</v>
      </c>
      <c r="AB29">
        <f>IF(OR(D29="",E29=""),"",IFERROR(DATE(MID(E29,7,4),MID(E29,4,2),LEFT(E29,2))-DATE(MID(D29,7,4),MID(D29,4,2),LEFT(D29,2)),""))</f>
        <v>10</v>
      </c>
      <c r="AC29" t="str">
        <f>IF(E29="","Pending",IF(AB29&lt;=5,"On time","Delayed"))</f>
        <v>Delayed</v>
      </c>
      <c r="AD29" s="29" t="str">
        <f>IF(TRIM(S29)="","Not Assigned",S29)</f>
        <v>Aisha</v>
      </c>
      <c r="AE29" t="str">
        <f>PROPER(TRIM(F29))</f>
        <v>Kavya Nair</v>
      </c>
      <c r="AF29" t="str">
        <f>PROPER(TRIM(K29))</f>
        <v>Stationery</v>
      </c>
      <c r="AG29" t="str">
        <f>PROPER(TRIM(J29))</f>
        <v>South</v>
      </c>
      <c r="AH29" t="str">
        <f t="shared" si="0"/>
        <v>Stationery</v>
      </c>
      <c r="AI29" t="str">
        <f t="shared" si="1"/>
        <v>Stationery</v>
      </c>
      <c r="AK29">
        <f>IF(COUNTIF($A$2:A29,A29)=1,1,0)</f>
        <v>1</v>
      </c>
    </row>
    <row r="30" spans="1:37">
      <c r="A30" s="9" t="s">
        <v>364</v>
      </c>
      <c r="B30" s="10" t="s">
        <v>284</v>
      </c>
      <c r="C30" s="10" t="s">
        <v>258</v>
      </c>
      <c r="D30" s="11">
        <v>45664</v>
      </c>
      <c r="E30" s="10" t="s">
        <v>365</v>
      </c>
      <c r="F30" s="10" t="s">
        <v>285</v>
      </c>
      <c r="G30" s="10" t="s">
        <v>239</v>
      </c>
      <c r="H30" s="10" t="s">
        <v>366</v>
      </c>
      <c r="I30" s="10" t="s">
        <v>306</v>
      </c>
      <c r="J30" s="10" t="s">
        <v>287</v>
      </c>
      <c r="K30" s="10" t="s">
        <v>243</v>
      </c>
      <c r="L30" s="10" t="s">
        <v>262</v>
      </c>
      <c r="M30" s="10">
        <v>11</v>
      </c>
      <c r="N30" s="10">
        <v>12000</v>
      </c>
      <c r="O30" s="10">
        <v>0</v>
      </c>
      <c r="P30" s="10">
        <v>132000</v>
      </c>
      <c r="Q30" s="10">
        <v>3</v>
      </c>
      <c r="R30" s="10" t="s">
        <v>277</v>
      </c>
      <c r="S30" s="10" t="s">
        <v>255</v>
      </c>
      <c r="T30" s="10" t="s">
        <v>308</v>
      </c>
      <c r="U30" s="10">
        <v>9570437805</v>
      </c>
      <c r="V30" s="12" t="s">
        <v>248</v>
      </c>
      <c r="W30" t="str">
        <f>IF(OR(Q30&lt;=2,V30="Cancelled"),"Blacklisted",IF(AND(P30&gt;100000,Q30&gt;=4,O30&lt;=10%,V30="Completed"),"Platinum",IF(AND(P30&gt;=50000,Q30&gt;=3,V30="Completed"),"Gold",IF(AND(P30&lt;50000,V30="Completed"),"Silver",""))))</f>
        <v/>
      </c>
      <c r="X30" t="str">
        <f>PROPER(TRIM(F30))</f>
        <v>Priya Patel</v>
      </c>
      <c r="Y30" t="str">
        <f>LEFT(F30,3)&amp;MID(B30,2,3)&amp;LEFT(I30,2)</f>
        <v>Pri002Ah</v>
      </c>
      <c r="Z30" t="str">
        <f>IF(ISNUMBER(SEARCH("@",T30)),LOWER(TRIM(T30)),"invalid email")</f>
        <v>priya.patel@company.com</v>
      </c>
      <c r="AA30">
        <f ca="1">IF(H29="","",IFERROR(DATEDIF(IF(ISNUMBER(H29),H29,DATE(VALUE(RIGHT(H29,4)),VALUE(MID(H29,3,2)),VALUE(LEFT(H29,2)))),TODAY(),"Y"),""))</f>
        <v>30</v>
      </c>
      <c r="AB30" t="str">
        <f>IF(OR(D30="",E30=""),"",IFERROR(DATE(MID(E30,7,4),MID(E30,4,2),LEFT(E30,2))-DATE(MID(D30,7,4),MID(D30,4,2),LEFT(D30,2)),""))</f>
        <v/>
      </c>
      <c r="AC30" t="str">
        <f>IF(E30="","Pending",IF(AB30&lt;=5,"On time","Delayed"))</f>
        <v>Delayed</v>
      </c>
      <c r="AD30" s="29" t="str">
        <f>IF(TRIM(S30)="","Not Assigned",S30)</f>
        <v>Ritika</v>
      </c>
      <c r="AE30" t="str">
        <f>PROPER(TRIM(F30))</f>
        <v>Priya Patel</v>
      </c>
      <c r="AF30" t="str">
        <f>PROPER(TRIM(K30))</f>
        <v>Electronics</v>
      </c>
      <c r="AG30" t="str">
        <f>PROPER(TRIM(J30))</f>
        <v>West</v>
      </c>
      <c r="AH30" t="str">
        <f t="shared" si="0"/>
        <v>Electronics</v>
      </c>
      <c r="AI30" t="str">
        <f t="shared" si="1"/>
        <v>Electronics</v>
      </c>
      <c r="AK30">
        <f>IF(COUNTIF($A$2:A30,A30)=1,1,0)</f>
        <v>1</v>
      </c>
    </row>
    <row r="31" spans="1:37">
      <c r="A31" s="4" t="s">
        <v>367</v>
      </c>
      <c r="B31" s="5" t="s">
        <v>358</v>
      </c>
      <c r="C31" s="5" t="s">
        <v>250</v>
      </c>
      <c r="D31" s="6">
        <v>45841</v>
      </c>
      <c r="E31" s="5" t="s">
        <v>304</v>
      </c>
      <c r="F31" s="5" t="s">
        <v>359</v>
      </c>
      <c r="G31" s="5" t="s">
        <v>239</v>
      </c>
      <c r="H31" s="5" t="s">
        <v>368</v>
      </c>
      <c r="I31" s="5" t="s">
        <v>241</v>
      </c>
      <c r="J31" s="5" t="s">
        <v>242</v>
      </c>
      <c r="K31" s="5" t="s">
        <v>15</v>
      </c>
      <c r="L31" s="5" t="s">
        <v>253</v>
      </c>
      <c r="M31" s="5">
        <v>20</v>
      </c>
      <c r="N31" s="5">
        <v>2200</v>
      </c>
      <c r="O31" s="5">
        <v>5</v>
      </c>
      <c r="P31" s="5">
        <v>41800</v>
      </c>
      <c r="Q31" s="5">
        <v>1</v>
      </c>
      <c r="R31" s="5" t="s">
        <v>254</v>
      </c>
      <c r="S31" s="5" t="s">
        <v>263</v>
      </c>
      <c r="T31" s="5" t="s">
        <v>360</v>
      </c>
      <c r="U31" s="5">
        <v>9310669113</v>
      </c>
      <c r="V31" s="8" t="s">
        <v>248</v>
      </c>
      <c r="W31" t="str">
        <f>IF(OR(Q31&lt;=2,V31="Cancelled"),"Blacklisted",IF(AND(P31&gt;100000,Q31&gt;=4,O31&lt;=10%,V31="Completed"),"Platinum",IF(AND(P31&gt;=50000,Q31&gt;=3,V31="Completed"),"Gold",IF(AND(P31&lt;50000,V31="Completed"),"Silver",""))))</f>
        <v>Blacklisted</v>
      </c>
      <c r="X31" t="str">
        <f>PROPER(TRIM(F31))</f>
        <v>Sneha Joshi</v>
      </c>
      <c r="Y31" t="str">
        <f>LEFT(F31,3)&amp;MID(B31,2,3)&amp;LEFT(I31,2)</f>
        <v>Sne006Be</v>
      </c>
      <c r="Z31" t="str">
        <f>IF(ISNUMBER(SEARCH("@",T31)),LOWER(TRIM(T31)),"invalid email")</f>
        <v>sneha.joshi@company.com</v>
      </c>
      <c r="AA31" t="str">
        <f ca="1">IF(H30="","",IFERROR(DATEDIF(IF(ISNUMBER(H30),H30,DATE(VALUE(RIGHT(H30,4)),VALUE(MID(H30,3,2)),VALUE(LEFT(H30,2)))),TODAY(),"Y"),""))</f>
        <v/>
      </c>
      <c r="AB31" t="str">
        <f>IF(OR(D31="",E31=""),"",IFERROR(DATE(MID(E31,7,4),MID(E31,4,2),LEFT(E31,2))-DATE(MID(D31,7,4),MID(D31,4,2),LEFT(D31,2)),""))</f>
        <v/>
      </c>
      <c r="AC31" t="str">
        <f>IF(E31="","Pending",IF(AB31&lt;=5,"On time","Delayed"))</f>
        <v>Delayed</v>
      </c>
      <c r="AD31" s="29" t="str">
        <f>IF(TRIM(S31)="","Not Assigned",S31)</f>
        <v>Rahul</v>
      </c>
      <c r="AE31" t="str">
        <f>PROPER(TRIM(F31))</f>
        <v>Sneha Joshi</v>
      </c>
      <c r="AF31" t="str">
        <f>PROPER(TRIM(K31))</f>
        <v>Home Appliances</v>
      </c>
      <c r="AG31" t="str">
        <f>PROPER(TRIM(J31))</f>
        <v>South</v>
      </c>
      <c r="AH31" t="str">
        <f t="shared" si="0"/>
        <v>Home Appliances</v>
      </c>
      <c r="AI31" t="str">
        <f t="shared" si="1"/>
        <v>Home Appliances</v>
      </c>
      <c r="AK31">
        <f>IF(COUNTIF($A$2:A31,A31)=1,1,0)</f>
        <v>1</v>
      </c>
    </row>
    <row r="32" spans="1:37">
      <c r="A32" s="9" t="s">
        <v>369</v>
      </c>
      <c r="B32" s="10" t="s">
        <v>275</v>
      </c>
      <c r="C32" s="10" t="s">
        <v>347</v>
      </c>
      <c r="D32" s="10" t="s">
        <v>134</v>
      </c>
      <c r="E32" s="11">
        <v>45754</v>
      </c>
      <c r="F32" s="10" t="s">
        <v>328</v>
      </c>
      <c r="G32" s="10" t="s">
        <v>269</v>
      </c>
      <c r="H32" s="10" t="s">
        <v>370</v>
      </c>
      <c r="I32" s="10" t="s">
        <v>306</v>
      </c>
      <c r="J32" s="10" t="s">
        <v>287</v>
      </c>
      <c r="K32" s="10" t="s">
        <v>295</v>
      </c>
      <c r="L32" s="10" t="s">
        <v>349</v>
      </c>
      <c r="M32" s="10">
        <v>3</v>
      </c>
      <c r="N32" s="10">
        <v>20</v>
      </c>
      <c r="O32" s="10">
        <v>0</v>
      </c>
      <c r="P32" s="10">
        <v>60</v>
      </c>
      <c r="Q32" s="10">
        <v>2</v>
      </c>
      <c r="R32" s="10" t="s">
        <v>272</v>
      </c>
      <c r="S32" s="10" t="s">
        <v>255</v>
      </c>
      <c r="T32" s="10" t="s">
        <v>371</v>
      </c>
      <c r="U32" s="10">
        <v>9437132894</v>
      </c>
      <c r="V32" s="12" t="s">
        <v>265</v>
      </c>
      <c r="W32" t="str">
        <f>IF(OR(Q32&lt;=2,V32="Cancelled"),"Blacklisted",IF(AND(P32&gt;100000,Q32&gt;=4,O32&lt;=10%,V32="Completed"),"Platinum",IF(AND(P32&gt;=50000,Q32&gt;=3,V32="Completed"),"Gold",IF(AND(P32&lt;50000,V32="Completed"),"Silver",""))))</f>
        <v>Blacklisted</v>
      </c>
      <c r="X32" t="str">
        <f>PROPER(TRIM(F32))</f>
        <v>Arjun Rao</v>
      </c>
      <c r="Y32" t="str">
        <f>LEFT(F32,3)&amp;MID(B32,2,3)&amp;LEFT(I32,2)</f>
        <v>Arj007Ah</v>
      </c>
      <c r="Z32" t="str">
        <f>IF(ISNUMBER(SEARCH("@",T32)),LOWER(TRIM(T32)),"invalid email")</f>
        <v>invalid email</v>
      </c>
      <c r="AA32" t="str">
        <f ca="1">IF(H31="","",IFERROR(DATEDIF(IF(ISNUMBER(H31),H31,DATE(VALUE(RIGHT(H31,4)),VALUE(MID(H31,3,2)),VALUE(LEFT(H31,2)))),TODAY(),"Y"),""))</f>
        <v/>
      </c>
      <c r="AB32" t="str">
        <f>IF(OR(D32="",E32=""),"",IFERROR(DATE(MID(E32,7,4),MID(E32,4,2),LEFT(E32,2))-DATE(MID(D32,7,4),MID(D32,4,2),LEFT(D32,2)),""))</f>
        <v/>
      </c>
      <c r="AC32" t="str">
        <f>IF(E32="","Pending",IF(AB32&lt;=5,"On time","Delayed"))</f>
        <v>Delayed</v>
      </c>
      <c r="AD32" s="29" t="str">
        <f>IF(TRIM(S32)="","Not Assigned",S32)</f>
        <v>Ritika</v>
      </c>
      <c r="AE32" t="str">
        <f>PROPER(TRIM(F32))</f>
        <v>Arjun Rao</v>
      </c>
      <c r="AF32" t="str">
        <f>PROPER(TRIM(K32))</f>
        <v>Stationery</v>
      </c>
      <c r="AG32" t="str">
        <f>PROPER(TRIM(J32))</f>
        <v>West</v>
      </c>
      <c r="AH32" t="str">
        <f t="shared" si="0"/>
        <v>Stationery</v>
      </c>
      <c r="AI32" t="str">
        <f t="shared" si="1"/>
        <v>Stationery</v>
      </c>
      <c r="AK32">
        <f>IF(COUNTIF($A$2:A32,A32)=1,1,0)</f>
        <v>1</v>
      </c>
    </row>
    <row r="33" spans="1:37">
      <c r="A33" s="4" t="s">
        <v>372</v>
      </c>
      <c r="B33" s="5" t="s">
        <v>299</v>
      </c>
      <c r="C33" s="5" t="s">
        <v>362</v>
      </c>
      <c r="D33" s="6">
        <v>45910</v>
      </c>
      <c r="E33" s="5" t="s">
        <v>84</v>
      </c>
      <c r="F33" s="5" t="s">
        <v>301</v>
      </c>
      <c r="G33" s="5" t="s">
        <v>269</v>
      </c>
      <c r="H33" s="5" t="s">
        <v>373</v>
      </c>
      <c r="I33" s="5" t="s">
        <v>291</v>
      </c>
      <c r="J33" s="5" t="s">
        <v>287</v>
      </c>
      <c r="K33" s="5" t="s">
        <v>295</v>
      </c>
      <c r="L33" s="5" t="s">
        <v>363</v>
      </c>
      <c r="M33" s="5">
        <v>18</v>
      </c>
      <c r="N33" s="5">
        <v>45</v>
      </c>
      <c r="O33" s="5">
        <v>20</v>
      </c>
      <c r="P33" s="5">
        <v>648</v>
      </c>
      <c r="Q33" s="5">
        <v>4</v>
      </c>
      <c r="R33" s="5" t="s">
        <v>245</v>
      </c>
      <c r="S33" s="5" t="s">
        <v>255</v>
      </c>
      <c r="T33" s="5" t="s">
        <v>302</v>
      </c>
      <c r="U33" s="5">
        <v>9762437243</v>
      </c>
      <c r="V33" s="8" t="s">
        <v>265</v>
      </c>
      <c r="W33" t="str">
        <f>IF(OR(Q33&lt;=2,V33="Cancelled"),"Blacklisted",IF(AND(P33&gt;100000,Q33&gt;=4,O33&lt;=10%,V33="Completed"),"Platinum",IF(AND(P33&gt;=50000,Q33&gt;=3,V33="Completed"),"Gold",IF(AND(P33&lt;50000,V33="Completed"),"Silver",""))))</f>
        <v>Blacklisted</v>
      </c>
      <c r="X33" t="str">
        <f>PROPER(TRIM(F33))</f>
        <v>Rohit Singh</v>
      </c>
      <c r="Y33" t="str">
        <f>LEFT(F33,3)&amp;MID(B33,2,3)&amp;LEFT(I33,2)</f>
        <v>Roh003Pu</v>
      </c>
      <c r="Z33" t="str">
        <f>IF(ISNUMBER(SEARCH("@",T33)),LOWER(TRIM(T33)),"invalid email")</f>
        <v>rohit.singh@company.com</v>
      </c>
      <c r="AA33" t="str">
        <f ca="1">IF(H32="","",IFERROR(DATEDIF(IF(ISNUMBER(H32),H32,DATE(VALUE(RIGHT(H32,4)),VALUE(MID(H32,3,2)),VALUE(LEFT(H32,2)))),TODAY(),"Y"),""))</f>
        <v/>
      </c>
      <c r="AB33" t="str">
        <f>IF(OR(D33="",E33=""),"",IFERROR(DATE(MID(E33,7,4),MID(E33,4,2),LEFT(E33,2))-DATE(MID(D33,7,4),MID(D33,4,2),LEFT(D33,2)),""))</f>
        <v/>
      </c>
      <c r="AC33" t="str">
        <f>IF(E33="","Pending",IF(AB33&lt;=5,"On time","Delayed"))</f>
        <v>Delayed</v>
      </c>
      <c r="AD33" s="29" t="str">
        <f>IF(TRIM(S33)="","Not Assigned",S33)</f>
        <v>Ritika</v>
      </c>
      <c r="AE33" t="str">
        <f>PROPER(TRIM(F33))</f>
        <v>Rohit Singh</v>
      </c>
      <c r="AF33" t="str">
        <f>PROPER(TRIM(K33))</f>
        <v>Stationery</v>
      </c>
      <c r="AG33" t="str">
        <f>PROPER(TRIM(J33))</f>
        <v>West</v>
      </c>
      <c r="AH33" t="str">
        <f t="shared" si="0"/>
        <v>Stationery</v>
      </c>
      <c r="AI33" t="str">
        <f t="shared" si="1"/>
        <v>Stationery</v>
      </c>
      <c r="AK33">
        <f>IF(COUNTIF($A$2:A33,A33)=1,1,0)</f>
        <v>1</v>
      </c>
    </row>
    <row r="34" spans="1:37">
      <c r="A34" s="9" t="s">
        <v>374</v>
      </c>
      <c r="B34" s="10" t="s">
        <v>299</v>
      </c>
      <c r="C34" s="10" t="s">
        <v>267</v>
      </c>
      <c r="D34" s="10" t="s">
        <v>85</v>
      </c>
      <c r="E34" s="10" t="s">
        <v>375</v>
      </c>
      <c r="F34" s="10" t="s">
        <v>301</v>
      </c>
      <c r="G34" s="10" t="s">
        <v>269</v>
      </c>
      <c r="H34" s="11">
        <v>29043</v>
      </c>
      <c r="I34" s="10" t="s">
        <v>241</v>
      </c>
      <c r="J34" s="10" t="s">
        <v>242</v>
      </c>
      <c r="K34" s="10" t="s">
        <v>243</v>
      </c>
      <c r="L34" s="10" t="s">
        <v>271</v>
      </c>
      <c r="M34" s="10">
        <v>4</v>
      </c>
      <c r="N34" s="10">
        <v>1200</v>
      </c>
      <c r="O34" s="10">
        <v>20</v>
      </c>
      <c r="P34" s="10">
        <v>3840</v>
      </c>
      <c r="Q34" s="10">
        <v>3</v>
      </c>
      <c r="R34" s="10" t="s">
        <v>245</v>
      </c>
      <c r="S34" s="10" t="s">
        <v>246</v>
      </c>
      <c r="T34" s="10" t="s">
        <v>302</v>
      </c>
      <c r="U34" s="10">
        <v>9149046970</v>
      </c>
      <c r="V34" s="12" t="s">
        <v>257</v>
      </c>
      <c r="W34" t="str">
        <f>IF(OR(Q34&lt;=2,V34="Cancelled"),"Blacklisted",IF(AND(P34&gt;100000,Q34&gt;=4,O34&lt;=10%,V34="Completed"),"Platinum",IF(AND(P34&gt;=50000,Q34&gt;=3,V34="Completed"),"Gold",IF(AND(P34&lt;50000,V34="Completed"),"Silver",""))))</f>
        <v>Silver</v>
      </c>
      <c r="X34" t="str">
        <f>PROPER(TRIM(F34))</f>
        <v>Rohit Singh</v>
      </c>
      <c r="Y34" t="str">
        <f>LEFT(F34,3)&amp;MID(B34,2,3)&amp;LEFT(I34,2)</f>
        <v>Roh003Be</v>
      </c>
      <c r="Z34" t="str">
        <f>IF(ISNUMBER(SEARCH("@",T34)),LOWER(TRIM(T34)),"invalid email")</f>
        <v>rohit.singh@company.com</v>
      </c>
      <c r="AA34" t="str">
        <f ca="1">IF(H33="","",IFERROR(DATEDIF(IF(ISNUMBER(H33),H33,DATE(VALUE(RIGHT(H33,4)),VALUE(MID(H33,3,2)),VALUE(LEFT(H33,2)))),TODAY(),"Y"),""))</f>
        <v/>
      </c>
      <c r="AB34">
        <f>IF(OR(D34="",E34=""),"",IFERROR(DATE(MID(E34,7,4),MID(E34,4,2),LEFT(E34,2))-DATE(MID(D34,7,4),MID(D34,4,2),LEFT(D34,2)),""))</f>
        <v>7</v>
      </c>
      <c r="AC34" t="str">
        <f>IF(E34="","Pending",IF(AB34&lt;=5,"On time","Delayed"))</f>
        <v>Delayed</v>
      </c>
      <c r="AD34" s="29" t="str">
        <f>IF(TRIM(S34)="","Not Assigned",S34)</f>
        <v>Aisha</v>
      </c>
      <c r="AE34" t="str">
        <f>PROPER(TRIM(F34))</f>
        <v>Rohit Singh</v>
      </c>
      <c r="AF34" t="str">
        <f>PROPER(TRIM(K34))</f>
        <v>Electronics</v>
      </c>
      <c r="AG34" t="str">
        <f>PROPER(TRIM(J34))</f>
        <v>South</v>
      </c>
      <c r="AH34" t="str">
        <f t="shared" si="0"/>
        <v>Electronics</v>
      </c>
      <c r="AI34" t="str">
        <f t="shared" si="1"/>
        <v>Electronics</v>
      </c>
      <c r="AK34">
        <f>IF(COUNTIF($A$2:A34,A34)=1,1,0)</f>
        <v>1</v>
      </c>
    </row>
    <row r="35" spans="1:37">
      <c r="A35" s="4" t="s">
        <v>376</v>
      </c>
      <c r="B35" s="5" t="s">
        <v>266</v>
      </c>
      <c r="C35" s="5" t="s">
        <v>236</v>
      </c>
      <c r="D35" s="6">
        <v>45788</v>
      </c>
      <c r="E35" s="5" t="s">
        <v>377</v>
      </c>
      <c r="F35" s="5" t="s">
        <v>268</v>
      </c>
      <c r="G35" s="5" t="s">
        <v>269</v>
      </c>
      <c r="H35" s="5" t="s">
        <v>378</v>
      </c>
      <c r="I35" s="5" t="s">
        <v>379</v>
      </c>
      <c r="J35" s="5" t="s">
        <v>21</v>
      </c>
      <c r="K35" s="5" t="s">
        <v>243</v>
      </c>
      <c r="L35" s="5" t="s">
        <v>244</v>
      </c>
      <c r="M35" s="5">
        <v>10</v>
      </c>
      <c r="N35" s="5">
        <v>55000</v>
      </c>
      <c r="O35" s="5">
        <v>0</v>
      </c>
      <c r="P35" s="5">
        <v>550000</v>
      </c>
      <c r="Q35" s="5">
        <v>1</v>
      </c>
      <c r="R35" s="5" t="s">
        <v>277</v>
      </c>
      <c r="S35" s="5" t="s">
        <v>263</v>
      </c>
      <c r="T35" s="5" t="s">
        <v>273</v>
      </c>
      <c r="U35" s="5">
        <v>9869182901</v>
      </c>
      <c r="V35" s="8" t="s">
        <v>265</v>
      </c>
      <c r="W35" t="str">
        <f>IF(OR(Q35&lt;=2,V35="Cancelled"),"Blacklisted",IF(AND(P35&gt;100000,Q35&gt;=4,O35&lt;=10%,V35="Completed"),"Platinum",IF(AND(P35&gt;=50000,Q35&gt;=3,V35="Completed"),"Gold",IF(AND(P35&lt;50000,V35="Completed"),"Silver",""))))</f>
        <v>Blacklisted</v>
      </c>
      <c r="X35" t="str">
        <f>PROPER(TRIM(F35))</f>
        <v>Mohit Verma</v>
      </c>
      <c r="Y35" t="str">
        <f>LEFT(F35,3)&amp;MID(B35,2,3)&amp;LEFT(I35,2)</f>
        <v>Moh009Ko</v>
      </c>
      <c r="Z35" t="str">
        <f>IF(ISNUMBER(SEARCH("@",T35)),LOWER(TRIM(T35)),"invalid email")</f>
        <v>mohit.verma@company.com</v>
      </c>
      <c r="AA35">
        <f ca="1">IF(H34="","",IFERROR(DATEDIF(IF(ISNUMBER(H34),H34,DATE(VALUE(RIGHT(H34,4)),VALUE(MID(H34,3,2)),VALUE(LEFT(H34,2)))),TODAY(),"Y"),""))</f>
        <v>47</v>
      </c>
      <c r="AB35" t="str">
        <f>IF(OR(D35="",E35=""),"",IFERROR(DATE(MID(E35,7,4),MID(E35,4,2),LEFT(E35,2))-DATE(MID(D35,7,4),MID(D35,4,2),LEFT(D35,2)),""))</f>
        <v/>
      </c>
      <c r="AC35" t="str">
        <f>IF(E35="","Pending",IF(AB35&lt;=5,"On time","Delayed"))</f>
        <v>Delayed</v>
      </c>
      <c r="AD35" s="29" t="str">
        <f>IF(TRIM(S35)="","Not Assigned",S35)</f>
        <v>Rahul</v>
      </c>
      <c r="AE35" t="str">
        <f>PROPER(TRIM(F35))</f>
        <v>Mohit Verma</v>
      </c>
      <c r="AF35" t="str">
        <f>PROPER(TRIM(K35))</f>
        <v>Electronics</v>
      </c>
      <c r="AG35" t="str">
        <f>PROPER(TRIM(J35))</f>
        <v>East</v>
      </c>
      <c r="AH35" t="str">
        <f t="shared" si="0"/>
        <v>Electronics</v>
      </c>
      <c r="AI35" t="str">
        <f t="shared" si="1"/>
        <v>Electronics</v>
      </c>
      <c r="AK35">
        <f>IF(COUNTIF($A$2:A35,A35)=1,1,0)</f>
        <v>1</v>
      </c>
    </row>
    <row r="36" spans="1:37">
      <c r="A36" s="9" t="s">
        <v>380</v>
      </c>
      <c r="B36" s="10" t="s">
        <v>358</v>
      </c>
      <c r="C36" s="10" t="s">
        <v>280</v>
      </c>
      <c r="D36" s="11">
        <v>46237</v>
      </c>
      <c r="E36" s="10" t="s">
        <v>354</v>
      </c>
      <c r="F36" s="10" t="s">
        <v>359</v>
      </c>
      <c r="G36" s="10" t="s">
        <v>239</v>
      </c>
      <c r="H36" s="10" t="s">
        <v>381</v>
      </c>
      <c r="I36" s="10" t="s">
        <v>260</v>
      </c>
      <c r="J36" s="10" t="s">
        <v>261</v>
      </c>
      <c r="K36" s="10" t="s">
        <v>15</v>
      </c>
      <c r="L36" s="10" t="s">
        <v>282</v>
      </c>
      <c r="M36" s="10">
        <v>20</v>
      </c>
      <c r="N36" s="10">
        <v>3500</v>
      </c>
      <c r="O36" s="10">
        <v>10</v>
      </c>
      <c r="P36" s="10">
        <v>63000</v>
      </c>
      <c r="Q36" s="10">
        <v>3</v>
      </c>
      <c r="R36" s="10" t="s">
        <v>272</v>
      </c>
      <c r="S36" s="10" t="s">
        <v>263</v>
      </c>
      <c r="T36" s="10" t="s">
        <v>360</v>
      </c>
      <c r="U36" s="10">
        <v>9283578533</v>
      </c>
      <c r="V36" s="12" t="s">
        <v>265</v>
      </c>
      <c r="W36" t="str">
        <f>IF(OR(Q36&lt;=2,V36="Cancelled"),"Blacklisted",IF(AND(P36&gt;100000,Q36&gt;=4,O36&lt;=10%,V36="Completed"),"Platinum",IF(AND(P36&gt;=50000,Q36&gt;=3,V36="Completed"),"Gold",IF(AND(P36&lt;50000,V36="Completed"),"Silver",""))))</f>
        <v>Blacklisted</v>
      </c>
      <c r="X36" t="str">
        <f>PROPER(TRIM(F36))</f>
        <v>Sneha Joshi</v>
      </c>
      <c r="Y36" t="str">
        <f>LEFT(F36,3)&amp;MID(B36,2,3)&amp;LEFT(I36,2)</f>
        <v>Sne006De</v>
      </c>
      <c r="Z36" t="str">
        <f>IF(ISNUMBER(SEARCH("@",T36)),LOWER(TRIM(T36)),"invalid email")</f>
        <v>sneha.joshi@company.com</v>
      </c>
      <c r="AA36" t="str">
        <f ca="1">IF(H35="","",IFERROR(DATEDIF(IF(ISNUMBER(H35),H35,DATE(VALUE(RIGHT(H35,4)),VALUE(MID(H35,3,2)),VALUE(LEFT(H35,2)))),TODAY(),"Y"),""))</f>
        <v/>
      </c>
      <c r="AB36" t="str">
        <f>IF(OR(D36="",E36=""),"",IFERROR(DATE(MID(E36,7,4),MID(E36,4,2),LEFT(E36,2))-DATE(MID(D36,7,4),MID(D36,4,2),LEFT(D36,2)),""))</f>
        <v/>
      </c>
      <c r="AC36" t="str">
        <f>IF(E36="","Pending",IF(AB36&lt;=5,"On time","Delayed"))</f>
        <v>Delayed</v>
      </c>
      <c r="AD36" s="29" t="str">
        <f>IF(TRIM(S36)="","Not Assigned",S36)</f>
        <v>Rahul</v>
      </c>
      <c r="AE36" t="str">
        <f>PROPER(TRIM(F36))</f>
        <v>Sneha Joshi</v>
      </c>
      <c r="AF36" t="str">
        <f>PROPER(TRIM(K36))</f>
        <v>Home Appliances</v>
      </c>
      <c r="AG36" t="str">
        <f>PROPER(TRIM(J36))</f>
        <v>North</v>
      </c>
      <c r="AH36" t="str">
        <f t="shared" si="0"/>
        <v>Home Appliances</v>
      </c>
      <c r="AI36" t="str">
        <f t="shared" si="1"/>
        <v>Home Appliances</v>
      </c>
      <c r="AK36">
        <f>IF(COUNTIF($A$2:A36,A36)=1,1,0)</f>
        <v>1</v>
      </c>
    </row>
    <row r="37" spans="1:37">
      <c r="A37" s="4" t="s">
        <v>382</v>
      </c>
      <c r="B37" s="5" t="s">
        <v>249</v>
      </c>
      <c r="C37" s="5" t="s">
        <v>347</v>
      </c>
      <c r="D37" s="5" t="s">
        <v>7</v>
      </c>
      <c r="E37" s="5" t="s">
        <v>75</v>
      </c>
      <c r="F37" s="5" t="s">
        <v>251</v>
      </c>
      <c r="G37" s="5" t="s">
        <v>239</v>
      </c>
      <c r="H37" s="5" t="s">
        <v>383</v>
      </c>
      <c r="I37" s="5" t="s">
        <v>291</v>
      </c>
      <c r="J37" s="5" t="s">
        <v>287</v>
      </c>
      <c r="K37" s="5" t="s">
        <v>295</v>
      </c>
      <c r="L37" s="5" t="s">
        <v>349</v>
      </c>
      <c r="M37" s="5">
        <v>5</v>
      </c>
      <c r="N37" s="5">
        <v>1200</v>
      </c>
      <c r="O37" s="5">
        <v>0</v>
      </c>
      <c r="P37" s="5">
        <v>100</v>
      </c>
      <c r="Q37" s="5">
        <v>1</v>
      </c>
      <c r="R37" s="5" t="s">
        <v>254</v>
      </c>
      <c r="S37" s="5" t="s">
        <v>263</v>
      </c>
      <c r="T37" s="5" t="s">
        <v>264</v>
      </c>
      <c r="U37" s="5">
        <v>9963005771</v>
      </c>
      <c r="V37" s="8" t="s">
        <v>265</v>
      </c>
      <c r="W37" t="str">
        <f>IF(OR(Q37&lt;=2,V37="Cancelled"),"Blacklisted",IF(AND(P37&gt;100000,Q37&gt;=4,O37&lt;=10%,V37="Completed"),"Platinum",IF(AND(P37&gt;=50000,Q37&gt;=3,V37="Completed"),"Gold",IF(AND(P37&lt;50000,V37="Completed"),"Silver",""))))</f>
        <v>Blacklisted</v>
      </c>
      <c r="X37" t="str">
        <f>PROPER(TRIM(F37))</f>
        <v>Kavya Nair</v>
      </c>
      <c r="Y37" t="str">
        <f>LEFT(F37,3)&amp;MID(B37,2,3)&amp;LEFT(I37,2)</f>
        <v>Kav008Pu</v>
      </c>
      <c r="Z37" t="str">
        <f>IF(ISNUMBER(SEARCH("@",T37)),LOWER(TRIM(T37)),"invalid email")</f>
        <v>kavya.nair@company.com</v>
      </c>
      <c r="AA37" t="str">
        <f ca="1">IF(H36="","",IFERROR(DATEDIF(IF(ISNUMBER(H36),H36,DATE(VALUE(RIGHT(H36,4)),VALUE(MID(H36,3,2)),VALUE(LEFT(H36,2)))),TODAY(),"Y"),""))</f>
        <v/>
      </c>
      <c r="AB37">
        <f>IF(OR(D37="",E37=""),"",IFERROR(DATE(MID(E37,7,4),MID(E37,4,2),LEFT(E37,2))-DATE(MID(D37,7,4),MID(D37,4,2),LEFT(D37,2)),""))</f>
        <v>6</v>
      </c>
      <c r="AC37" t="str">
        <f>IF(E37="","Pending",IF(AB37&lt;=5,"On time","Delayed"))</f>
        <v>Delayed</v>
      </c>
      <c r="AD37" s="29" t="str">
        <f>IF(TRIM(S37)="","Not Assigned",S37)</f>
        <v>Rahul</v>
      </c>
      <c r="AE37" t="str">
        <f>PROPER(TRIM(F37))</f>
        <v>Kavya Nair</v>
      </c>
      <c r="AF37" t="str">
        <f>PROPER(TRIM(K37))</f>
        <v>Stationery</v>
      </c>
      <c r="AG37" t="str">
        <f>PROPER(TRIM(J37))</f>
        <v>West</v>
      </c>
      <c r="AH37" t="str">
        <f t="shared" si="0"/>
        <v>Stationery</v>
      </c>
      <c r="AI37" t="str">
        <f t="shared" si="1"/>
        <v>Stationery</v>
      </c>
      <c r="AK37">
        <f>IF(COUNTIF($A$2:A37,A37)=1,1,0)</f>
        <v>1</v>
      </c>
    </row>
    <row r="38" spans="1:37">
      <c r="A38" s="9" t="s">
        <v>384</v>
      </c>
      <c r="B38" s="10" t="s">
        <v>235</v>
      </c>
      <c r="C38" s="10" t="s">
        <v>322</v>
      </c>
      <c r="D38" s="11">
        <v>45787</v>
      </c>
      <c r="E38" s="10" t="s">
        <v>37</v>
      </c>
      <c r="F38" s="10" t="s">
        <v>318</v>
      </c>
      <c r="G38" s="10" t="s">
        <v>239</v>
      </c>
      <c r="H38" s="10" t="s">
        <v>385</v>
      </c>
      <c r="I38" s="10" t="s">
        <v>286</v>
      </c>
      <c r="J38" s="10" t="s">
        <v>287</v>
      </c>
      <c r="K38" s="10" t="s">
        <v>15</v>
      </c>
      <c r="L38" s="10" t="s">
        <v>325</v>
      </c>
      <c r="M38" s="10">
        <v>20</v>
      </c>
      <c r="N38" s="10">
        <v>8500</v>
      </c>
      <c r="O38" s="10">
        <v>0</v>
      </c>
      <c r="P38" s="10">
        <v>170000</v>
      </c>
      <c r="Q38" s="10">
        <v>1</v>
      </c>
      <c r="R38" s="10" t="s">
        <v>277</v>
      </c>
      <c r="S38" s="10" t="s">
        <v>292</v>
      </c>
      <c r="T38" s="10" t="s">
        <v>247</v>
      </c>
      <c r="U38" s="10">
        <v>9484632635</v>
      </c>
      <c r="V38" s="12" t="s">
        <v>265</v>
      </c>
      <c r="W38" t="str">
        <f>IF(OR(Q38&lt;=2,V38="Cancelled"),"Blacklisted",IF(AND(P38&gt;100000,Q38&gt;=4,O38&lt;=10%,V38="Completed"),"Platinum",IF(AND(P38&gt;=50000,Q38&gt;=3,V38="Completed"),"Gold",IF(AND(P38&lt;50000,V38="Completed"),"Silver",""))))</f>
        <v>Blacklisted</v>
      </c>
      <c r="X38" t="str">
        <f>PROPER(TRIM(F38))</f>
        <v>Pooja Shah</v>
      </c>
      <c r="Y38" t="str">
        <f>LEFT(F38,3)&amp;MID(B38,2,3)&amp;LEFT(I38,2)</f>
        <v>Poo010Mu</v>
      </c>
      <c r="Z38" t="str">
        <f>IF(ISNUMBER(SEARCH("@",T38)),LOWER(TRIM(T38)),"invalid email")</f>
        <v>pooja.shah@company.com</v>
      </c>
      <c r="AA38" t="str">
        <f ca="1">IF(H37="","",IFERROR(DATEDIF(IF(ISNUMBER(H37),H37,DATE(VALUE(RIGHT(H37,4)),VALUE(MID(H37,3,2)),VALUE(LEFT(H37,2)))),TODAY(),"Y"),""))</f>
        <v/>
      </c>
      <c r="AB38" t="str">
        <f>IF(OR(D38="",E38=""),"",IFERROR(DATE(MID(E38,7,4),MID(E38,4,2),LEFT(E38,2))-DATE(MID(D38,7,4),MID(D38,4,2),LEFT(D38,2)),""))</f>
        <v/>
      </c>
      <c r="AC38" t="str">
        <f>IF(E38="","Pending",IF(AB38&lt;=5,"On time","Delayed"))</f>
        <v>Delayed</v>
      </c>
      <c r="AD38" s="29" t="str">
        <f>IF(TRIM(S38)="","Not Assigned",S38)</f>
        <v>Neha</v>
      </c>
      <c r="AE38" t="str">
        <f>PROPER(TRIM(F38))</f>
        <v>Pooja Shah</v>
      </c>
      <c r="AF38" t="str">
        <f>PROPER(TRIM(K38))</f>
        <v>Home Appliances</v>
      </c>
      <c r="AG38" t="str">
        <f>PROPER(TRIM(J38))</f>
        <v>West</v>
      </c>
      <c r="AH38" t="str">
        <f t="shared" si="0"/>
        <v>Home Appliances</v>
      </c>
      <c r="AI38" t="str">
        <f t="shared" si="1"/>
        <v>Home Appliances</v>
      </c>
      <c r="AK38">
        <f>IF(COUNTIF($A$2:A38,A38)=1,1,0)</f>
        <v>1</v>
      </c>
    </row>
    <row r="39" spans="1:37">
      <c r="A39" s="4" t="s">
        <v>386</v>
      </c>
      <c r="B39" s="5" t="s">
        <v>275</v>
      </c>
      <c r="C39" s="5" t="s">
        <v>294</v>
      </c>
      <c r="D39" s="6">
        <v>46297</v>
      </c>
      <c r="E39" s="6">
        <v>46358</v>
      </c>
      <c r="F39" s="5" t="s">
        <v>328</v>
      </c>
      <c r="G39" s="5" t="s">
        <v>269</v>
      </c>
      <c r="H39" s="6">
        <v>34491</v>
      </c>
      <c r="I39" s="5" t="s">
        <v>241</v>
      </c>
      <c r="J39" s="5" t="s">
        <v>242</v>
      </c>
      <c r="K39" s="5" t="s">
        <v>295</v>
      </c>
      <c r="L39" s="5" t="s">
        <v>296</v>
      </c>
      <c r="M39" s="5">
        <v>8</v>
      </c>
      <c r="N39" s="5">
        <v>60</v>
      </c>
      <c r="O39" s="5">
        <v>15</v>
      </c>
      <c r="P39" s="5">
        <v>408</v>
      </c>
      <c r="Q39" s="5">
        <v>5</v>
      </c>
      <c r="R39" s="5" t="s">
        <v>277</v>
      </c>
      <c r="S39" s="5" t="s">
        <v>263</v>
      </c>
      <c r="T39" s="5" t="s">
        <v>278</v>
      </c>
      <c r="U39" s="5">
        <v>9276319484</v>
      </c>
      <c r="V39" s="8" t="s">
        <v>248</v>
      </c>
      <c r="W39" t="str">
        <f>IF(OR(Q39&lt;=2,V39="Cancelled"),"Blacklisted",IF(AND(P39&gt;100000,Q39&gt;=4,O39&lt;=10%,V39="Completed"),"Platinum",IF(AND(P39&gt;=50000,Q39&gt;=3,V39="Completed"),"Gold",IF(AND(P39&lt;50000,V39="Completed"),"Silver",""))))</f>
        <v/>
      </c>
      <c r="X39" t="str">
        <f>PROPER(TRIM(F39))</f>
        <v>Arjun Rao</v>
      </c>
      <c r="Y39" t="str">
        <f>LEFT(F39,3)&amp;MID(B39,2,3)&amp;LEFT(I39,2)</f>
        <v>Arj007Be</v>
      </c>
      <c r="Z39" t="str">
        <f>IF(ISNUMBER(SEARCH("@",T39)),LOWER(TRIM(T39)),"invalid email")</f>
        <v>arjun.rao@company.com</v>
      </c>
      <c r="AA39" t="str">
        <f ca="1">IF(H38="","",IFERROR(DATEDIF(IF(ISNUMBER(H38),H38,DATE(VALUE(RIGHT(H38,4)),VALUE(MID(H38,3,2)),VALUE(LEFT(H38,2)))),TODAY(),"Y"),""))</f>
        <v/>
      </c>
      <c r="AB39" t="str">
        <f>IF(OR(D39="",E39=""),"",IFERROR(DATE(MID(E39,7,4),MID(E39,4,2),LEFT(E39,2))-DATE(MID(D39,7,4),MID(D39,4,2),LEFT(D39,2)),""))</f>
        <v/>
      </c>
      <c r="AC39" t="str">
        <f>IF(E39="","Pending",IF(AB39&lt;=5,"On time","Delayed"))</f>
        <v>Delayed</v>
      </c>
      <c r="AD39" s="29" t="str">
        <f>IF(TRIM(S39)="","Not Assigned",S39)</f>
        <v>Rahul</v>
      </c>
      <c r="AE39" t="str">
        <f>PROPER(TRIM(F39))</f>
        <v>Arjun Rao</v>
      </c>
      <c r="AF39" t="str">
        <f>PROPER(TRIM(K39))</f>
        <v>Stationery</v>
      </c>
      <c r="AG39" t="str">
        <f>PROPER(TRIM(J39))</f>
        <v>South</v>
      </c>
      <c r="AH39" t="str">
        <f t="shared" si="0"/>
        <v>Stationery</v>
      </c>
      <c r="AI39" t="str">
        <f t="shared" si="1"/>
        <v>Stationery</v>
      </c>
      <c r="AK39">
        <f>IF(COUNTIF($A$2:A39,A39)=1,1,0)</f>
        <v>1</v>
      </c>
    </row>
    <row r="40" spans="1:37">
      <c r="A40" s="9" t="s">
        <v>387</v>
      </c>
      <c r="B40" s="10" t="s">
        <v>235</v>
      </c>
      <c r="C40" s="10" t="s">
        <v>280</v>
      </c>
      <c r="D40" s="11">
        <v>45753</v>
      </c>
      <c r="E40" s="10" t="s">
        <v>48</v>
      </c>
      <c r="F40" s="10" t="s">
        <v>318</v>
      </c>
      <c r="G40" s="10" t="s">
        <v>239</v>
      </c>
      <c r="H40" s="10" t="s">
        <v>388</v>
      </c>
      <c r="I40" s="10" t="s">
        <v>291</v>
      </c>
      <c r="J40" s="10" t="s">
        <v>287</v>
      </c>
      <c r="K40" s="10" t="s">
        <v>15</v>
      </c>
      <c r="L40" s="10" t="s">
        <v>282</v>
      </c>
      <c r="M40" s="10">
        <v>8</v>
      </c>
      <c r="N40" s="10">
        <v>3500</v>
      </c>
      <c r="O40" s="10">
        <v>5</v>
      </c>
      <c r="P40" s="10">
        <v>26600</v>
      </c>
      <c r="Q40" s="10">
        <v>1</v>
      </c>
      <c r="R40" s="10" t="s">
        <v>272</v>
      </c>
      <c r="S40" s="10" t="s">
        <v>292</v>
      </c>
      <c r="T40" s="10" t="s">
        <v>247</v>
      </c>
      <c r="U40" s="10">
        <v>9619034852</v>
      </c>
      <c r="V40" s="12" t="s">
        <v>248</v>
      </c>
      <c r="W40" t="str">
        <f>IF(OR(Q40&lt;=2,V40="Cancelled"),"Blacklisted",IF(AND(P40&gt;100000,Q40&gt;=4,O40&lt;=10%,V40="Completed"),"Platinum",IF(AND(P40&gt;=50000,Q40&gt;=3,V40="Completed"),"Gold",IF(AND(P40&lt;50000,V40="Completed"),"Silver",""))))</f>
        <v>Blacklisted</v>
      </c>
      <c r="X40" t="str">
        <f>PROPER(TRIM(F40))</f>
        <v>Pooja Shah</v>
      </c>
      <c r="Y40" t="str">
        <f>LEFT(F40,3)&amp;MID(B40,2,3)&amp;LEFT(I40,2)</f>
        <v>Poo010Pu</v>
      </c>
      <c r="Z40" t="str">
        <f>IF(ISNUMBER(SEARCH("@",T40)),LOWER(TRIM(T40)),"invalid email")</f>
        <v>pooja.shah@company.com</v>
      </c>
      <c r="AA40">
        <f ca="1">IF(H39="","",IFERROR(DATEDIF(IF(ISNUMBER(H39),H39,DATE(VALUE(RIGHT(H39,4)),VALUE(MID(H39,3,2)),VALUE(LEFT(H39,2)))),TODAY(),"Y"),""))</f>
        <v>32</v>
      </c>
      <c r="AB40" t="str">
        <f>IF(OR(D40="",E40=""),"",IFERROR(DATE(MID(E40,7,4),MID(E40,4,2),LEFT(E40,2))-DATE(MID(D40,7,4),MID(D40,4,2),LEFT(D40,2)),""))</f>
        <v/>
      </c>
      <c r="AC40" t="str">
        <f>IF(E40="","Pending",IF(AB40&lt;=5,"On time","Delayed"))</f>
        <v>Delayed</v>
      </c>
      <c r="AD40" s="29" t="str">
        <f>IF(TRIM(S40)="","Not Assigned",S40)</f>
        <v>Neha</v>
      </c>
      <c r="AE40" t="str">
        <f>PROPER(TRIM(F40))</f>
        <v>Pooja Shah</v>
      </c>
      <c r="AF40" t="str">
        <f>PROPER(TRIM(K40))</f>
        <v>Home Appliances</v>
      </c>
      <c r="AG40" t="str">
        <f>PROPER(TRIM(J40))</f>
        <v>West</v>
      </c>
      <c r="AH40" t="str">
        <f t="shared" si="0"/>
        <v>Home Appliances</v>
      </c>
      <c r="AI40" t="str">
        <f t="shared" si="1"/>
        <v>Home Appliances</v>
      </c>
      <c r="AK40">
        <f>IF(COUNTIF($A$2:A40,A40)=1,1,0)</f>
        <v>1</v>
      </c>
    </row>
    <row r="41" spans="1:37">
      <c r="A41" s="4" t="s">
        <v>389</v>
      </c>
      <c r="B41" s="5" t="s">
        <v>266</v>
      </c>
      <c r="C41" s="5" t="s">
        <v>322</v>
      </c>
      <c r="D41" s="6">
        <v>46236</v>
      </c>
      <c r="E41" s="5" t="s">
        <v>24</v>
      </c>
      <c r="F41" s="5" t="s">
        <v>268</v>
      </c>
      <c r="G41" s="5" t="s">
        <v>269</v>
      </c>
      <c r="H41" s="5" t="s">
        <v>390</v>
      </c>
      <c r="I41" s="5" t="s">
        <v>342</v>
      </c>
      <c r="J41" s="5" t="s">
        <v>261</v>
      </c>
      <c r="K41" s="5" t="s">
        <v>15</v>
      </c>
      <c r="L41" s="5" t="s">
        <v>325</v>
      </c>
      <c r="M41" s="5">
        <v>1</v>
      </c>
      <c r="N41" s="5">
        <v>8500</v>
      </c>
      <c r="O41" s="5">
        <v>0</v>
      </c>
      <c r="P41" s="5">
        <v>8500</v>
      </c>
      <c r="Q41" s="5">
        <v>2</v>
      </c>
      <c r="R41" s="5" t="s">
        <v>272</v>
      </c>
      <c r="S41" s="5" t="s">
        <v>292</v>
      </c>
      <c r="T41" s="5" t="s">
        <v>273</v>
      </c>
      <c r="U41" s="5">
        <v>9636416962</v>
      </c>
      <c r="V41" s="8" t="s">
        <v>248</v>
      </c>
      <c r="W41" t="str">
        <f>IF(OR(Q41&lt;=2,V41="Cancelled"),"Blacklisted",IF(AND(P41&gt;100000,Q41&gt;=4,O41&lt;=10%,V41="Completed"),"Platinum",IF(AND(P41&gt;=50000,Q41&gt;=3,V41="Completed"),"Gold",IF(AND(P41&lt;50000,V41="Completed"),"Silver",""))))</f>
        <v>Blacklisted</v>
      </c>
      <c r="X41" t="str">
        <f>PROPER(TRIM(F41))</f>
        <v>Mohit Verma</v>
      </c>
      <c r="Y41" t="str">
        <f>LEFT(F41,3)&amp;MID(B41,2,3)&amp;LEFT(I41,2)</f>
        <v>Moh009Ja</v>
      </c>
      <c r="Z41" t="str">
        <f>IF(ISNUMBER(SEARCH("@",T41)),LOWER(TRIM(T41)),"invalid email")</f>
        <v>mohit.verma@company.com</v>
      </c>
      <c r="AA41" t="str">
        <f ca="1">IF(H40="","",IFERROR(DATEDIF(IF(ISNUMBER(H40),H40,DATE(VALUE(RIGHT(H40,4)),VALUE(MID(H40,3,2)),VALUE(LEFT(H40,2)))),TODAY(),"Y"),""))</f>
        <v/>
      </c>
      <c r="AB41" t="str">
        <f>IF(OR(D41="",E41=""),"",IFERROR(DATE(MID(E41,7,4),MID(E41,4,2),LEFT(E41,2))-DATE(MID(D41,7,4),MID(D41,4,2),LEFT(D41,2)),""))</f>
        <v/>
      </c>
      <c r="AC41" t="str">
        <f>IF(E41="","Pending",IF(AB41&lt;=5,"On time","Delayed"))</f>
        <v>Delayed</v>
      </c>
      <c r="AD41" s="29" t="str">
        <f>IF(TRIM(S41)="","Not Assigned",S41)</f>
        <v>Neha</v>
      </c>
      <c r="AE41" t="str">
        <f>PROPER(TRIM(F41))</f>
        <v>Mohit Verma</v>
      </c>
      <c r="AF41" t="str">
        <f>PROPER(TRIM(K41))</f>
        <v>Home Appliances</v>
      </c>
      <c r="AG41" t="str">
        <f>PROPER(TRIM(J41))</f>
        <v>North</v>
      </c>
      <c r="AH41" t="str">
        <f t="shared" si="0"/>
        <v>Home Appliances</v>
      </c>
      <c r="AI41" t="str">
        <f t="shared" si="1"/>
        <v>Home Appliances</v>
      </c>
      <c r="AK41">
        <f>IF(COUNTIF($A$2:A41,A41)=1,1,0)</f>
        <v>1</v>
      </c>
    </row>
    <row r="42" spans="1:37">
      <c r="A42" s="9" t="s">
        <v>391</v>
      </c>
      <c r="B42" s="10" t="s">
        <v>392</v>
      </c>
      <c r="C42" s="10" t="s">
        <v>362</v>
      </c>
      <c r="D42" s="10" t="s">
        <v>195</v>
      </c>
      <c r="E42" s="10" t="s">
        <v>393</v>
      </c>
      <c r="F42" s="10" t="s">
        <v>323</v>
      </c>
      <c r="G42" s="10" t="s">
        <v>269</v>
      </c>
      <c r="H42" s="11">
        <v>33489</v>
      </c>
      <c r="I42" s="10" t="s">
        <v>291</v>
      </c>
      <c r="J42" s="10" t="s">
        <v>287</v>
      </c>
      <c r="K42" s="10" t="s">
        <v>295</v>
      </c>
      <c r="L42" s="10" t="s">
        <v>363</v>
      </c>
      <c r="M42" s="10">
        <v>8</v>
      </c>
      <c r="N42" s="10">
        <v>45</v>
      </c>
      <c r="O42" s="10">
        <v>15</v>
      </c>
      <c r="P42" s="10">
        <v>306</v>
      </c>
      <c r="Q42" s="10">
        <v>2</v>
      </c>
      <c r="R42" s="10" t="s">
        <v>272</v>
      </c>
      <c r="S42" s="10" t="s">
        <v>246</v>
      </c>
      <c r="T42" s="10" t="s">
        <v>395</v>
      </c>
      <c r="U42" s="10">
        <v>9357133880</v>
      </c>
      <c r="V42" s="12" t="s">
        <v>257</v>
      </c>
      <c r="W42" t="str">
        <f>IF(OR(Q42&lt;=2,V42="Cancelled"),"Blacklisted",IF(AND(P42&gt;100000,Q42&gt;=4,O42&lt;=10%,V42="Completed"),"Platinum",IF(AND(P42&gt;=50000,Q42&gt;=3,V42="Completed"),"Gold",IF(AND(P42&lt;50000,V42="Completed"),"Silver",""))))</f>
        <v>Blacklisted</v>
      </c>
      <c r="X42" t="str">
        <f>PROPER(TRIM(F42))</f>
        <v>Amit Sharma</v>
      </c>
      <c r="Y42" t="str">
        <f>LEFT(F42,3)&amp;MID(B42,2,3)&amp;LEFT(I42,2)</f>
        <v>Ami001Pu</v>
      </c>
      <c r="Z42" t="str">
        <f>IF(ISNUMBER(SEARCH("@",T42)),LOWER(TRIM(T42)),"invalid email")</f>
        <v>amit.sharma@company.com</v>
      </c>
      <c r="AA42" t="str">
        <f ca="1">IF(H41="","",IFERROR(DATEDIF(IF(ISNUMBER(H41),H41,DATE(VALUE(RIGHT(H41,4)),VALUE(MID(H41,3,2)),VALUE(LEFT(H41,2)))),TODAY(),"Y"),""))</f>
        <v/>
      </c>
      <c r="AB42">
        <f>IF(OR(D42="",E42=""),"",IFERROR(DATE(MID(E42,7,4),MID(E42,4,2),LEFT(E42,2))-DATE(MID(D42,7,4),MID(D42,4,2),LEFT(D42,2)),""))</f>
        <v>1</v>
      </c>
      <c r="AC42" t="str">
        <f>IF(E42="","Pending",IF(AB42&lt;=5,"On time","Delayed"))</f>
        <v>On time</v>
      </c>
      <c r="AD42" s="29" t="str">
        <f>IF(TRIM(S42)="","Not Assigned",S42)</f>
        <v>Aisha</v>
      </c>
      <c r="AE42" t="str">
        <f>PROPER(TRIM(F42))</f>
        <v>Amit Sharma</v>
      </c>
      <c r="AF42" t="str">
        <f>PROPER(TRIM(K42))</f>
        <v>Stationery</v>
      </c>
      <c r="AG42" t="str">
        <f>PROPER(TRIM(J42))</f>
        <v>West</v>
      </c>
      <c r="AH42" t="str">
        <f t="shared" si="0"/>
        <v>Stationery</v>
      </c>
      <c r="AI42" t="str">
        <f t="shared" si="1"/>
        <v>Stationery</v>
      </c>
      <c r="AK42">
        <f>IF(COUNTIF($A$2:A42,A42)=1,1,0)</f>
        <v>1</v>
      </c>
    </row>
    <row r="43" spans="1:37">
      <c r="A43" s="4" t="s">
        <v>396</v>
      </c>
      <c r="B43" s="5" t="s">
        <v>358</v>
      </c>
      <c r="C43" s="5" t="s">
        <v>250</v>
      </c>
      <c r="D43" s="5" t="s">
        <v>141</v>
      </c>
      <c r="E43" s="5" t="s">
        <v>178</v>
      </c>
      <c r="F43" s="5" t="s">
        <v>359</v>
      </c>
      <c r="G43" s="5" t="s">
        <v>239</v>
      </c>
      <c r="H43" s="5" t="s">
        <v>397</v>
      </c>
      <c r="I43" s="5" t="s">
        <v>291</v>
      </c>
      <c r="J43" s="5" t="s">
        <v>287</v>
      </c>
      <c r="K43" s="5" t="s">
        <v>15</v>
      </c>
      <c r="L43" s="5" t="s">
        <v>253</v>
      </c>
      <c r="M43" s="5">
        <v>16</v>
      </c>
      <c r="N43" s="5">
        <v>2200</v>
      </c>
      <c r="O43" s="5">
        <v>5</v>
      </c>
      <c r="P43" s="5">
        <v>33440</v>
      </c>
      <c r="Q43" s="5">
        <v>5</v>
      </c>
      <c r="R43" s="5" t="s">
        <v>272</v>
      </c>
      <c r="S43" s="5" t="s">
        <v>246</v>
      </c>
      <c r="T43" s="5" t="s">
        <v>360</v>
      </c>
      <c r="U43" s="5">
        <v>9575210324</v>
      </c>
      <c r="V43" s="8" t="s">
        <v>265</v>
      </c>
      <c r="W43" t="str">
        <f>IF(OR(Q43&lt;=2,V43="Cancelled"),"Blacklisted",IF(AND(P43&gt;100000,Q43&gt;=4,O43&lt;=10%,V43="Completed"),"Platinum",IF(AND(P43&gt;=50000,Q43&gt;=3,V43="Completed"),"Gold",IF(AND(P43&lt;50000,V43="Completed"),"Silver",""))))</f>
        <v>Blacklisted</v>
      </c>
      <c r="X43" t="str">
        <f>PROPER(TRIM(F43))</f>
        <v>Sneha Joshi</v>
      </c>
      <c r="Y43" t="str">
        <f>LEFT(F43,3)&amp;MID(B43,2,3)&amp;LEFT(I43,2)</f>
        <v>Sne006Pu</v>
      </c>
      <c r="Z43" t="str">
        <f>IF(ISNUMBER(SEARCH("@",T43)),LOWER(TRIM(T43)),"invalid email")</f>
        <v>sneha.joshi@company.com</v>
      </c>
      <c r="AA43">
        <f ca="1">IF(H42="","",IFERROR(DATEDIF(IF(ISNUMBER(H42),H42,DATE(VALUE(RIGHT(H42,4)),VALUE(MID(H42,3,2)),VALUE(LEFT(H42,2)))),TODAY(),"Y"),""))</f>
        <v>35</v>
      </c>
      <c r="AB43">
        <f>IF(OR(D43="",E43=""),"",IFERROR(DATE(MID(E43,7,4),MID(E43,4,2),LEFT(E43,2))-DATE(MID(D43,7,4),MID(D43,4,2),LEFT(D43,2)),""))</f>
        <v>3</v>
      </c>
      <c r="AC43" t="str">
        <f>IF(E43="","Pending",IF(AB43&lt;=5,"On time","Delayed"))</f>
        <v>On time</v>
      </c>
      <c r="AD43" s="29" t="str">
        <f>IF(TRIM(S43)="","Not Assigned",S43)</f>
        <v>Aisha</v>
      </c>
      <c r="AE43" t="str">
        <f>PROPER(TRIM(F43))</f>
        <v>Sneha Joshi</v>
      </c>
      <c r="AF43" t="str">
        <f>PROPER(TRIM(K43))</f>
        <v>Home Appliances</v>
      </c>
      <c r="AG43" t="str">
        <f>PROPER(TRIM(J43))</f>
        <v>West</v>
      </c>
      <c r="AH43" t="str">
        <f t="shared" si="0"/>
        <v>Home Appliances</v>
      </c>
      <c r="AI43" t="str">
        <f t="shared" si="1"/>
        <v>Home Appliances</v>
      </c>
      <c r="AK43">
        <f>IF(COUNTIF($A$2:A43,A43)=1,1,0)</f>
        <v>1</v>
      </c>
    </row>
    <row r="44" spans="1:37">
      <c r="A44" s="9" t="s">
        <v>398</v>
      </c>
      <c r="B44" s="10" t="s">
        <v>266</v>
      </c>
      <c r="C44" s="10" t="s">
        <v>280</v>
      </c>
      <c r="D44" s="10" t="s">
        <v>20</v>
      </c>
      <c r="E44" s="10" t="s">
        <v>126</v>
      </c>
      <c r="F44" s="10" t="s">
        <v>268</v>
      </c>
      <c r="G44" s="10" t="s">
        <v>269</v>
      </c>
      <c r="H44" s="10" t="s">
        <v>399</v>
      </c>
      <c r="I44" s="10" t="s">
        <v>241</v>
      </c>
      <c r="J44" s="10" t="s">
        <v>242</v>
      </c>
      <c r="K44" s="10" t="s">
        <v>15</v>
      </c>
      <c r="L44" s="10" t="s">
        <v>282</v>
      </c>
      <c r="M44" s="10">
        <v>19</v>
      </c>
      <c r="N44" s="10">
        <v>3500</v>
      </c>
      <c r="O44" s="10">
        <v>20</v>
      </c>
      <c r="P44" s="10">
        <v>53200</v>
      </c>
      <c r="Q44" s="10">
        <v>3</v>
      </c>
      <c r="R44" s="10" t="s">
        <v>254</v>
      </c>
      <c r="S44" s="10" t="s">
        <v>312</v>
      </c>
      <c r="T44" s="10" t="s">
        <v>273</v>
      </c>
      <c r="U44" s="10">
        <v>9276080204</v>
      </c>
      <c r="V44" s="12" t="s">
        <v>265</v>
      </c>
      <c r="W44" t="str">
        <f>IF(OR(Q44&lt;=2,V44="Cancelled"),"Blacklisted",IF(AND(P44&gt;100000,Q44&gt;=4,O44&lt;=10%,V44="Completed"),"Platinum",IF(AND(P44&gt;=50000,Q44&gt;=3,V44="Completed"),"Gold",IF(AND(P44&lt;50000,V44="Completed"),"Silver",""))))</f>
        <v>Blacklisted</v>
      </c>
      <c r="X44" t="str">
        <f>PROPER(TRIM(F44))</f>
        <v>Mohit Verma</v>
      </c>
      <c r="Y44" t="str">
        <f>LEFT(F44,3)&amp;MID(B44,2,3)&amp;LEFT(I44,2)</f>
        <v>Moh009Be</v>
      </c>
      <c r="Z44" t="str">
        <f>IF(ISNUMBER(SEARCH("@",T44)),LOWER(TRIM(T44)),"invalid email")</f>
        <v>mohit.verma@company.com</v>
      </c>
      <c r="AA44" t="str">
        <f ca="1">IF(H43="","",IFERROR(DATEDIF(IF(ISNUMBER(H43),H43,DATE(VALUE(RIGHT(H43,4)),VALUE(MID(H43,3,2)),VALUE(LEFT(H43,2)))),TODAY(),"Y"),""))</f>
        <v/>
      </c>
      <c r="AB44">
        <f>IF(OR(D44="",E44=""),"",IFERROR(DATE(MID(E44,7,4),MID(E44,4,2),LEFT(E44,2))-DATE(MID(D44,7,4),MID(D44,4,2),LEFT(D44,2)),""))</f>
        <v>10</v>
      </c>
      <c r="AC44" t="str">
        <f>IF(E44="","Pending",IF(AB44&lt;=5,"On time","Delayed"))</f>
        <v>Delayed</v>
      </c>
      <c r="AD44" s="29" t="str">
        <f>IF(TRIM(S44)="","Not Assigned",S44)</f>
        <v>Karan</v>
      </c>
      <c r="AE44" t="str">
        <f>PROPER(TRIM(F44))</f>
        <v>Mohit Verma</v>
      </c>
      <c r="AF44" t="str">
        <f>PROPER(TRIM(K44))</f>
        <v>Home Appliances</v>
      </c>
      <c r="AG44" t="str">
        <f>PROPER(TRIM(J44))</f>
        <v>South</v>
      </c>
      <c r="AH44" t="str">
        <f t="shared" si="0"/>
        <v>Home Appliances</v>
      </c>
      <c r="AI44" t="str">
        <f t="shared" si="1"/>
        <v>Home Appliances</v>
      </c>
      <c r="AK44">
        <f>IF(COUNTIF($A$2:A44,A44)=1,1,0)</f>
        <v>1</v>
      </c>
    </row>
    <row r="45" spans="1:37">
      <c r="A45" s="4" t="s">
        <v>400</v>
      </c>
      <c r="B45" s="5" t="s">
        <v>358</v>
      </c>
      <c r="C45" s="5" t="s">
        <v>330</v>
      </c>
      <c r="D45" s="6">
        <v>45971</v>
      </c>
      <c r="E45" s="5" t="s">
        <v>401</v>
      </c>
      <c r="F45" s="5" t="s">
        <v>359</v>
      </c>
      <c r="G45" s="5" t="s">
        <v>239</v>
      </c>
      <c r="H45" s="6">
        <v>36684</v>
      </c>
      <c r="I45" s="5" t="s">
        <v>291</v>
      </c>
      <c r="J45" s="5" t="s">
        <v>287</v>
      </c>
      <c r="K45" s="5" t="s">
        <v>243</v>
      </c>
      <c r="L45" s="5" t="s">
        <v>333</v>
      </c>
      <c r="M45" s="5">
        <v>15</v>
      </c>
      <c r="N45" s="5">
        <v>700</v>
      </c>
      <c r="O45" s="5">
        <v>15</v>
      </c>
      <c r="P45" s="5">
        <v>8925</v>
      </c>
      <c r="Q45" s="5">
        <v>4</v>
      </c>
      <c r="R45" s="5" t="s">
        <v>277</v>
      </c>
      <c r="S45" s="5" t="s">
        <v>292</v>
      </c>
      <c r="T45" s="5" t="s">
        <v>402</v>
      </c>
      <c r="U45" s="5">
        <v>9856624471</v>
      </c>
      <c r="V45" s="8" t="s">
        <v>257</v>
      </c>
      <c r="W45" t="str">
        <f>IF(OR(Q45&lt;=2,V45="Cancelled"),"Blacklisted",IF(AND(P45&gt;100000,Q45&gt;=4,O45&lt;=10%,V45="Completed"),"Platinum",IF(AND(P45&gt;=50000,Q45&gt;=3,V45="Completed"),"Gold",IF(AND(P45&lt;50000,V45="Completed"),"Silver",""))))</f>
        <v>Silver</v>
      </c>
      <c r="X45" t="str">
        <f>PROPER(TRIM(F45))</f>
        <v>Sneha Joshi</v>
      </c>
      <c r="Y45" t="str">
        <f>LEFT(F45,3)&amp;MID(B45,2,3)&amp;LEFT(I45,2)</f>
        <v>Sne006Pu</v>
      </c>
      <c r="Z45" t="str">
        <f>IF(ISNUMBER(SEARCH("@",T45)),LOWER(TRIM(T45)),"invalid email")</f>
        <v>invalid email</v>
      </c>
      <c r="AA45" t="str">
        <f ca="1">IF(H44="","",IFERROR(DATEDIF(IF(ISNUMBER(H44),H44,DATE(VALUE(RIGHT(H44,4)),VALUE(MID(H44,3,2)),VALUE(LEFT(H44,2)))),TODAY(),"Y"),""))</f>
        <v/>
      </c>
      <c r="AB45" t="str">
        <f>IF(OR(D45="",E45=""),"",IFERROR(DATE(MID(E45,7,4),MID(E45,4,2),LEFT(E45,2))-DATE(MID(D45,7,4),MID(D45,4,2),LEFT(D45,2)),""))</f>
        <v/>
      </c>
      <c r="AC45" t="str">
        <f>IF(E45="","Pending",IF(AB45&lt;=5,"On time","Delayed"))</f>
        <v>Delayed</v>
      </c>
      <c r="AD45" s="29" t="str">
        <f>IF(TRIM(S45)="","Not Assigned",S45)</f>
        <v>Neha</v>
      </c>
      <c r="AE45" t="str">
        <f>PROPER(TRIM(F45))</f>
        <v>Sneha Joshi</v>
      </c>
      <c r="AF45" t="str">
        <f>PROPER(TRIM(K45))</f>
        <v>Electronics</v>
      </c>
      <c r="AG45" t="str">
        <f>PROPER(TRIM(J45))</f>
        <v>West</v>
      </c>
      <c r="AH45" t="str">
        <f t="shared" si="0"/>
        <v>Electronics</v>
      </c>
      <c r="AI45" t="str">
        <f t="shared" si="1"/>
        <v>Electronics</v>
      </c>
      <c r="AK45">
        <f>IF(COUNTIF($A$2:A45,A45)=1,1,0)</f>
        <v>1</v>
      </c>
    </row>
    <row r="46" spans="1:37">
      <c r="A46" s="9" t="s">
        <v>403</v>
      </c>
      <c r="B46" s="10" t="s">
        <v>358</v>
      </c>
      <c r="C46" s="10" t="s">
        <v>330</v>
      </c>
      <c r="D46" s="10" t="s">
        <v>171</v>
      </c>
      <c r="E46" s="11">
        <v>45728</v>
      </c>
      <c r="F46" s="10" t="s">
        <v>359</v>
      </c>
      <c r="G46" s="10" t="s">
        <v>239</v>
      </c>
      <c r="H46" s="10" t="s">
        <v>404</v>
      </c>
      <c r="I46" s="10" t="s">
        <v>342</v>
      </c>
      <c r="J46" s="10" t="s">
        <v>261</v>
      </c>
      <c r="K46" s="10" t="s">
        <v>243</v>
      </c>
      <c r="L46" s="10" t="s">
        <v>333</v>
      </c>
      <c r="M46" s="10">
        <v>19</v>
      </c>
      <c r="N46" s="10">
        <v>700</v>
      </c>
      <c r="O46" s="10">
        <v>20</v>
      </c>
      <c r="P46" s="10">
        <v>10640</v>
      </c>
      <c r="Q46" s="10">
        <v>1</v>
      </c>
      <c r="R46" s="10" t="s">
        <v>254</v>
      </c>
      <c r="S46" s="10" t="s">
        <v>292</v>
      </c>
      <c r="T46" s="10" t="s">
        <v>360</v>
      </c>
      <c r="U46" s="10">
        <v>9238141322</v>
      </c>
      <c r="V46" s="12" t="s">
        <v>257</v>
      </c>
      <c r="W46" t="str">
        <f>IF(OR(Q46&lt;=2,V46="Cancelled"),"Blacklisted",IF(AND(P46&gt;100000,Q46&gt;=4,O46&lt;=10%,V46="Completed"),"Platinum",IF(AND(P46&gt;=50000,Q46&gt;=3,V46="Completed"),"Gold",IF(AND(P46&lt;50000,V46="Completed"),"Silver",""))))</f>
        <v>Blacklisted</v>
      </c>
      <c r="X46" t="str">
        <f>PROPER(TRIM(F46))</f>
        <v>Sneha Joshi</v>
      </c>
      <c r="Y46" t="str">
        <f>LEFT(F46,3)&amp;MID(B46,2,3)&amp;LEFT(I46,2)</f>
        <v>Sne006Ja</v>
      </c>
      <c r="Z46" t="str">
        <f>IF(ISNUMBER(SEARCH("@",T46)),LOWER(TRIM(T46)),"invalid email")</f>
        <v>sneha.joshi@company.com</v>
      </c>
      <c r="AA46">
        <f ca="1">IF(H45="","",IFERROR(DATEDIF(IF(ISNUMBER(H45),H45,DATE(VALUE(RIGHT(H45,4)),VALUE(MID(H45,3,2)),VALUE(LEFT(H45,2)))),TODAY(),"Y"),""))</f>
        <v>26</v>
      </c>
      <c r="AB46" t="str">
        <f>IF(OR(D46="",E46=""),"",IFERROR(DATE(MID(E46,7,4),MID(E46,4,2),LEFT(E46,2))-DATE(MID(D46,7,4),MID(D46,4,2),LEFT(D46,2)),""))</f>
        <v/>
      </c>
      <c r="AC46" t="str">
        <f>IF(E46="","Pending",IF(AB46&lt;=5,"On time","Delayed"))</f>
        <v>Delayed</v>
      </c>
      <c r="AD46" s="29" t="str">
        <f>IF(TRIM(S46)="","Not Assigned",S46)</f>
        <v>Neha</v>
      </c>
      <c r="AE46" t="str">
        <f>PROPER(TRIM(F46))</f>
        <v>Sneha Joshi</v>
      </c>
      <c r="AF46" t="str">
        <f>PROPER(TRIM(K46))</f>
        <v>Electronics</v>
      </c>
      <c r="AG46" t="str">
        <f>PROPER(TRIM(J46))</f>
        <v>North</v>
      </c>
      <c r="AH46" t="str">
        <f t="shared" si="0"/>
        <v>Electronics</v>
      </c>
      <c r="AI46" t="str">
        <f t="shared" si="1"/>
        <v>Electronics</v>
      </c>
      <c r="AK46">
        <f>IF(COUNTIF($A$2:A46,A46)=1,1,0)</f>
        <v>1</v>
      </c>
    </row>
    <row r="47" spans="1:37">
      <c r="A47" s="4" t="s">
        <v>405</v>
      </c>
      <c r="B47" s="5" t="s">
        <v>266</v>
      </c>
      <c r="C47" s="5" t="s">
        <v>258</v>
      </c>
      <c r="D47" s="5" t="s">
        <v>78</v>
      </c>
      <c r="E47" s="5" t="s">
        <v>248</v>
      </c>
      <c r="F47" s="5" t="s">
        <v>268</v>
      </c>
      <c r="G47" s="5" t="s">
        <v>269</v>
      </c>
      <c r="H47" s="6">
        <v>35130</v>
      </c>
      <c r="I47" s="5" t="s">
        <v>260</v>
      </c>
      <c r="J47" s="5" t="s">
        <v>261</v>
      </c>
      <c r="K47" s="5" t="s">
        <v>243</v>
      </c>
      <c r="L47" s="5" t="s">
        <v>262</v>
      </c>
      <c r="M47" s="5">
        <v>19</v>
      </c>
      <c r="N47" s="5">
        <v>12000</v>
      </c>
      <c r="O47" s="5">
        <v>0</v>
      </c>
      <c r="P47" s="5">
        <v>228000</v>
      </c>
      <c r="Q47" s="5">
        <v>1</v>
      </c>
      <c r="R47" s="5" t="s">
        <v>245</v>
      </c>
      <c r="S47" s="5" t="s">
        <v>246</v>
      </c>
      <c r="T47" s="5" t="s">
        <v>273</v>
      </c>
      <c r="U47" s="5">
        <v>9890380030</v>
      </c>
      <c r="V47" s="8" t="s">
        <v>257</v>
      </c>
      <c r="W47" t="str">
        <f>IF(OR(Q47&lt;=2,V47="Cancelled"),"Blacklisted",IF(AND(P47&gt;100000,Q47&gt;=4,O47&lt;=10%,V47="Completed"),"Platinum",IF(AND(P47&gt;=50000,Q47&gt;=3,V47="Completed"),"Gold",IF(AND(P47&lt;50000,V47="Completed"),"Silver",""))))</f>
        <v>Blacklisted</v>
      </c>
      <c r="X47" t="str">
        <f>PROPER(TRIM(F47))</f>
        <v>Mohit Verma</v>
      </c>
      <c r="Y47" t="str">
        <f>LEFT(F47,3)&amp;MID(B47,2,3)&amp;LEFT(I47,2)</f>
        <v>Moh009De</v>
      </c>
      <c r="Z47" t="str">
        <f>IF(ISNUMBER(SEARCH("@",T47)),LOWER(TRIM(T47)),"invalid email")</f>
        <v>mohit.verma@company.com</v>
      </c>
      <c r="AA47" t="str">
        <f ca="1">IF(H46="","",IFERROR(DATEDIF(IF(ISNUMBER(H46),H46,DATE(VALUE(RIGHT(H46,4)),VALUE(MID(H46,3,2)),VALUE(LEFT(H46,2)))),TODAY(),"Y"),""))</f>
        <v/>
      </c>
      <c r="AB47" t="str">
        <f>IF(OR(D47="",E47=""),"",IFERROR(DATE(MID(E47,7,4),MID(E47,4,2),LEFT(E47,2))-DATE(MID(D47,7,4),MID(D47,4,2),LEFT(D47,2)),""))</f>
        <v/>
      </c>
      <c r="AC47" t="str">
        <f>IF(E47="","Pending",IF(AB47&lt;=5,"On time","Delayed"))</f>
        <v>Delayed</v>
      </c>
      <c r="AD47" s="29" t="str">
        <f>IF(TRIM(S47)="","Not Assigned",S47)</f>
        <v>Aisha</v>
      </c>
      <c r="AE47" t="str">
        <f>PROPER(TRIM(F47))</f>
        <v>Mohit Verma</v>
      </c>
      <c r="AF47" t="str">
        <f>PROPER(TRIM(K47))</f>
        <v>Electronics</v>
      </c>
      <c r="AG47" t="str">
        <f>PROPER(TRIM(J47))</f>
        <v>North</v>
      </c>
      <c r="AH47" t="str">
        <f t="shared" si="0"/>
        <v>Electronics</v>
      </c>
      <c r="AI47" t="str">
        <f t="shared" si="1"/>
        <v>Electronics</v>
      </c>
      <c r="AK47">
        <f>IF(COUNTIF($A$2:A47,A47)=1,1,0)</f>
        <v>1</v>
      </c>
    </row>
    <row r="48" spans="1:37">
      <c r="A48" s="9" t="s">
        <v>406</v>
      </c>
      <c r="B48" s="10" t="s">
        <v>321</v>
      </c>
      <c r="C48" s="10" t="s">
        <v>267</v>
      </c>
      <c r="D48" s="10" t="s">
        <v>78</v>
      </c>
      <c r="E48" s="10" t="s">
        <v>407</v>
      </c>
      <c r="F48" s="10" t="s">
        <v>408</v>
      </c>
      <c r="G48" s="10" t="s">
        <v>239</v>
      </c>
      <c r="H48" s="10" t="s">
        <v>409</v>
      </c>
      <c r="I48" s="10" t="s">
        <v>291</v>
      </c>
      <c r="J48" s="10" t="s">
        <v>287</v>
      </c>
      <c r="K48" s="10" t="s">
        <v>243</v>
      </c>
      <c r="L48" s="10" t="s">
        <v>271</v>
      </c>
      <c r="M48" s="10">
        <v>6</v>
      </c>
      <c r="N48" s="10">
        <v>1200</v>
      </c>
      <c r="O48" s="10">
        <v>5</v>
      </c>
      <c r="P48" s="10">
        <v>6840</v>
      </c>
      <c r="Q48" s="10">
        <v>2</v>
      </c>
      <c r="R48" s="10" t="s">
        <v>254</v>
      </c>
      <c r="S48" s="10" t="s">
        <v>255</v>
      </c>
      <c r="T48" s="10" t="s">
        <v>326</v>
      </c>
      <c r="U48" s="10">
        <v>9495893170</v>
      </c>
      <c r="V48" s="12" t="s">
        <v>248</v>
      </c>
      <c r="W48" t="str">
        <f>IF(OR(Q48&lt;=2,V48="Cancelled"),"Blacklisted",IF(AND(P48&gt;100000,Q48&gt;=4,O48&lt;=10%,V48="Completed"),"Platinum",IF(AND(P48&gt;=50000,Q48&gt;=3,V48="Completed"),"Gold",IF(AND(P48&lt;50000,V48="Completed"),"Silver",""))))</f>
        <v>Blacklisted</v>
      </c>
      <c r="X48" t="str">
        <f>PROPER(TRIM(F48))</f>
        <v>Anita Gupta</v>
      </c>
      <c r="Y48" t="str">
        <f>LEFT(F48,3)&amp;MID(B48,2,3)&amp;LEFT(I48,2)</f>
        <v>Ani004Pu</v>
      </c>
      <c r="Z48" t="str">
        <f>IF(ISNUMBER(SEARCH("@",T48)),LOWER(TRIM(T48)),"invalid email")</f>
        <v>anita.gupta@company.com</v>
      </c>
      <c r="AA48">
        <f ca="1">IF(H47="","",IFERROR(DATEDIF(IF(ISNUMBER(H47),H47,DATE(VALUE(RIGHT(H47,4)),VALUE(MID(H47,3,2)),VALUE(LEFT(H47,2)))),TODAY(),"Y"),""))</f>
        <v>30</v>
      </c>
      <c r="AB48">
        <f>IF(OR(D48="",E48=""),"",IFERROR(DATE(MID(E48,7,4),MID(E48,4,2),LEFT(E48,2))-DATE(MID(D48,7,4),MID(D48,4,2),LEFT(D48,2)),""))</f>
        <v>2</v>
      </c>
      <c r="AC48" t="str">
        <f>IF(E48="","Pending",IF(AB48&lt;=5,"On time","Delayed"))</f>
        <v>On time</v>
      </c>
      <c r="AD48" s="29" t="str">
        <f>IF(TRIM(S48)="","Not Assigned",S48)</f>
        <v>Ritika</v>
      </c>
      <c r="AE48" t="str">
        <f>PROPER(TRIM(F48))</f>
        <v>Anita Gupta</v>
      </c>
      <c r="AF48" t="str">
        <f>PROPER(TRIM(K48))</f>
        <v>Electronics</v>
      </c>
      <c r="AG48" t="str">
        <f>PROPER(TRIM(J48))</f>
        <v>West</v>
      </c>
      <c r="AH48" t="str">
        <f t="shared" si="0"/>
        <v>Electronics</v>
      </c>
      <c r="AI48" t="str">
        <f t="shared" si="1"/>
        <v>Electronics</v>
      </c>
      <c r="AK48">
        <f>IF(COUNTIF($A$2:A48,A48)=1,1,0)</f>
        <v>1</v>
      </c>
    </row>
    <row r="49" spans="1:37">
      <c r="A49" s="4" t="s">
        <v>410</v>
      </c>
      <c r="B49" s="5" t="s">
        <v>235</v>
      </c>
      <c r="C49" s="5" t="s">
        <v>250</v>
      </c>
      <c r="D49" s="5" t="s">
        <v>177</v>
      </c>
      <c r="E49" s="6">
        <v>45842</v>
      </c>
      <c r="F49" s="5" t="s">
        <v>318</v>
      </c>
      <c r="G49" s="5" t="s">
        <v>239</v>
      </c>
      <c r="H49" s="5" t="s">
        <v>412</v>
      </c>
      <c r="I49" s="5" t="s">
        <v>241</v>
      </c>
      <c r="J49" s="5" t="s">
        <v>242</v>
      </c>
      <c r="K49" s="5" t="s">
        <v>15</v>
      </c>
      <c r="L49" s="5" t="s">
        <v>253</v>
      </c>
      <c r="M49" s="5">
        <v>7</v>
      </c>
      <c r="N49" s="5">
        <v>2200</v>
      </c>
      <c r="O49" s="5">
        <v>15</v>
      </c>
      <c r="P49" s="5">
        <v>13090</v>
      </c>
      <c r="Q49" s="5">
        <v>1</v>
      </c>
      <c r="R49" s="5" t="s">
        <v>277</v>
      </c>
      <c r="S49" s="5" t="s">
        <v>246</v>
      </c>
      <c r="T49" s="5" t="s">
        <v>247</v>
      </c>
      <c r="U49" s="5">
        <v>9485166307</v>
      </c>
      <c r="V49" s="8" t="s">
        <v>257</v>
      </c>
      <c r="W49" t="str">
        <f>IF(OR(Q49&lt;=2,V49="Cancelled"),"Blacklisted",IF(AND(P49&gt;100000,Q49&gt;=4,O49&lt;=10%,V49="Completed"),"Platinum",IF(AND(P49&gt;=50000,Q49&gt;=3,V49="Completed"),"Gold",IF(AND(P49&lt;50000,V49="Completed"),"Silver",""))))</f>
        <v>Blacklisted</v>
      </c>
      <c r="X49" t="str">
        <f>PROPER(TRIM(F49))</f>
        <v>Pooja Shah</v>
      </c>
      <c r="Y49" t="str">
        <f>LEFT(F49,3)&amp;MID(B49,2,3)&amp;LEFT(I49,2)</f>
        <v>Poo010Be</v>
      </c>
      <c r="Z49" t="str">
        <f>IF(ISNUMBER(SEARCH("@",T49)),LOWER(TRIM(T49)),"invalid email")</f>
        <v>pooja.shah@company.com</v>
      </c>
      <c r="AA49" t="str">
        <f ca="1">IF(H48="","",IFERROR(DATEDIF(IF(ISNUMBER(H48),H48,DATE(VALUE(RIGHT(H48,4)),VALUE(MID(H48,3,2)),VALUE(LEFT(H48,2)))),TODAY(),"Y"),""))</f>
        <v/>
      </c>
      <c r="AB49" t="str">
        <f>IF(OR(D49="",E49=""),"",IFERROR(DATE(MID(E49,7,4),MID(E49,4,2),LEFT(E49,2))-DATE(MID(D49,7,4),MID(D49,4,2),LEFT(D49,2)),""))</f>
        <v/>
      </c>
      <c r="AC49" t="str">
        <f>IF(E49="","Pending",IF(AB49&lt;=5,"On time","Delayed"))</f>
        <v>Delayed</v>
      </c>
      <c r="AD49" s="29" t="str">
        <f>IF(TRIM(S49)="","Not Assigned",S49)</f>
        <v>Aisha</v>
      </c>
      <c r="AE49" t="str">
        <f>PROPER(TRIM(F49))</f>
        <v>Pooja Shah</v>
      </c>
      <c r="AF49" t="str">
        <f>PROPER(TRIM(K49))</f>
        <v>Home Appliances</v>
      </c>
      <c r="AG49" t="str">
        <f>PROPER(TRIM(J49))</f>
        <v>South</v>
      </c>
      <c r="AH49" t="str">
        <f t="shared" si="0"/>
        <v>Home Appliances</v>
      </c>
      <c r="AI49" t="str">
        <f t="shared" si="1"/>
        <v>Home Appliances</v>
      </c>
      <c r="AK49">
        <f>IF(COUNTIF($A$2:A49,A49)=1,1,0)</f>
        <v>1</v>
      </c>
    </row>
    <row r="50" spans="1:37">
      <c r="A50" s="9" t="s">
        <v>413</v>
      </c>
      <c r="B50" s="10" t="s">
        <v>284</v>
      </c>
      <c r="C50" s="10" t="s">
        <v>294</v>
      </c>
      <c r="D50" s="15" t="s">
        <v>146</v>
      </c>
      <c r="E50" s="10" t="s">
        <v>181</v>
      </c>
      <c r="F50" s="10" t="s">
        <v>285</v>
      </c>
      <c r="G50" s="10" t="s">
        <v>239</v>
      </c>
      <c r="H50" s="11">
        <v>36777</v>
      </c>
      <c r="I50" s="10" t="s">
        <v>342</v>
      </c>
      <c r="J50" s="10" t="s">
        <v>261</v>
      </c>
      <c r="K50" s="10" t="s">
        <v>295</v>
      </c>
      <c r="L50" s="10" t="s">
        <v>296</v>
      </c>
      <c r="M50" s="10">
        <v>8</v>
      </c>
      <c r="N50" s="10">
        <v>60</v>
      </c>
      <c r="O50" s="10">
        <v>10</v>
      </c>
      <c r="P50" s="10">
        <v>432</v>
      </c>
      <c r="Q50" s="10">
        <v>5</v>
      </c>
      <c r="R50" s="10" t="s">
        <v>272</v>
      </c>
      <c r="S50" s="10" t="s">
        <v>246</v>
      </c>
      <c r="T50" s="10" t="s">
        <v>308</v>
      </c>
      <c r="U50" s="10">
        <v>9924709648</v>
      </c>
      <c r="V50" s="12" t="s">
        <v>265</v>
      </c>
      <c r="W50" t="str">
        <f>IF(OR(Q50&lt;=2,V50="Cancelled"),"Blacklisted",IF(AND(P50&gt;100000,Q50&gt;=4,O50&lt;=10%,V50="Completed"),"Platinum",IF(AND(P50&gt;=50000,Q50&gt;=3,V50="Completed"),"Gold",IF(AND(P50&lt;50000,V50="Completed"),"Silver",""))))</f>
        <v>Blacklisted</v>
      </c>
      <c r="X50" t="str">
        <f>PROPER(TRIM(F50))</f>
        <v>Priya Patel</v>
      </c>
      <c r="Y50" t="str">
        <f>LEFT(F50,3)&amp;MID(B50,2,3)&amp;LEFT(I50,2)</f>
        <v>Pri002Ja</v>
      </c>
      <c r="Z50" t="str">
        <f>IF(ISNUMBER(SEARCH("@",T50)),LOWER(TRIM(T50)),"invalid email")</f>
        <v>priya.patel@company.com</v>
      </c>
      <c r="AA50" t="str">
        <f ca="1">IF(H49="","",IFERROR(DATEDIF(IF(ISNUMBER(H49),H49,DATE(VALUE(RIGHT(H49,4)),VALUE(MID(H49,3,2)),VALUE(LEFT(H49,2)))),TODAY(),"Y"),""))</f>
        <v/>
      </c>
      <c r="AB50">
        <f>IF(OR(D50="",E50=""),"",IFERROR(DATE(MID(E50,7,4),MID(E50,4,2),LEFT(E50,2))-DATE(MID(D50,7,4),MID(D50,4,2),LEFT(D50,2)),""))</f>
        <v>3</v>
      </c>
      <c r="AC50" t="str">
        <f>IF(E50="","Pending",IF(AB50&lt;=5,"On time","Delayed"))</f>
        <v>On time</v>
      </c>
      <c r="AD50" s="29" t="str">
        <f>IF(TRIM(S50)="","Not Assigned",S50)</f>
        <v>Aisha</v>
      </c>
      <c r="AE50" t="str">
        <f>PROPER(TRIM(F50))</f>
        <v>Priya Patel</v>
      </c>
      <c r="AF50" t="str">
        <f>PROPER(TRIM(K50))</f>
        <v>Stationery</v>
      </c>
      <c r="AG50" t="str">
        <f>PROPER(TRIM(J50))</f>
        <v>North</v>
      </c>
      <c r="AH50" t="str">
        <f t="shared" si="0"/>
        <v>Stationery</v>
      </c>
      <c r="AI50" t="str">
        <f t="shared" si="1"/>
        <v>Stationery</v>
      </c>
      <c r="AK50">
        <f>IF(COUNTIF($A$2:A50,A50)=1,1,0)</f>
        <v>1</v>
      </c>
    </row>
    <row r="51" spans="1:37">
      <c r="A51" s="4" t="s">
        <v>414</v>
      </c>
      <c r="B51" s="5" t="s">
        <v>346</v>
      </c>
      <c r="C51" s="5" t="s">
        <v>236</v>
      </c>
      <c r="D51" s="5" t="s">
        <v>82</v>
      </c>
      <c r="E51" s="5" t="s">
        <v>125</v>
      </c>
      <c r="F51" s="5" t="s">
        <v>348</v>
      </c>
      <c r="G51" s="5" t="s">
        <v>269</v>
      </c>
      <c r="H51" s="5" t="s">
        <v>415</v>
      </c>
      <c r="I51" s="5" t="s">
        <v>379</v>
      </c>
      <c r="J51" s="5" t="s">
        <v>21</v>
      </c>
      <c r="K51" s="5" t="s">
        <v>243</v>
      </c>
      <c r="L51" s="5" t="s">
        <v>244</v>
      </c>
      <c r="M51" s="5">
        <v>12</v>
      </c>
      <c r="N51" s="5">
        <v>55000</v>
      </c>
      <c r="O51" s="5">
        <v>5</v>
      </c>
      <c r="P51" s="5">
        <v>627000</v>
      </c>
      <c r="Q51" s="5">
        <v>2</v>
      </c>
      <c r="R51" s="5" t="s">
        <v>277</v>
      </c>
      <c r="S51" s="5" t="s">
        <v>263</v>
      </c>
      <c r="T51" s="5" t="s">
        <v>350</v>
      </c>
      <c r="U51" s="5">
        <v>9350554626</v>
      </c>
      <c r="V51" s="8" t="s">
        <v>248</v>
      </c>
      <c r="W51" t="str">
        <f>IF(OR(Q51&lt;=2,V51="Cancelled"),"Blacklisted",IF(AND(P51&gt;100000,Q51&gt;=4,O51&lt;=10%,V51="Completed"),"Platinum",IF(AND(P51&gt;=50000,Q51&gt;=3,V51="Completed"),"Gold",IF(AND(P51&lt;50000,V51="Completed"),"Silver",""))))</f>
        <v>Blacklisted</v>
      </c>
      <c r="X51" t="str">
        <f>PROPER(TRIM(F51))</f>
        <v>Vikas Mehta</v>
      </c>
      <c r="Y51" t="str">
        <f>LEFT(F51,3)&amp;MID(B51,2,3)&amp;LEFT(I51,2)</f>
        <v>Vik005Ko</v>
      </c>
      <c r="Z51" t="str">
        <f>IF(ISNUMBER(SEARCH("@",T51)),LOWER(TRIM(T51)),"invalid email")</f>
        <v>vikas.mehta@company.com</v>
      </c>
      <c r="AA51">
        <f ca="1">IF(H50="","",IFERROR(DATEDIF(IF(ISNUMBER(H50),H50,DATE(VALUE(RIGHT(H50,4)),VALUE(MID(H50,3,2)),VALUE(LEFT(H50,2)))),TODAY(),"Y"),""))</f>
        <v>26</v>
      </c>
      <c r="AB51">
        <f>IF(OR(D51="",E51=""),"",IFERROR(DATE(MID(E51,7,4),MID(E51,4,2),LEFT(E51,2))-DATE(MID(D51,7,4),MID(D51,4,2),LEFT(D51,2)),""))</f>
        <v>4</v>
      </c>
      <c r="AC51" t="str">
        <f>IF(E51="","Pending",IF(AB51&lt;=5,"On time","Delayed"))</f>
        <v>On time</v>
      </c>
      <c r="AD51" s="29" t="str">
        <f>IF(TRIM(S51)="","Not Assigned",S51)</f>
        <v>Rahul</v>
      </c>
      <c r="AE51" t="str">
        <f>PROPER(TRIM(F51))</f>
        <v>Vikas Mehta</v>
      </c>
      <c r="AF51" t="str">
        <f>PROPER(TRIM(K51))</f>
        <v>Electronics</v>
      </c>
      <c r="AG51" t="str">
        <f>PROPER(TRIM(J51))</f>
        <v>East</v>
      </c>
      <c r="AH51" t="str">
        <f t="shared" si="0"/>
        <v>Electronics</v>
      </c>
      <c r="AI51" t="str">
        <f t="shared" si="1"/>
        <v>Electronics</v>
      </c>
      <c r="AK51">
        <f>IF(COUNTIF($A$2:A51,A51)=1,1,0)</f>
        <v>1</v>
      </c>
    </row>
    <row r="52" spans="1:37">
      <c r="A52" s="9" t="s">
        <v>416</v>
      </c>
      <c r="B52" s="10" t="s">
        <v>249</v>
      </c>
      <c r="C52" s="10" t="s">
        <v>330</v>
      </c>
      <c r="D52" s="10" t="s">
        <v>168</v>
      </c>
      <c r="E52" s="11">
        <v>45785</v>
      </c>
      <c r="F52" s="10" t="s">
        <v>251</v>
      </c>
      <c r="G52" s="10" t="s">
        <v>239</v>
      </c>
      <c r="H52" s="11">
        <v>27488</v>
      </c>
      <c r="I52" s="10" t="s">
        <v>342</v>
      </c>
      <c r="J52" s="10" t="s">
        <v>261</v>
      </c>
      <c r="K52" s="10" t="s">
        <v>243</v>
      </c>
      <c r="L52" s="10" t="s">
        <v>333</v>
      </c>
      <c r="M52" s="10">
        <v>3</v>
      </c>
      <c r="N52" s="10">
        <v>700</v>
      </c>
      <c r="O52" s="10">
        <v>0</v>
      </c>
      <c r="P52" s="10">
        <v>2100</v>
      </c>
      <c r="Q52" s="10">
        <v>3</v>
      </c>
      <c r="R52" s="10" t="s">
        <v>272</v>
      </c>
      <c r="S52" s="10" t="s">
        <v>312</v>
      </c>
      <c r="T52" s="10" t="s">
        <v>264</v>
      </c>
      <c r="U52" s="10">
        <v>9743295580</v>
      </c>
      <c r="V52" s="12" t="s">
        <v>265</v>
      </c>
      <c r="W52" t="str">
        <f>IF(OR(Q52&lt;=2,V52="Cancelled"),"Blacklisted",IF(AND(P52&gt;100000,Q52&gt;=4,O52&lt;=10%,V52="Completed"),"Platinum",IF(AND(P52&gt;=50000,Q52&gt;=3,V52="Completed"),"Gold",IF(AND(P52&lt;50000,V52="Completed"),"Silver",""))))</f>
        <v>Blacklisted</v>
      </c>
      <c r="X52" t="str">
        <f>PROPER(TRIM(F52))</f>
        <v>Kavya Nair</v>
      </c>
      <c r="Y52" t="str">
        <f>LEFT(F52,3)&amp;MID(B52,2,3)&amp;LEFT(I52,2)</f>
        <v>Kav008Ja</v>
      </c>
      <c r="Z52" t="str">
        <f>IF(ISNUMBER(SEARCH("@",T52)),LOWER(TRIM(T52)),"invalid email")</f>
        <v>kavya.nair@company.com</v>
      </c>
      <c r="AA52" t="str">
        <f ca="1">IF(H51="","",IFERROR(DATEDIF(IF(ISNUMBER(H51),H51,DATE(VALUE(RIGHT(H51,4)),VALUE(MID(H51,3,2)),VALUE(LEFT(H51,2)))),TODAY(),"Y"),""))</f>
        <v/>
      </c>
      <c r="AB52" t="str">
        <f>IF(OR(D52="",E52=""),"",IFERROR(DATE(MID(E52,7,4),MID(E52,4,2),LEFT(E52,2))-DATE(MID(D52,7,4),MID(D52,4,2),LEFT(D52,2)),""))</f>
        <v/>
      </c>
      <c r="AC52" t="str">
        <f>IF(E52="","Pending",IF(AB52&lt;=5,"On time","Delayed"))</f>
        <v>Delayed</v>
      </c>
      <c r="AD52" s="29" t="str">
        <f>IF(TRIM(S52)="","Not Assigned",S52)</f>
        <v>Karan</v>
      </c>
      <c r="AE52" t="str">
        <f>PROPER(TRIM(F52))</f>
        <v>Kavya Nair</v>
      </c>
      <c r="AF52" t="str">
        <f>PROPER(TRIM(K52))</f>
        <v>Electronics</v>
      </c>
      <c r="AG52" t="str">
        <f>PROPER(TRIM(J52))</f>
        <v>North</v>
      </c>
      <c r="AH52" t="str">
        <f t="shared" si="0"/>
        <v>Electronics</v>
      </c>
      <c r="AI52" t="str">
        <f t="shared" si="1"/>
        <v>Electronics</v>
      </c>
      <c r="AK52">
        <f>IF(COUNTIF($A$2:A52,A52)=1,1,0)</f>
        <v>1</v>
      </c>
    </row>
    <row r="53" spans="1:37">
      <c r="A53" s="4" t="s">
        <v>417</v>
      </c>
      <c r="B53" s="5" t="s">
        <v>299</v>
      </c>
      <c r="C53" s="5" t="s">
        <v>294</v>
      </c>
      <c r="D53" s="5" t="s">
        <v>98</v>
      </c>
      <c r="E53" s="5" t="s">
        <v>150</v>
      </c>
      <c r="F53" s="5" t="s">
        <v>301</v>
      </c>
      <c r="G53" s="5" t="s">
        <v>269</v>
      </c>
      <c r="H53" s="6">
        <v>28076</v>
      </c>
      <c r="I53" s="5" t="s">
        <v>306</v>
      </c>
      <c r="J53" s="5" t="s">
        <v>287</v>
      </c>
      <c r="K53" s="5" t="s">
        <v>295</v>
      </c>
      <c r="L53" s="5" t="s">
        <v>296</v>
      </c>
      <c r="M53" s="5">
        <v>19</v>
      </c>
      <c r="N53" s="5">
        <v>60</v>
      </c>
      <c r="O53" s="5">
        <v>15</v>
      </c>
      <c r="P53" s="5">
        <v>969</v>
      </c>
      <c r="Q53" s="5">
        <v>4</v>
      </c>
      <c r="R53" s="5" t="s">
        <v>272</v>
      </c>
      <c r="S53" s="5" t="s">
        <v>263</v>
      </c>
      <c r="T53" s="5" t="s">
        <v>302</v>
      </c>
      <c r="U53" s="5">
        <v>9822926495</v>
      </c>
      <c r="V53" s="8" t="s">
        <v>265</v>
      </c>
      <c r="W53" t="str">
        <f>IF(OR(Q53&lt;=2,V53="Cancelled"),"Blacklisted",IF(AND(P53&gt;100000,Q53&gt;=4,O53&lt;=10%,V53="Completed"),"Platinum",IF(AND(P53&gt;=50000,Q53&gt;=3,V53="Completed"),"Gold",IF(AND(P53&lt;50000,V53="Completed"),"Silver",""))))</f>
        <v>Blacklisted</v>
      </c>
      <c r="X53" t="str">
        <f>PROPER(TRIM(F53))</f>
        <v>Rohit Singh</v>
      </c>
      <c r="Y53" t="str">
        <f>LEFT(F53,3)&amp;MID(B53,2,3)&amp;LEFT(I53,2)</f>
        <v>Roh003Ah</v>
      </c>
      <c r="Z53" t="str">
        <f>IF(ISNUMBER(SEARCH("@",T53)),LOWER(TRIM(T53)),"invalid email")</f>
        <v>rohit.singh@company.com</v>
      </c>
      <c r="AA53">
        <f ca="1">IF(H52="","",IFERROR(DATEDIF(IF(ISNUMBER(H52),H52,DATE(VALUE(RIGHT(H52,4)),VALUE(MID(H52,3,2)),VALUE(LEFT(H52,2)))),TODAY(),"Y"),""))</f>
        <v>51</v>
      </c>
      <c r="AB53">
        <f>IF(OR(D53="",E53=""),"",IFERROR(DATE(MID(E53,7,4),MID(E53,4,2),LEFT(E53,2))-DATE(MID(D53,7,4),MID(D53,4,2),LEFT(D53,2)),""))</f>
        <v>5</v>
      </c>
      <c r="AC53" t="str">
        <f>IF(E53="","Pending",IF(AB53&lt;=5,"On time","Delayed"))</f>
        <v>On time</v>
      </c>
      <c r="AD53" s="29" t="str">
        <f>IF(TRIM(S53)="","Not Assigned",S53)</f>
        <v>Rahul</v>
      </c>
      <c r="AE53" t="str">
        <f>PROPER(TRIM(F53))</f>
        <v>Rohit Singh</v>
      </c>
      <c r="AF53" t="str">
        <f>PROPER(TRIM(K53))</f>
        <v>Stationery</v>
      </c>
      <c r="AG53" t="str">
        <f>PROPER(TRIM(J53))</f>
        <v>West</v>
      </c>
      <c r="AH53" t="str">
        <f t="shared" si="0"/>
        <v>Stationery</v>
      </c>
      <c r="AI53" t="str">
        <f t="shared" si="1"/>
        <v>Stationery</v>
      </c>
      <c r="AK53">
        <f>IF(COUNTIF($A$2:A53,A53)=1,1,0)</f>
        <v>1</v>
      </c>
    </row>
    <row r="54" spans="1:37">
      <c r="A54" s="9" t="s">
        <v>419</v>
      </c>
      <c r="B54" s="10" t="s">
        <v>392</v>
      </c>
      <c r="C54" s="10" t="s">
        <v>294</v>
      </c>
      <c r="D54" s="11">
        <v>45938</v>
      </c>
      <c r="E54" s="11">
        <v>45969</v>
      </c>
      <c r="F54" s="10" t="s">
        <v>323</v>
      </c>
      <c r="G54" s="10" t="s">
        <v>269</v>
      </c>
      <c r="H54" s="11">
        <v>28926</v>
      </c>
      <c r="I54" s="10" t="s">
        <v>342</v>
      </c>
      <c r="J54" s="10" t="s">
        <v>261</v>
      </c>
      <c r="K54" s="10" t="s">
        <v>295</v>
      </c>
      <c r="L54" s="10" t="s">
        <v>296</v>
      </c>
      <c r="M54" s="10">
        <v>9</v>
      </c>
      <c r="N54" s="10">
        <v>60</v>
      </c>
      <c r="O54" s="10">
        <v>20</v>
      </c>
      <c r="P54" s="10">
        <v>432</v>
      </c>
      <c r="Q54" s="10">
        <v>1</v>
      </c>
      <c r="R54" s="10" t="s">
        <v>245</v>
      </c>
      <c r="S54" s="10" t="s">
        <v>292</v>
      </c>
      <c r="T54" s="10" t="s">
        <v>395</v>
      </c>
      <c r="U54" s="10">
        <v>9518298190</v>
      </c>
      <c r="V54" s="12" t="s">
        <v>248</v>
      </c>
      <c r="W54" t="str">
        <f>IF(OR(Q54&lt;=2,V54="Cancelled"),"Blacklisted",IF(AND(P54&gt;100000,Q54&gt;=4,O54&lt;=10%,V54="Completed"),"Platinum",IF(AND(P54&gt;=50000,Q54&gt;=3,V54="Completed"),"Gold",IF(AND(P54&lt;50000,V54="Completed"),"Silver",""))))</f>
        <v>Blacklisted</v>
      </c>
      <c r="X54" t="str">
        <f>PROPER(TRIM(F54))</f>
        <v>Amit Sharma</v>
      </c>
      <c r="Y54" t="str">
        <f>LEFT(F54,3)&amp;MID(B54,2,3)&amp;LEFT(I54,2)</f>
        <v>Ami001Ja</v>
      </c>
      <c r="Z54" t="str">
        <f>IF(ISNUMBER(SEARCH("@",T54)),LOWER(TRIM(T54)),"invalid email")</f>
        <v>amit.sharma@company.com</v>
      </c>
      <c r="AA54">
        <f ca="1">IF(H53="","",IFERROR(DATEDIF(IF(ISNUMBER(H53),H53,DATE(VALUE(RIGHT(H53,4)),VALUE(MID(H53,3,2)),VALUE(LEFT(H53,2)))),TODAY(),"Y"),""))</f>
        <v>49</v>
      </c>
      <c r="AB54" t="str">
        <f>IF(OR(D54="",E54=""),"",IFERROR(DATE(MID(E54,7,4),MID(E54,4,2),LEFT(E54,2))-DATE(MID(D54,7,4),MID(D54,4,2),LEFT(D54,2)),""))</f>
        <v/>
      </c>
      <c r="AC54" t="str">
        <f>IF(E54="","Pending",IF(AB54&lt;=5,"On time","Delayed"))</f>
        <v>Delayed</v>
      </c>
      <c r="AD54" s="29" t="str">
        <f>IF(TRIM(S54)="","Not Assigned",S54)</f>
        <v>Neha</v>
      </c>
      <c r="AE54" t="str">
        <f>PROPER(TRIM(F54))</f>
        <v>Amit Sharma</v>
      </c>
      <c r="AF54" t="str">
        <f>PROPER(TRIM(K54))</f>
        <v>Stationery</v>
      </c>
      <c r="AG54" t="str">
        <f>PROPER(TRIM(J54))</f>
        <v>North</v>
      </c>
      <c r="AH54" t="str">
        <f t="shared" si="0"/>
        <v>Stationery</v>
      </c>
      <c r="AI54" t="str">
        <f t="shared" si="1"/>
        <v>Stationery</v>
      </c>
      <c r="AK54">
        <f>IF(COUNTIF($A$2:A54,A54)=1,1,0)</f>
        <v>1</v>
      </c>
    </row>
    <row r="55" spans="1:37">
      <c r="A55" s="4" t="s">
        <v>420</v>
      </c>
      <c r="B55" s="5" t="s">
        <v>392</v>
      </c>
      <c r="C55" s="5" t="s">
        <v>330</v>
      </c>
      <c r="D55" s="5" t="s">
        <v>131</v>
      </c>
      <c r="E55" s="5" t="s">
        <v>421</v>
      </c>
      <c r="F55" s="5" t="s">
        <v>323</v>
      </c>
      <c r="G55" s="5" t="s">
        <v>269</v>
      </c>
      <c r="H55" s="5" t="s">
        <v>422</v>
      </c>
      <c r="I55" s="5" t="s">
        <v>241</v>
      </c>
      <c r="J55" s="5" t="s">
        <v>242</v>
      </c>
      <c r="K55" s="5" t="s">
        <v>243</v>
      </c>
      <c r="L55" s="5" t="s">
        <v>333</v>
      </c>
      <c r="M55" s="5">
        <v>6</v>
      </c>
      <c r="N55" s="5">
        <v>700</v>
      </c>
      <c r="O55" s="5">
        <v>0</v>
      </c>
      <c r="P55" s="5">
        <v>4200</v>
      </c>
      <c r="Q55" s="5">
        <v>4</v>
      </c>
      <c r="R55" s="5" t="s">
        <v>277</v>
      </c>
      <c r="S55" s="5" t="s">
        <v>263</v>
      </c>
      <c r="T55" s="5" t="s">
        <v>423</v>
      </c>
      <c r="U55" s="5">
        <v>9366223547</v>
      </c>
      <c r="V55" s="8" t="s">
        <v>265</v>
      </c>
      <c r="W55" t="str">
        <f>IF(OR(Q55&lt;=2,V55="Cancelled"),"Blacklisted",IF(AND(P55&gt;100000,Q55&gt;=4,O55&lt;=10%,V55="Completed"),"Platinum",IF(AND(P55&gt;=50000,Q55&gt;=3,V55="Completed"),"Gold",IF(AND(P55&lt;50000,V55="Completed"),"Silver",""))))</f>
        <v>Blacklisted</v>
      </c>
      <c r="X55" t="str">
        <f>PROPER(TRIM(F55))</f>
        <v>Amit Sharma</v>
      </c>
      <c r="Y55" t="str">
        <f>LEFT(F55,3)&amp;MID(B55,2,3)&amp;LEFT(I55,2)</f>
        <v>Ami001Be</v>
      </c>
      <c r="Z55" t="str">
        <f>IF(ISNUMBER(SEARCH("@",T55)),LOWER(TRIM(T55)),"invalid email")</f>
        <v>invalid email</v>
      </c>
      <c r="AA55">
        <f ca="1">IF(H54="","",IFERROR(DATEDIF(IF(ISNUMBER(H54),H54,DATE(VALUE(RIGHT(H54,4)),VALUE(MID(H54,3,2)),VALUE(LEFT(H54,2)))),TODAY(),"Y"),""))</f>
        <v>47</v>
      </c>
      <c r="AB55">
        <f>IF(OR(D55="",E55=""),"",IFERROR(DATE(MID(E55,7,4),MID(E55,4,2),LEFT(E55,2))-DATE(MID(D55,7,4),MID(D55,4,2),LEFT(D55,2)),""))</f>
        <v>6</v>
      </c>
      <c r="AC55" t="str">
        <f>IF(E55="","Pending",IF(AB55&lt;=5,"On time","Delayed"))</f>
        <v>Delayed</v>
      </c>
      <c r="AD55" s="29" t="str">
        <f>IF(TRIM(S55)="","Not Assigned",S55)</f>
        <v>Rahul</v>
      </c>
      <c r="AE55" t="str">
        <f>PROPER(TRIM(F55))</f>
        <v>Amit Sharma</v>
      </c>
      <c r="AF55" t="str">
        <f>PROPER(TRIM(K55))</f>
        <v>Electronics</v>
      </c>
      <c r="AG55" t="str">
        <f>PROPER(TRIM(J55))</f>
        <v>South</v>
      </c>
      <c r="AH55" t="str">
        <f t="shared" si="0"/>
        <v>Electronics</v>
      </c>
      <c r="AI55" t="str">
        <f t="shared" si="1"/>
        <v>Electronics</v>
      </c>
      <c r="AK55">
        <f>IF(COUNTIF($A$2:A55,A55)=1,1,0)</f>
        <v>1</v>
      </c>
    </row>
    <row r="56" spans="1:37">
      <c r="A56" s="9" t="s">
        <v>424</v>
      </c>
      <c r="B56" s="10" t="s">
        <v>299</v>
      </c>
      <c r="C56" s="10" t="s">
        <v>362</v>
      </c>
      <c r="D56" s="10" t="s">
        <v>11</v>
      </c>
      <c r="E56" s="10" t="s">
        <v>425</v>
      </c>
      <c r="F56" s="10" t="s">
        <v>301</v>
      </c>
      <c r="G56" s="10" t="s">
        <v>269</v>
      </c>
      <c r="H56" s="10" t="s">
        <v>426</v>
      </c>
      <c r="I56" s="10" t="s">
        <v>260</v>
      </c>
      <c r="J56" s="10" t="s">
        <v>261</v>
      </c>
      <c r="K56" s="10" t="s">
        <v>295</v>
      </c>
      <c r="L56" s="10" t="s">
        <v>363</v>
      </c>
      <c r="M56" s="10">
        <v>18</v>
      </c>
      <c r="N56" s="10">
        <v>45</v>
      </c>
      <c r="O56" s="10">
        <v>5</v>
      </c>
      <c r="P56" s="10">
        <v>769.5</v>
      </c>
      <c r="Q56" s="10">
        <v>1</v>
      </c>
      <c r="R56" s="10" t="s">
        <v>272</v>
      </c>
      <c r="S56" s="10" t="s">
        <v>246</v>
      </c>
      <c r="T56" s="10" t="s">
        <v>302</v>
      </c>
      <c r="U56" s="10">
        <v>9701988524</v>
      </c>
      <c r="V56" s="12" t="s">
        <v>248</v>
      </c>
      <c r="W56" t="str">
        <f>IF(OR(Q56&lt;=2,V56="Cancelled"),"Blacklisted",IF(AND(P56&gt;100000,Q56&gt;=4,O56&lt;=10%,V56="Completed"),"Platinum",IF(AND(P56&gt;=50000,Q56&gt;=3,V56="Completed"),"Gold",IF(AND(P56&lt;50000,V56="Completed"),"Silver",""))))</f>
        <v>Blacklisted</v>
      </c>
      <c r="X56" t="str">
        <f>PROPER(TRIM(F56))</f>
        <v>Rohit Singh</v>
      </c>
      <c r="Y56" t="str">
        <f>LEFT(F56,3)&amp;MID(B56,2,3)&amp;LEFT(I56,2)</f>
        <v>Roh003De</v>
      </c>
      <c r="Z56" t="str">
        <f>IF(ISNUMBER(SEARCH("@",T56)),LOWER(TRIM(T56)),"invalid email")</f>
        <v>rohit.singh@company.com</v>
      </c>
      <c r="AA56" t="str">
        <f ca="1">IF(H55="","",IFERROR(DATEDIF(IF(ISNUMBER(H55),H55,DATE(VALUE(RIGHT(H55,4)),VALUE(MID(H55,3,2)),VALUE(LEFT(H55,2)))),TODAY(),"Y"),""))</f>
        <v/>
      </c>
      <c r="AB56">
        <f>IF(OR(D56="",E56=""),"",IFERROR(DATE(MID(E56,7,4),MID(E56,4,2),LEFT(E56,2))-DATE(MID(D56,7,4),MID(D56,4,2),LEFT(D56,2)),""))</f>
        <v>6</v>
      </c>
      <c r="AC56" t="str">
        <f>IF(E56="","Pending",IF(AB56&lt;=5,"On time","Delayed"))</f>
        <v>Delayed</v>
      </c>
      <c r="AD56" s="29" t="str">
        <f>IF(TRIM(S56)="","Not Assigned",S56)</f>
        <v>Aisha</v>
      </c>
      <c r="AE56" t="str">
        <f>PROPER(TRIM(F56))</f>
        <v>Rohit Singh</v>
      </c>
      <c r="AF56" t="str">
        <f>PROPER(TRIM(K56))</f>
        <v>Stationery</v>
      </c>
      <c r="AG56" t="str">
        <f>PROPER(TRIM(J56))</f>
        <v>North</v>
      </c>
      <c r="AH56" t="str">
        <f t="shared" si="0"/>
        <v>Stationery</v>
      </c>
      <c r="AI56" t="str">
        <f t="shared" si="1"/>
        <v>Stationery</v>
      </c>
      <c r="AK56">
        <f>IF(COUNTIF($A$2:A56,A56)=1,1,0)</f>
        <v>1</v>
      </c>
    </row>
    <row r="57" spans="1:37">
      <c r="A57" s="4" t="s">
        <v>427</v>
      </c>
      <c r="B57" s="5" t="s">
        <v>275</v>
      </c>
      <c r="C57" s="5" t="s">
        <v>347</v>
      </c>
      <c r="D57" s="5" t="s">
        <v>35</v>
      </c>
      <c r="E57" s="5" t="s">
        <v>156</v>
      </c>
      <c r="F57" s="5" t="s">
        <v>328</v>
      </c>
      <c r="G57" s="5" t="s">
        <v>269</v>
      </c>
      <c r="H57" s="5" t="s">
        <v>428</v>
      </c>
      <c r="I57" s="5" t="s">
        <v>342</v>
      </c>
      <c r="J57" s="5" t="s">
        <v>261</v>
      </c>
      <c r="K57" s="5" t="s">
        <v>295</v>
      </c>
      <c r="L57" s="5" t="s">
        <v>349</v>
      </c>
      <c r="M57" s="5">
        <v>8</v>
      </c>
      <c r="N57" s="5">
        <v>20</v>
      </c>
      <c r="O57" s="5">
        <v>5</v>
      </c>
      <c r="P57" s="5">
        <v>152</v>
      </c>
      <c r="Q57" s="5">
        <v>1</v>
      </c>
      <c r="R57" s="5" t="s">
        <v>272</v>
      </c>
      <c r="S57" s="5" t="s">
        <v>255</v>
      </c>
      <c r="T57" s="5" t="s">
        <v>278</v>
      </c>
      <c r="U57" s="5">
        <v>9836327649</v>
      </c>
      <c r="V57" s="8" t="s">
        <v>429</v>
      </c>
      <c r="W57" t="str">
        <f>IF(OR(Q57&lt;=2,V57="Cancelled"),"Blacklisted",IF(AND(P57&gt;100000,Q57&gt;=4,O57&lt;=10%,V57="Completed"),"Platinum",IF(AND(P57&gt;=50000,Q57&gt;=3,V57="Completed"),"Gold",IF(AND(P57&lt;50000,V57="Completed"),"Silver",""))))</f>
        <v>Blacklisted</v>
      </c>
      <c r="X57" t="str">
        <f>PROPER(TRIM(F57))</f>
        <v>Arjun Rao</v>
      </c>
      <c r="Y57" t="str">
        <f>LEFT(F57,3)&amp;MID(B57,2,3)&amp;LEFT(I57,2)</f>
        <v>Arj007Ja</v>
      </c>
      <c r="Z57" t="str">
        <f>IF(ISNUMBER(SEARCH("@",T57)),LOWER(TRIM(T57)),"invalid email")</f>
        <v>arjun.rao@company.com</v>
      </c>
      <c r="AA57" t="str">
        <f ca="1">IF(H56="","",IFERROR(DATEDIF(IF(ISNUMBER(H56),H56,DATE(VALUE(RIGHT(H56,4)),VALUE(MID(H56,3,2)),VALUE(LEFT(H56,2)))),TODAY(),"Y"),""))</f>
        <v/>
      </c>
      <c r="AB57">
        <f>IF(OR(D57="",E57=""),"",IFERROR(DATE(MID(E57,7,4),MID(E57,4,2),LEFT(E57,2))-DATE(MID(D57,7,4),MID(D57,4,2),LEFT(D57,2)),""))</f>
        <v>11</v>
      </c>
      <c r="AC57" t="str">
        <f>IF(E57="","Pending",IF(AB57&lt;=5,"On time","Delayed"))</f>
        <v>Delayed</v>
      </c>
      <c r="AD57" s="29" t="str">
        <f>IF(TRIM(S57)="","Not Assigned",S57)</f>
        <v>Ritika</v>
      </c>
      <c r="AE57" t="str">
        <f>PROPER(TRIM(F57))</f>
        <v>Arjun Rao</v>
      </c>
      <c r="AF57" t="str">
        <f>PROPER(TRIM(K57))</f>
        <v>Stationery</v>
      </c>
      <c r="AG57" t="str">
        <f>PROPER(TRIM(J57))</f>
        <v>North</v>
      </c>
      <c r="AH57" t="str">
        <f t="shared" si="0"/>
        <v>Stationery</v>
      </c>
      <c r="AI57" t="str">
        <f t="shared" si="1"/>
        <v>Stationery</v>
      </c>
      <c r="AK57">
        <f>IF(COUNTIF($A$2:A57,A57)=1,1,0)</f>
        <v>1</v>
      </c>
    </row>
    <row r="58" spans="1:37">
      <c r="A58" s="9" t="s">
        <v>430</v>
      </c>
      <c r="B58" s="10" t="s">
        <v>346</v>
      </c>
      <c r="C58" s="10" t="s">
        <v>330</v>
      </c>
      <c r="D58" s="11">
        <v>45780</v>
      </c>
      <c r="E58" s="11">
        <v>45811</v>
      </c>
      <c r="F58" s="10" t="s">
        <v>348</v>
      </c>
      <c r="G58" s="10" t="s">
        <v>269</v>
      </c>
      <c r="H58" s="11">
        <v>29039</v>
      </c>
      <c r="I58" s="10" t="s">
        <v>342</v>
      </c>
      <c r="J58" s="10" t="s">
        <v>261</v>
      </c>
      <c r="K58" s="10" t="s">
        <v>243</v>
      </c>
      <c r="L58" s="10" t="s">
        <v>333</v>
      </c>
      <c r="M58" s="10">
        <v>8</v>
      </c>
      <c r="N58" s="10">
        <v>700</v>
      </c>
      <c r="O58" s="10">
        <v>10</v>
      </c>
      <c r="P58" s="10">
        <v>5040</v>
      </c>
      <c r="Q58" s="10">
        <v>1</v>
      </c>
      <c r="R58" s="10" t="s">
        <v>245</v>
      </c>
      <c r="S58" s="10" t="s">
        <v>246</v>
      </c>
      <c r="T58" s="13" t="s">
        <v>431</v>
      </c>
      <c r="U58" s="10">
        <v>9261800516</v>
      </c>
      <c r="V58" s="12" t="s">
        <v>265</v>
      </c>
      <c r="W58" t="str">
        <f>IF(OR(Q58&lt;=2,V58="Cancelled"),"Blacklisted",IF(AND(P58&gt;100000,Q58&gt;=4,O58&lt;=10%,V58="Completed"),"Platinum",IF(AND(P58&gt;=50000,Q58&gt;=3,V58="Completed"),"Gold",IF(AND(P58&lt;50000,V58="Completed"),"Silver",""))))</f>
        <v>Blacklisted</v>
      </c>
      <c r="X58" t="str">
        <f>PROPER(TRIM(F58))</f>
        <v>Vikas Mehta</v>
      </c>
      <c r="Y58" t="str">
        <f>LEFT(F58,3)&amp;MID(B58,2,3)&amp;LEFT(I58,2)</f>
        <v>Vik005Ja</v>
      </c>
      <c r="Z58" t="str">
        <f>IF(ISNUMBER(SEARCH("@",T58)),LOWER(TRIM(T58)),"invalid email")</f>
        <v>vikas.mehta@company.com</v>
      </c>
      <c r="AA58" t="str">
        <f ca="1">IF(H57="","",IFERROR(DATEDIF(IF(ISNUMBER(H57),H57,DATE(VALUE(RIGHT(H57,4)),VALUE(MID(H57,3,2)),VALUE(LEFT(H57,2)))),TODAY(),"Y"),""))</f>
        <v/>
      </c>
      <c r="AB58" t="str">
        <f>IF(OR(D58="",E58=""),"",IFERROR(DATE(MID(E58,7,4),MID(E58,4,2),LEFT(E58,2))-DATE(MID(D58,7,4),MID(D58,4,2),LEFT(D58,2)),""))</f>
        <v/>
      </c>
      <c r="AC58" t="str">
        <f>IF(E58="","Pending",IF(AB58&lt;=5,"On time","Delayed"))</f>
        <v>Delayed</v>
      </c>
      <c r="AD58" s="29" t="str">
        <f>IF(TRIM(S58)="","Not Assigned",S58)</f>
        <v>Aisha</v>
      </c>
      <c r="AE58" t="str">
        <f>PROPER(TRIM(F58))</f>
        <v>Vikas Mehta</v>
      </c>
      <c r="AF58" t="str">
        <f>PROPER(TRIM(K58))</f>
        <v>Electronics</v>
      </c>
      <c r="AG58" t="str">
        <f>PROPER(TRIM(J58))</f>
        <v>North</v>
      </c>
      <c r="AH58" t="str">
        <f t="shared" si="0"/>
        <v>Electronics</v>
      </c>
      <c r="AI58" t="str">
        <f t="shared" si="1"/>
        <v>Electronics</v>
      </c>
      <c r="AK58">
        <f>IF(COUNTIF($A$2:A58,A58)=1,1,0)</f>
        <v>1</v>
      </c>
    </row>
    <row r="59" spans="1:37">
      <c r="A59" s="4" t="s">
        <v>432</v>
      </c>
      <c r="B59" s="5" t="s">
        <v>249</v>
      </c>
      <c r="C59" s="5" t="s">
        <v>347</v>
      </c>
      <c r="D59" s="6">
        <v>46269</v>
      </c>
      <c r="E59" s="5" t="s">
        <v>78</v>
      </c>
      <c r="F59" s="5" t="s">
        <v>251</v>
      </c>
      <c r="G59" s="5" t="s">
        <v>239</v>
      </c>
      <c r="H59" s="5" t="s">
        <v>433</v>
      </c>
      <c r="I59" s="5" t="s">
        <v>260</v>
      </c>
      <c r="J59" s="5" t="s">
        <v>261</v>
      </c>
      <c r="K59" s="5" t="s">
        <v>295</v>
      </c>
      <c r="L59" s="5" t="s">
        <v>349</v>
      </c>
      <c r="M59" s="5">
        <v>7</v>
      </c>
      <c r="N59" s="5">
        <v>20</v>
      </c>
      <c r="O59" s="5">
        <v>15</v>
      </c>
      <c r="P59" s="5">
        <v>119</v>
      </c>
      <c r="Q59" s="5">
        <v>5</v>
      </c>
      <c r="R59" s="5" t="s">
        <v>272</v>
      </c>
      <c r="S59" s="5" t="s">
        <v>263</v>
      </c>
      <c r="T59" s="5" t="s">
        <v>264</v>
      </c>
      <c r="U59" s="5">
        <v>9950802015</v>
      </c>
      <c r="V59" s="8" t="s">
        <v>257</v>
      </c>
      <c r="W59" t="str">
        <f>IF(OR(Q59&lt;=2,V59="Cancelled"),"Blacklisted",IF(AND(P59&gt;100000,Q59&gt;=4,O59&lt;=10%,V59="Completed"),"Platinum",IF(AND(P59&gt;=50000,Q59&gt;=3,V59="Completed"),"Gold",IF(AND(P59&lt;50000,V59="Completed"),"Silver",""))))</f>
        <v>Silver</v>
      </c>
      <c r="X59" t="str">
        <f>PROPER(TRIM(F59))</f>
        <v>Kavya Nair</v>
      </c>
      <c r="Y59" t="str">
        <f>LEFT(F59,3)&amp;MID(B59,2,3)&amp;LEFT(I59,2)</f>
        <v>Kav008De</v>
      </c>
      <c r="Z59" t="str">
        <f>IF(ISNUMBER(SEARCH("@",T59)),LOWER(TRIM(T59)),"invalid email")</f>
        <v>kavya.nair@company.com</v>
      </c>
      <c r="AA59">
        <f ca="1">IF(H58="","",IFERROR(DATEDIF(IF(ISNUMBER(H58),H58,DATE(VALUE(RIGHT(H58,4)),VALUE(MID(H58,3,2)),VALUE(LEFT(H58,2)))),TODAY(),"Y"),""))</f>
        <v>47</v>
      </c>
      <c r="AB59" t="str">
        <f>IF(OR(D59="",E59=""),"",IFERROR(DATE(MID(E59,7,4),MID(E59,4,2),LEFT(E59,2))-DATE(MID(D59,7,4),MID(D59,4,2),LEFT(D59,2)),""))</f>
        <v/>
      </c>
      <c r="AC59" t="str">
        <f>IF(E59="","Pending",IF(AB59&lt;=5,"On time","Delayed"))</f>
        <v>Delayed</v>
      </c>
      <c r="AD59" s="29" t="str">
        <f>IF(TRIM(S59)="","Not Assigned",S59)</f>
        <v>Rahul</v>
      </c>
      <c r="AE59" t="str">
        <f>PROPER(TRIM(F59))</f>
        <v>Kavya Nair</v>
      </c>
      <c r="AF59" t="str">
        <f>PROPER(TRIM(K59))</f>
        <v>Stationery</v>
      </c>
      <c r="AG59" t="str">
        <f>PROPER(TRIM(J59))</f>
        <v>North</v>
      </c>
      <c r="AH59" t="str">
        <f t="shared" si="0"/>
        <v>Stationery</v>
      </c>
      <c r="AI59" t="str">
        <f t="shared" si="1"/>
        <v>Stationery</v>
      </c>
      <c r="AK59">
        <f>IF(COUNTIF($A$2:A59,A59)=1,1,0)</f>
        <v>1</v>
      </c>
    </row>
    <row r="60" spans="1:37">
      <c r="A60" s="9" t="s">
        <v>434</v>
      </c>
      <c r="B60" s="10" t="s">
        <v>284</v>
      </c>
      <c r="C60" s="10" t="s">
        <v>347</v>
      </c>
      <c r="D60" s="10" t="s">
        <v>49</v>
      </c>
      <c r="E60" s="10" t="s">
        <v>146</v>
      </c>
      <c r="F60" s="10" t="s">
        <v>285</v>
      </c>
      <c r="G60" s="10" t="s">
        <v>239</v>
      </c>
      <c r="H60" s="11">
        <v>30806</v>
      </c>
      <c r="I60" s="10" t="s">
        <v>291</v>
      </c>
      <c r="J60" s="10" t="s">
        <v>287</v>
      </c>
      <c r="K60" s="10" t="s">
        <v>295</v>
      </c>
      <c r="L60" s="10" t="s">
        <v>349</v>
      </c>
      <c r="M60" s="10">
        <v>16</v>
      </c>
      <c r="N60" s="10">
        <v>20</v>
      </c>
      <c r="O60" s="10">
        <v>0</v>
      </c>
      <c r="P60" s="10">
        <v>320</v>
      </c>
      <c r="Q60" s="10">
        <v>5</v>
      </c>
      <c r="R60" s="10" t="s">
        <v>245</v>
      </c>
      <c r="S60" s="10" t="s">
        <v>246</v>
      </c>
      <c r="T60" s="10" t="s">
        <v>308</v>
      </c>
      <c r="U60" s="10">
        <v>9595183767</v>
      </c>
      <c r="V60" s="12" t="s">
        <v>248</v>
      </c>
      <c r="W60" t="str">
        <f>IF(OR(Q60&lt;=2,V60="Cancelled"),"Blacklisted",IF(AND(P60&gt;100000,Q60&gt;=4,O60&lt;=10%,V60="Completed"),"Platinum",IF(AND(P60&gt;=50000,Q60&gt;=3,V60="Completed"),"Gold",IF(AND(P60&lt;50000,V60="Completed"),"Silver",""))))</f>
        <v/>
      </c>
      <c r="X60" t="str">
        <f>PROPER(TRIM(F60))</f>
        <v>Priya Patel</v>
      </c>
      <c r="Y60" t="str">
        <f>LEFT(F60,3)&amp;MID(B60,2,3)&amp;LEFT(I60,2)</f>
        <v>Pri002Pu</v>
      </c>
      <c r="Z60" t="str">
        <f>IF(ISNUMBER(SEARCH("@",T60)),LOWER(TRIM(T60)),"invalid email")</f>
        <v>priya.patel@company.com</v>
      </c>
      <c r="AA60" t="str">
        <f ca="1">IF(H59="","",IFERROR(DATEDIF(IF(ISNUMBER(H59),H59,DATE(VALUE(RIGHT(H59,4)),VALUE(MID(H59,3,2)),VALUE(LEFT(H59,2)))),TODAY(),"Y"),""))</f>
        <v/>
      </c>
      <c r="AB60">
        <f>IF(OR(D60="",E60=""),"",IFERROR(DATE(MID(E60,7,4),MID(E60,4,2),LEFT(E60,2))-DATE(MID(D60,7,4),MID(D60,4,2),LEFT(D60,2)),""))</f>
        <v>9</v>
      </c>
      <c r="AC60" t="str">
        <f>IF(E60="","Pending",IF(AB60&lt;=5,"On time","Delayed"))</f>
        <v>Delayed</v>
      </c>
      <c r="AD60" s="29" t="str">
        <f>IF(TRIM(S60)="","Not Assigned",S60)</f>
        <v>Aisha</v>
      </c>
      <c r="AE60" t="str">
        <f>PROPER(TRIM(F60))</f>
        <v>Priya Patel</v>
      </c>
      <c r="AF60" t="str">
        <f>PROPER(TRIM(K60))</f>
        <v>Stationery</v>
      </c>
      <c r="AG60" t="str">
        <f>PROPER(TRIM(J60))</f>
        <v>West</v>
      </c>
      <c r="AH60" t="str">
        <f t="shared" si="0"/>
        <v>Stationery</v>
      </c>
      <c r="AI60" t="str">
        <f t="shared" si="1"/>
        <v>Stationery</v>
      </c>
      <c r="AK60">
        <f>IF(COUNTIF($A$2:A60,A60)=1,1,0)</f>
        <v>1</v>
      </c>
    </row>
    <row r="61" spans="1:37">
      <c r="A61" s="4" t="s">
        <v>435</v>
      </c>
      <c r="B61" s="5" t="s">
        <v>235</v>
      </c>
      <c r="C61" s="5" t="s">
        <v>362</v>
      </c>
      <c r="D61" s="5" t="s">
        <v>16</v>
      </c>
      <c r="E61" s="5" t="s">
        <v>436</v>
      </c>
      <c r="F61" s="5" t="s">
        <v>318</v>
      </c>
      <c r="G61" s="5" t="s">
        <v>239</v>
      </c>
      <c r="H61" s="5" t="s">
        <v>437</v>
      </c>
      <c r="I61" s="5" t="s">
        <v>286</v>
      </c>
      <c r="J61" s="5" t="s">
        <v>287</v>
      </c>
      <c r="K61" s="5" t="s">
        <v>295</v>
      </c>
      <c r="L61" s="5" t="s">
        <v>363</v>
      </c>
      <c r="M61" s="5">
        <v>15</v>
      </c>
      <c r="N61" s="5">
        <v>45</v>
      </c>
      <c r="O61" s="5">
        <v>0</v>
      </c>
      <c r="P61" s="5">
        <v>675</v>
      </c>
      <c r="Q61" s="5">
        <v>4</v>
      </c>
      <c r="R61" s="5" t="s">
        <v>254</v>
      </c>
      <c r="S61" s="5" t="s">
        <v>246</v>
      </c>
      <c r="T61" s="5" t="s">
        <v>247</v>
      </c>
      <c r="U61" s="5">
        <v>9560201307</v>
      </c>
      <c r="V61" s="8" t="s">
        <v>265</v>
      </c>
      <c r="W61" t="str">
        <f>IF(OR(Q61&lt;=2,V61="Cancelled"),"Blacklisted",IF(AND(P61&gt;100000,Q61&gt;=4,O61&lt;=10%,V61="Completed"),"Platinum",IF(AND(P61&gt;=50000,Q61&gt;=3,V61="Completed"),"Gold",IF(AND(P61&lt;50000,V61="Completed"),"Silver",""))))</f>
        <v>Blacklisted</v>
      </c>
      <c r="X61" t="str">
        <f>PROPER(TRIM(F61))</f>
        <v>Pooja Shah</v>
      </c>
      <c r="Y61" t="str">
        <f>LEFT(F61,3)&amp;MID(B61,2,3)&amp;LEFT(I61,2)</f>
        <v>Poo010Mu</v>
      </c>
      <c r="Z61" t="str">
        <f>IF(ISNUMBER(SEARCH("@",T61)),LOWER(TRIM(T61)),"invalid email")</f>
        <v>pooja.shah@company.com</v>
      </c>
      <c r="AA61">
        <f ca="1">IF(H60="","",IFERROR(DATEDIF(IF(ISNUMBER(H60),H60,DATE(VALUE(RIGHT(H60,4)),VALUE(MID(H60,3,2)),VALUE(LEFT(H60,2)))),TODAY(),"Y"),""))</f>
        <v>42</v>
      </c>
      <c r="AB61">
        <f>IF(OR(D61="",E61=""),"",IFERROR(DATE(MID(E61,7,4),MID(E61,4,2),LEFT(E61,2))-DATE(MID(D61,7,4),MID(D61,4,2),LEFT(D61,2)),""))</f>
        <v>7</v>
      </c>
      <c r="AC61" t="str">
        <f>IF(E61="","Pending",IF(AB61&lt;=5,"On time","Delayed"))</f>
        <v>Delayed</v>
      </c>
      <c r="AD61" s="29" t="str">
        <f>IF(TRIM(S61)="","Not Assigned",S61)</f>
        <v>Aisha</v>
      </c>
      <c r="AE61" t="str">
        <f>PROPER(TRIM(F61))</f>
        <v>Pooja Shah</v>
      </c>
      <c r="AF61" t="str">
        <f>PROPER(TRIM(K61))</f>
        <v>Stationery</v>
      </c>
      <c r="AG61" t="str">
        <f>PROPER(TRIM(J61))</f>
        <v>West</v>
      </c>
      <c r="AH61" t="str">
        <f t="shared" si="0"/>
        <v>Stationery</v>
      </c>
      <c r="AI61" t="str">
        <f t="shared" si="1"/>
        <v>Stationery</v>
      </c>
      <c r="AK61">
        <f>IF(COUNTIF($A$2:A61,A61)=1,1,0)</f>
        <v>1</v>
      </c>
    </row>
    <row r="62" spans="1:37">
      <c r="A62" s="9" t="s">
        <v>438</v>
      </c>
      <c r="B62" s="10" t="s">
        <v>358</v>
      </c>
      <c r="C62" s="10" t="s">
        <v>330</v>
      </c>
      <c r="D62" s="11">
        <v>45660</v>
      </c>
      <c r="E62" s="11">
        <v>45780</v>
      </c>
      <c r="F62" s="10" t="s">
        <v>359</v>
      </c>
      <c r="G62" s="10" t="s">
        <v>239</v>
      </c>
      <c r="H62" s="11">
        <v>37842</v>
      </c>
      <c r="I62" s="10" t="s">
        <v>306</v>
      </c>
      <c r="J62" s="10" t="s">
        <v>287</v>
      </c>
      <c r="K62" s="10" t="s">
        <v>243</v>
      </c>
      <c r="L62" s="10" t="s">
        <v>333</v>
      </c>
      <c r="M62" s="10">
        <v>15</v>
      </c>
      <c r="N62" s="10">
        <v>700</v>
      </c>
      <c r="O62" s="10">
        <v>10</v>
      </c>
      <c r="P62" s="10">
        <v>9450</v>
      </c>
      <c r="Q62" s="10">
        <v>3</v>
      </c>
      <c r="R62" s="10" t="s">
        <v>245</v>
      </c>
      <c r="S62" s="10" t="s">
        <v>312</v>
      </c>
      <c r="T62" s="10" t="s">
        <v>360</v>
      </c>
      <c r="U62" s="10">
        <v>9826484650</v>
      </c>
      <c r="V62" s="12" t="s">
        <v>257</v>
      </c>
      <c r="W62" t="str">
        <f>IF(OR(Q62&lt;=2,V62="Cancelled"),"Blacklisted",IF(AND(P62&gt;100000,Q62&gt;=4,O62&lt;=10%,V62="Completed"),"Platinum",IF(AND(P62&gt;=50000,Q62&gt;=3,V62="Completed"),"Gold",IF(AND(P62&lt;50000,V62="Completed"),"Silver",""))))</f>
        <v>Silver</v>
      </c>
      <c r="X62" t="str">
        <f>PROPER(TRIM(F62))</f>
        <v>Sneha Joshi</v>
      </c>
      <c r="Y62" t="str">
        <f>LEFT(F62,3)&amp;MID(B62,2,3)&amp;LEFT(I62,2)</f>
        <v>Sne006Ah</v>
      </c>
      <c r="Z62" t="str">
        <f>IF(ISNUMBER(SEARCH("@",T62)),LOWER(TRIM(T62)),"invalid email")</f>
        <v>sneha.joshi@company.com</v>
      </c>
      <c r="AA62" t="str">
        <f ca="1">IF(H61="","",IFERROR(DATEDIF(IF(ISNUMBER(H61),H61,DATE(VALUE(RIGHT(H61,4)),VALUE(MID(H61,3,2)),VALUE(LEFT(H61,2)))),TODAY(),"Y"),""))</f>
        <v/>
      </c>
      <c r="AB62" t="str">
        <f>IF(OR(D62="",E62=""),"",IFERROR(DATE(MID(E62,7,4),MID(E62,4,2),LEFT(E62,2))-DATE(MID(D62,7,4),MID(D62,4,2),LEFT(D62,2)),""))</f>
        <v/>
      </c>
      <c r="AC62" t="str">
        <f>IF(E62="","Pending",IF(AB62&lt;=5,"On time","Delayed"))</f>
        <v>Delayed</v>
      </c>
      <c r="AD62" s="29" t="str">
        <f>IF(TRIM(S62)="","Not Assigned",S62)</f>
        <v>Karan</v>
      </c>
      <c r="AE62" t="str">
        <f>PROPER(TRIM(F62))</f>
        <v>Sneha Joshi</v>
      </c>
      <c r="AF62" t="str">
        <f>PROPER(TRIM(K62))</f>
        <v>Electronics</v>
      </c>
      <c r="AG62" t="str">
        <f>PROPER(TRIM(J62))</f>
        <v>West</v>
      </c>
      <c r="AH62" t="str">
        <f t="shared" si="0"/>
        <v>Electronics</v>
      </c>
      <c r="AI62" t="str">
        <f t="shared" si="1"/>
        <v>Electronics</v>
      </c>
      <c r="AK62">
        <f>IF(COUNTIF($A$2:A62,A62)=1,1,0)</f>
        <v>1</v>
      </c>
    </row>
    <row r="63" spans="1:37">
      <c r="A63" s="4" t="s">
        <v>439</v>
      </c>
      <c r="B63" s="5" t="s">
        <v>235</v>
      </c>
      <c r="C63" s="5" t="s">
        <v>362</v>
      </c>
      <c r="D63" s="6">
        <v>45902</v>
      </c>
      <c r="E63" s="6">
        <v>45993</v>
      </c>
      <c r="F63" s="5" t="s">
        <v>318</v>
      </c>
      <c r="G63" s="5" t="s">
        <v>239</v>
      </c>
      <c r="H63" s="5" t="s">
        <v>440</v>
      </c>
      <c r="I63" s="5" t="s">
        <v>379</v>
      </c>
      <c r="J63" s="5" t="s">
        <v>21</v>
      </c>
      <c r="K63" s="5" t="s">
        <v>295</v>
      </c>
      <c r="L63" s="5" t="s">
        <v>363</v>
      </c>
      <c r="M63" s="5">
        <v>3</v>
      </c>
      <c r="N63" s="5">
        <v>45</v>
      </c>
      <c r="O63" s="5">
        <v>15</v>
      </c>
      <c r="P63" s="5">
        <v>114.75</v>
      </c>
      <c r="Q63" s="5">
        <v>2</v>
      </c>
      <c r="R63" s="5" t="s">
        <v>277</v>
      </c>
      <c r="S63" s="5" t="s">
        <v>292</v>
      </c>
      <c r="T63" s="5" t="s">
        <v>247</v>
      </c>
      <c r="U63" s="5">
        <v>9219978007</v>
      </c>
      <c r="V63" s="8" t="s">
        <v>248</v>
      </c>
      <c r="W63" t="str">
        <f>IF(OR(Q63&lt;=2,V63="Cancelled"),"Blacklisted",IF(AND(P63&gt;100000,Q63&gt;=4,O63&lt;=10%,V63="Completed"),"Platinum",IF(AND(P63&gt;=50000,Q63&gt;=3,V63="Completed"),"Gold",IF(AND(P63&lt;50000,V63="Completed"),"Silver",""))))</f>
        <v>Blacklisted</v>
      </c>
      <c r="X63" t="str">
        <f>PROPER(TRIM(F63))</f>
        <v>Pooja Shah</v>
      </c>
      <c r="Y63" t="str">
        <f>LEFT(F63,3)&amp;MID(B63,2,3)&amp;LEFT(I63,2)</f>
        <v>Poo010Ko</v>
      </c>
      <c r="Z63" t="str">
        <f>IF(ISNUMBER(SEARCH("@",T63)),LOWER(TRIM(T63)),"invalid email")</f>
        <v>pooja.shah@company.com</v>
      </c>
      <c r="AA63">
        <f ca="1">IF(H62="","",IFERROR(DATEDIF(IF(ISNUMBER(H62),H62,DATE(VALUE(RIGHT(H62,4)),VALUE(MID(H62,3,2)),VALUE(LEFT(H62,2)))),TODAY(),"Y"),""))</f>
        <v>23</v>
      </c>
      <c r="AB63" t="str">
        <f>IF(OR(D63="",E63=""),"",IFERROR(DATE(MID(E63,7,4),MID(E63,4,2),LEFT(E63,2))-DATE(MID(D63,7,4),MID(D63,4,2),LEFT(D63,2)),""))</f>
        <v/>
      </c>
      <c r="AC63" t="str">
        <f>IF(E63="","Pending",IF(AB63&lt;=5,"On time","Delayed"))</f>
        <v>Delayed</v>
      </c>
      <c r="AD63" s="29" t="str">
        <f>IF(TRIM(S63)="","Not Assigned",S63)</f>
        <v>Neha</v>
      </c>
      <c r="AE63" t="str">
        <f>PROPER(TRIM(F63))</f>
        <v>Pooja Shah</v>
      </c>
      <c r="AF63" t="str">
        <f>PROPER(TRIM(K63))</f>
        <v>Stationery</v>
      </c>
      <c r="AG63" t="str">
        <f>PROPER(TRIM(J63))</f>
        <v>East</v>
      </c>
      <c r="AH63" t="str">
        <f t="shared" si="0"/>
        <v>Stationery</v>
      </c>
      <c r="AI63" t="str">
        <f t="shared" si="1"/>
        <v>Stationery</v>
      </c>
      <c r="AK63">
        <f>IF(COUNTIF($A$2:A63,A63)=1,1,0)</f>
        <v>1</v>
      </c>
    </row>
    <row r="64" spans="1:37">
      <c r="A64" s="9" t="s">
        <v>441</v>
      </c>
      <c r="B64" s="10" t="s">
        <v>284</v>
      </c>
      <c r="C64" s="10" t="s">
        <v>250</v>
      </c>
      <c r="D64" s="11">
        <v>46266</v>
      </c>
      <c r="E64" s="11">
        <v>46296</v>
      </c>
      <c r="F64" s="10" t="s">
        <v>285</v>
      </c>
      <c r="G64" s="10" t="s">
        <v>239</v>
      </c>
      <c r="H64" s="10" t="s">
        <v>442</v>
      </c>
      <c r="I64" s="10" t="s">
        <v>379</v>
      </c>
      <c r="J64" s="10" t="s">
        <v>21</v>
      </c>
      <c r="K64" s="10" t="s">
        <v>15</v>
      </c>
      <c r="L64" s="10" t="s">
        <v>253</v>
      </c>
      <c r="M64" s="10">
        <v>7</v>
      </c>
      <c r="N64" s="10">
        <v>2200</v>
      </c>
      <c r="O64" s="10">
        <v>15</v>
      </c>
      <c r="P64" s="10">
        <v>13090</v>
      </c>
      <c r="Q64" s="10">
        <v>5</v>
      </c>
      <c r="R64" s="10" t="s">
        <v>277</v>
      </c>
      <c r="S64" s="10" t="s">
        <v>292</v>
      </c>
      <c r="T64" s="10" t="s">
        <v>308</v>
      </c>
      <c r="U64" s="10">
        <v>9662063276</v>
      </c>
      <c r="V64" s="12" t="s">
        <v>257</v>
      </c>
      <c r="W64" t="str">
        <f>IF(OR(Q64&lt;=2,V64="Cancelled"),"Blacklisted",IF(AND(P64&gt;100000,Q64&gt;=4,O64&lt;=10%,V64="Completed"),"Platinum",IF(AND(P64&gt;=50000,Q64&gt;=3,V64="Completed"),"Gold",IF(AND(P64&lt;50000,V64="Completed"),"Silver",""))))</f>
        <v>Silver</v>
      </c>
      <c r="X64" t="str">
        <f>PROPER(TRIM(F64))</f>
        <v>Priya Patel</v>
      </c>
      <c r="Y64" t="str">
        <f>LEFT(F64,3)&amp;MID(B64,2,3)&amp;LEFT(I64,2)</f>
        <v>Pri002Ko</v>
      </c>
      <c r="Z64" t="str">
        <f>IF(ISNUMBER(SEARCH("@",T64)),LOWER(TRIM(T64)),"invalid email")</f>
        <v>priya.patel@company.com</v>
      </c>
      <c r="AA64" t="str">
        <f ca="1">IF(H63="","",IFERROR(DATEDIF(IF(ISNUMBER(H63),H63,DATE(VALUE(RIGHT(H63,4)),VALUE(MID(H63,3,2)),VALUE(LEFT(H63,2)))),TODAY(),"Y"),""))</f>
        <v/>
      </c>
      <c r="AB64" t="str">
        <f>IF(OR(D64="",E64=""),"",IFERROR(DATE(MID(E64,7,4),MID(E64,4,2),LEFT(E64,2))-DATE(MID(D64,7,4),MID(D64,4,2),LEFT(D64,2)),""))</f>
        <v/>
      </c>
      <c r="AC64" t="str">
        <f>IF(E64="","Pending",IF(AB64&lt;=5,"On time","Delayed"))</f>
        <v>Delayed</v>
      </c>
      <c r="AD64" s="29" t="str">
        <f>IF(TRIM(S64)="","Not Assigned",S64)</f>
        <v>Neha</v>
      </c>
      <c r="AE64" t="str">
        <f>PROPER(TRIM(F64))</f>
        <v>Priya Patel</v>
      </c>
      <c r="AF64" t="str">
        <f>PROPER(TRIM(K64))</f>
        <v>Home Appliances</v>
      </c>
      <c r="AG64" t="str">
        <f>PROPER(TRIM(J64))</f>
        <v>East</v>
      </c>
      <c r="AH64" t="str">
        <f t="shared" si="0"/>
        <v>Home Appliances</v>
      </c>
      <c r="AI64" t="str">
        <f t="shared" si="1"/>
        <v>Home Appliances</v>
      </c>
      <c r="AK64">
        <f>IF(COUNTIF($A$2:A64,A64)=1,1,0)</f>
        <v>1</v>
      </c>
    </row>
    <row r="65" spans="1:37">
      <c r="A65" s="4" t="s">
        <v>443</v>
      </c>
      <c r="B65" s="5" t="s">
        <v>249</v>
      </c>
      <c r="C65" s="5" t="s">
        <v>362</v>
      </c>
      <c r="D65" s="6">
        <v>45666</v>
      </c>
      <c r="E65" s="6">
        <v>45786</v>
      </c>
      <c r="F65" s="5" t="s">
        <v>251</v>
      </c>
      <c r="G65" s="5" t="s">
        <v>239</v>
      </c>
      <c r="H65" s="5" t="s">
        <v>444</v>
      </c>
      <c r="I65" s="5" t="s">
        <v>260</v>
      </c>
      <c r="J65" s="5" t="s">
        <v>261</v>
      </c>
      <c r="K65" s="5" t="s">
        <v>295</v>
      </c>
      <c r="L65" s="5" t="s">
        <v>363</v>
      </c>
      <c r="M65" s="5">
        <v>19</v>
      </c>
      <c r="N65" s="5">
        <v>45</v>
      </c>
      <c r="O65" s="5">
        <v>10</v>
      </c>
      <c r="P65" s="5">
        <v>769.5</v>
      </c>
      <c r="Q65" s="5">
        <v>5</v>
      </c>
      <c r="R65" s="5" t="s">
        <v>272</v>
      </c>
      <c r="S65" s="5" t="s">
        <v>292</v>
      </c>
      <c r="T65" s="5" t="s">
        <v>264</v>
      </c>
      <c r="U65" s="5">
        <v>9190393639</v>
      </c>
      <c r="V65" s="8" t="s">
        <v>265</v>
      </c>
      <c r="W65" t="str">
        <f>IF(OR(Q65&lt;=2,V65="Cancelled"),"Blacklisted",IF(AND(P65&gt;100000,Q65&gt;=4,O65&lt;=10%,V65="Completed"),"Platinum",IF(AND(P65&gt;=50000,Q65&gt;=3,V65="Completed"),"Gold",IF(AND(P65&lt;50000,V65="Completed"),"Silver",""))))</f>
        <v>Blacklisted</v>
      </c>
      <c r="X65" t="str">
        <f>PROPER(TRIM(F65))</f>
        <v>Kavya Nair</v>
      </c>
      <c r="Y65" t="str">
        <f>LEFT(F65,3)&amp;MID(B65,2,3)&amp;LEFT(I65,2)</f>
        <v>Kav008De</v>
      </c>
      <c r="Z65" t="str">
        <f>IF(ISNUMBER(SEARCH("@",T65)),LOWER(TRIM(T65)),"invalid email")</f>
        <v>kavya.nair@company.com</v>
      </c>
      <c r="AA65" t="str">
        <f ca="1">IF(H64="","",IFERROR(DATEDIF(IF(ISNUMBER(H64),H64,DATE(VALUE(RIGHT(H64,4)),VALUE(MID(H64,3,2)),VALUE(LEFT(H64,2)))),TODAY(),"Y"),""))</f>
        <v/>
      </c>
      <c r="AB65" t="str">
        <f>IF(OR(D65="",E65=""),"",IFERROR(DATE(MID(E65,7,4),MID(E65,4,2),LEFT(E65,2))-DATE(MID(D65,7,4),MID(D65,4,2),LEFT(D65,2)),""))</f>
        <v/>
      </c>
      <c r="AC65" t="str">
        <f>IF(E65="","Pending",IF(AB65&lt;=5,"On time","Delayed"))</f>
        <v>Delayed</v>
      </c>
      <c r="AD65" s="29" t="str">
        <f>IF(TRIM(S65)="","Not Assigned",S65)</f>
        <v>Neha</v>
      </c>
      <c r="AE65" t="str">
        <f>PROPER(TRIM(F65))</f>
        <v>Kavya Nair</v>
      </c>
      <c r="AF65" t="str">
        <f>PROPER(TRIM(K65))</f>
        <v>Stationery</v>
      </c>
      <c r="AG65" t="str">
        <f>PROPER(TRIM(J65))</f>
        <v>North</v>
      </c>
      <c r="AH65" t="str">
        <f t="shared" si="0"/>
        <v>Stationery</v>
      </c>
      <c r="AI65" t="str">
        <f t="shared" si="1"/>
        <v>Stationery</v>
      </c>
      <c r="AK65">
        <f>IF(COUNTIF($A$2:A65,A65)=1,1,0)</f>
        <v>1</v>
      </c>
    </row>
    <row r="66" spans="1:37">
      <c r="A66" s="9" t="s">
        <v>445</v>
      </c>
      <c r="B66" s="10" t="s">
        <v>358</v>
      </c>
      <c r="C66" s="10" t="s">
        <v>280</v>
      </c>
      <c r="D66" s="11">
        <v>46267</v>
      </c>
      <c r="E66" s="10" t="s">
        <v>24</v>
      </c>
      <c r="F66" s="10" t="s">
        <v>359</v>
      </c>
      <c r="G66" s="10" t="s">
        <v>239</v>
      </c>
      <c r="H66" s="10" t="s">
        <v>446</v>
      </c>
      <c r="I66" s="10" t="s">
        <v>252</v>
      </c>
      <c r="J66" s="10" t="s">
        <v>242</v>
      </c>
      <c r="K66" s="10" t="s">
        <v>15</v>
      </c>
      <c r="L66" s="10" t="s">
        <v>282</v>
      </c>
      <c r="M66" s="10">
        <v>7</v>
      </c>
      <c r="N66" s="10">
        <v>3500</v>
      </c>
      <c r="O66" s="10">
        <v>15</v>
      </c>
      <c r="P66" s="10">
        <v>20825</v>
      </c>
      <c r="Q66" s="10">
        <v>1</v>
      </c>
      <c r="R66" s="10" t="s">
        <v>254</v>
      </c>
      <c r="S66" s="10" t="s">
        <v>312</v>
      </c>
      <c r="T66" s="10" t="s">
        <v>360</v>
      </c>
      <c r="U66" s="10">
        <v>9106328582</v>
      </c>
      <c r="V66" s="12" t="s">
        <v>248</v>
      </c>
      <c r="W66" t="str">
        <f>IF(OR(Q66&lt;=2,V66="Cancelled"),"Blacklisted",IF(AND(P66&gt;100000,Q66&gt;=4,O66&lt;=10%,V66="Completed"),"Platinum",IF(AND(P66&gt;=50000,Q66&gt;=3,V66="Completed"),"Gold",IF(AND(P66&lt;50000,V66="Completed"),"Silver",""))))</f>
        <v>Blacklisted</v>
      </c>
      <c r="X66" t="str">
        <f>PROPER(TRIM(F66))</f>
        <v>Sneha Joshi</v>
      </c>
      <c r="Y66" t="str">
        <f>LEFT(F66,3)&amp;MID(B66,2,3)&amp;LEFT(I66,2)</f>
        <v>Sne006Hy</v>
      </c>
      <c r="Z66" t="str">
        <f>IF(ISNUMBER(SEARCH("@",T66)),LOWER(TRIM(T66)),"invalid email")</f>
        <v>sneha.joshi@company.com</v>
      </c>
      <c r="AA66" t="str">
        <f ca="1">IF(H65="","",IFERROR(DATEDIF(IF(ISNUMBER(H65),H65,DATE(VALUE(RIGHT(H65,4)),VALUE(MID(H65,3,2)),VALUE(LEFT(H65,2)))),TODAY(),"Y"),""))</f>
        <v/>
      </c>
      <c r="AB66" t="str">
        <f>IF(OR(D66="",E66=""),"",IFERROR(DATE(MID(E66,7,4),MID(E66,4,2),LEFT(E66,2))-DATE(MID(D66,7,4),MID(D66,4,2),LEFT(D66,2)),""))</f>
        <v/>
      </c>
      <c r="AC66" t="str">
        <f>IF(E66="","Pending",IF(AB66&lt;=5,"On time","Delayed"))</f>
        <v>Delayed</v>
      </c>
      <c r="AD66" s="29" t="str">
        <f>IF(TRIM(S66)="","Not Assigned",S66)</f>
        <v>Karan</v>
      </c>
      <c r="AE66" t="str">
        <f>PROPER(TRIM(F66))</f>
        <v>Sneha Joshi</v>
      </c>
      <c r="AF66" t="str">
        <f>PROPER(TRIM(K66))</f>
        <v>Home Appliances</v>
      </c>
      <c r="AG66" t="str">
        <f>PROPER(TRIM(J66))</f>
        <v>South</v>
      </c>
      <c r="AH66" t="str">
        <f t="shared" si="0"/>
        <v>Home Appliances</v>
      </c>
      <c r="AI66" t="str">
        <f t="shared" si="1"/>
        <v>Home Appliances</v>
      </c>
      <c r="AK66">
        <f>IF(COUNTIF($A$2:A66,A66)=1,1,0)</f>
        <v>1</v>
      </c>
    </row>
    <row r="67" spans="1:37">
      <c r="A67" s="4" t="s">
        <v>447</v>
      </c>
      <c r="B67" s="5" t="s">
        <v>235</v>
      </c>
      <c r="C67" s="5" t="s">
        <v>322</v>
      </c>
      <c r="D67" s="5" t="s">
        <v>30</v>
      </c>
      <c r="E67" s="5" t="s">
        <v>448</v>
      </c>
      <c r="F67" s="5" t="s">
        <v>318</v>
      </c>
      <c r="G67" s="5" t="s">
        <v>239</v>
      </c>
      <c r="H67" s="5" t="s">
        <v>449</v>
      </c>
      <c r="I67" s="5" t="s">
        <v>342</v>
      </c>
      <c r="J67" s="5" t="s">
        <v>261</v>
      </c>
      <c r="K67" s="5" t="s">
        <v>15</v>
      </c>
      <c r="L67" s="5" t="s">
        <v>325</v>
      </c>
      <c r="M67" s="5">
        <v>7</v>
      </c>
      <c r="N67" s="5">
        <v>8500</v>
      </c>
      <c r="O67" s="5">
        <v>20</v>
      </c>
      <c r="P67" s="5">
        <v>47600</v>
      </c>
      <c r="Q67" s="5">
        <v>4</v>
      </c>
      <c r="R67" s="5" t="s">
        <v>245</v>
      </c>
      <c r="S67" s="5" t="s">
        <v>292</v>
      </c>
      <c r="T67" s="5" t="s">
        <v>247</v>
      </c>
      <c r="U67" s="5">
        <v>9264401015</v>
      </c>
      <c r="V67" s="8" t="s">
        <v>257</v>
      </c>
      <c r="W67" t="str">
        <f>IF(OR(Q67&lt;=2,V67="Cancelled"),"Blacklisted",IF(AND(P67&gt;100000,Q67&gt;=4,O67&lt;=10%,V67="Completed"),"Platinum",IF(AND(P67&gt;=50000,Q67&gt;=3,V67="Completed"),"Gold",IF(AND(P67&lt;50000,V67="Completed"),"Silver",""))))</f>
        <v>Silver</v>
      </c>
      <c r="X67" t="str">
        <f>PROPER(TRIM(F67))</f>
        <v>Pooja Shah</v>
      </c>
      <c r="Y67" t="str">
        <f>LEFT(F67,3)&amp;MID(B67,2,3)&amp;LEFT(I67,2)</f>
        <v>Poo010Ja</v>
      </c>
      <c r="Z67" t="str">
        <f>IF(ISNUMBER(SEARCH("@",T67)),LOWER(TRIM(T67)),"invalid email")</f>
        <v>pooja.shah@company.com</v>
      </c>
      <c r="AA67" t="str">
        <f ca="1">IF(H66="","",IFERROR(DATEDIF(IF(ISNUMBER(H66),H66,DATE(VALUE(RIGHT(H66,4)),VALUE(MID(H66,3,2)),VALUE(LEFT(H66,2)))),TODAY(),"Y"),""))</f>
        <v/>
      </c>
      <c r="AB67">
        <f>IF(OR(D67="",E67=""),"",IFERROR(DATE(MID(E67,7,4),MID(E67,4,2),LEFT(E67,2))-DATE(MID(D67,7,4),MID(D67,4,2),LEFT(D67,2)),""))</f>
        <v>5</v>
      </c>
      <c r="AC67" t="str">
        <f>IF(E67="","Pending",IF(AB67&lt;=5,"On time","Delayed"))</f>
        <v>On time</v>
      </c>
      <c r="AD67" s="29" t="str">
        <f>IF(TRIM(S67)="","Not Assigned",S67)</f>
        <v>Neha</v>
      </c>
      <c r="AE67" t="str">
        <f>PROPER(TRIM(F67))</f>
        <v>Pooja Shah</v>
      </c>
      <c r="AF67" t="str">
        <f>PROPER(TRIM(K67))</f>
        <v>Home Appliances</v>
      </c>
      <c r="AG67" t="str">
        <f>PROPER(TRIM(J67))</f>
        <v>North</v>
      </c>
      <c r="AH67" t="str">
        <f t="shared" ref="AH67:AH130" si="2">PROPER(TRIM(K67))</f>
        <v>Home Appliances</v>
      </c>
      <c r="AI67" t="str">
        <f t="shared" ref="AI67:AI130" si="3">IF(OR(LOWER(TRIM(K67))="electronic",LOWER(TRIM(K67))="electronics"),"Electronics",PROPER(TRIM(K67)))</f>
        <v>Home Appliances</v>
      </c>
      <c r="AK67">
        <f>IF(COUNTIF($A$2:A67,A67)=1,1,0)</f>
        <v>1</v>
      </c>
    </row>
    <row r="68" spans="1:37">
      <c r="A68" s="9" t="s">
        <v>450</v>
      </c>
      <c r="B68" s="10" t="s">
        <v>249</v>
      </c>
      <c r="C68" s="10" t="s">
        <v>236</v>
      </c>
      <c r="D68" s="11">
        <v>45842</v>
      </c>
      <c r="E68" s="11">
        <v>45934</v>
      </c>
      <c r="F68" s="10" t="s">
        <v>251</v>
      </c>
      <c r="G68" s="10" t="s">
        <v>239</v>
      </c>
      <c r="H68" s="11">
        <v>36648</v>
      </c>
      <c r="I68" s="10" t="s">
        <v>241</v>
      </c>
      <c r="J68" s="10" t="s">
        <v>242</v>
      </c>
      <c r="K68" s="10" t="s">
        <v>243</v>
      </c>
      <c r="L68" s="10" t="s">
        <v>244</v>
      </c>
      <c r="M68" s="10">
        <v>16</v>
      </c>
      <c r="N68" s="10">
        <v>55000</v>
      </c>
      <c r="O68" s="10">
        <v>10</v>
      </c>
      <c r="P68" s="10">
        <v>792000</v>
      </c>
      <c r="Q68" s="10">
        <v>1</v>
      </c>
      <c r="R68" s="10" t="s">
        <v>272</v>
      </c>
      <c r="S68" s="10" t="s">
        <v>246</v>
      </c>
      <c r="T68" s="10" t="s">
        <v>264</v>
      </c>
      <c r="U68" s="10">
        <v>9959237375</v>
      </c>
      <c r="V68" s="12" t="s">
        <v>257</v>
      </c>
      <c r="W68" t="str">
        <f>IF(OR(Q68&lt;=2,V68="Cancelled"),"Blacklisted",IF(AND(P68&gt;100000,Q68&gt;=4,O68&lt;=10%,V68="Completed"),"Platinum",IF(AND(P68&gt;=50000,Q68&gt;=3,V68="Completed"),"Gold",IF(AND(P68&lt;50000,V68="Completed"),"Silver",""))))</f>
        <v>Blacklisted</v>
      </c>
      <c r="X68" t="str">
        <f>PROPER(TRIM(F68))</f>
        <v>Kavya Nair</v>
      </c>
      <c r="Y68" t="str">
        <f>LEFT(F68,3)&amp;MID(B68,2,3)&amp;LEFT(I68,2)</f>
        <v>Kav008Be</v>
      </c>
      <c r="Z68" t="str">
        <f>IF(ISNUMBER(SEARCH("@",T68)),LOWER(TRIM(T68)),"invalid email")</f>
        <v>kavya.nair@company.com</v>
      </c>
      <c r="AA68" t="str">
        <f ca="1">IF(H67="","",IFERROR(DATEDIF(IF(ISNUMBER(H67),H67,DATE(VALUE(RIGHT(H67,4)),VALUE(MID(H67,3,2)),VALUE(LEFT(H67,2)))),TODAY(),"Y"),""))</f>
        <v/>
      </c>
      <c r="AB68" t="str">
        <f>IF(OR(D68="",E68=""),"",IFERROR(DATE(MID(E68,7,4),MID(E68,4,2),LEFT(E68,2))-DATE(MID(D68,7,4),MID(D68,4,2),LEFT(D68,2)),""))</f>
        <v/>
      </c>
      <c r="AC68" t="str">
        <f>IF(E68="","Pending",IF(AB68&lt;=5,"On time","Delayed"))</f>
        <v>Delayed</v>
      </c>
      <c r="AD68" s="29" t="str">
        <f>IF(TRIM(S68)="","Not Assigned",S68)</f>
        <v>Aisha</v>
      </c>
      <c r="AE68" t="str">
        <f>PROPER(TRIM(F68))</f>
        <v>Kavya Nair</v>
      </c>
      <c r="AF68" t="str">
        <f>PROPER(TRIM(K68))</f>
        <v>Electronics</v>
      </c>
      <c r="AG68" t="str">
        <f>PROPER(TRIM(J68))</f>
        <v>South</v>
      </c>
      <c r="AH68" t="str">
        <f t="shared" si="2"/>
        <v>Electronics</v>
      </c>
      <c r="AI68" t="str">
        <f t="shared" si="3"/>
        <v>Electronics</v>
      </c>
      <c r="AK68">
        <f>IF(COUNTIF($A$2:A68,A68)=1,1,0)</f>
        <v>1</v>
      </c>
    </row>
    <row r="69" spans="1:37">
      <c r="A69" s="4" t="s">
        <v>451</v>
      </c>
      <c r="B69" s="5" t="s">
        <v>321</v>
      </c>
      <c r="C69" s="5" t="s">
        <v>258</v>
      </c>
      <c r="D69" s="5" t="s">
        <v>136</v>
      </c>
      <c r="E69" s="6">
        <v>46082</v>
      </c>
      <c r="F69" s="5" t="s">
        <v>408</v>
      </c>
      <c r="G69" s="5" t="s">
        <v>239</v>
      </c>
      <c r="H69" s="5" t="s">
        <v>452</v>
      </c>
      <c r="I69" s="5" t="s">
        <v>286</v>
      </c>
      <c r="J69" s="5" t="s">
        <v>287</v>
      </c>
      <c r="K69" s="5" t="s">
        <v>243</v>
      </c>
      <c r="L69" s="5" t="s">
        <v>262</v>
      </c>
      <c r="M69" s="5">
        <v>2</v>
      </c>
      <c r="N69" s="5">
        <v>12000</v>
      </c>
      <c r="O69" s="5">
        <v>20</v>
      </c>
      <c r="P69" s="5">
        <v>19200</v>
      </c>
      <c r="Q69" s="5">
        <v>1</v>
      </c>
      <c r="R69" s="5" t="s">
        <v>254</v>
      </c>
      <c r="S69" s="5" t="s">
        <v>312</v>
      </c>
      <c r="T69" s="7" t="s">
        <v>453</v>
      </c>
      <c r="U69" s="5">
        <v>9561836580</v>
      </c>
      <c r="V69" s="8" t="s">
        <v>248</v>
      </c>
      <c r="W69" t="str">
        <f>IF(OR(Q69&lt;=2,V69="Cancelled"),"Blacklisted",IF(AND(P69&gt;100000,Q69&gt;=4,O69&lt;=10%,V69="Completed"),"Platinum",IF(AND(P69&gt;=50000,Q69&gt;=3,V69="Completed"),"Gold",IF(AND(P69&lt;50000,V69="Completed"),"Silver",""))))</f>
        <v>Blacklisted</v>
      </c>
      <c r="X69" t="str">
        <f>PROPER(TRIM(F69))</f>
        <v>Anita Gupta</v>
      </c>
      <c r="Y69" t="str">
        <f>LEFT(F69,3)&amp;MID(B69,2,3)&amp;LEFT(I69,2)</f>
        <v>Ani004Mu</v>
      </c>
      <c r="Z69" t="str">
        <f>IF(ISNUMBER(SEARCH("@",T69)),LOWER(TRIM(T69)),"invalid email")</f>
        <v>anita.gupta@company.com</v>
      </c>
      <c r="AA69">
        <f ca="1">IF(H68="","",IFERROR(DATEDIF(IF(ISNUMBER(H68),H68,DATE(VALUE(RIGHT(H68,4)),VALUE(MID(H68,3,2)),VALUE(LEFT(H68,2)))),TODAY(),"Y"),""))</f>
        <v>26</v>
      </c>
      <c r="AB69" t="str">
        <f>IF(OR(D69="",E69=""),"",IFERROR(DATE(MID(E69,7,4),MID(E69,4,2),LEFT(E69,2))-DATE(MID(D69,7,4),MID(D69,4,2),LEFT(D69,2)),""))</f>
        <v/>
      </c>
      <c r="AC69" t="str">
        <f>IF(E69="","Pending",IF(AB69&lt;=5,"On time","Delayed"))</f>
        <v>Delayed</v>
      </c>
      <c r="AD69" s="29" t="str">
        <f>IF(TRIM(S69)="","Not Assigned",S69)</f>
        <v>Karan</v>
      </c>
      <c r="AE69" t="str">
        <f>PROPER(TRIM(F69))</f>
        <v>Anita Gupta</v>
      </c>
      <c r="AF69" t="str">
        <f>PROPER(TRIM(K69))</f>
        <v>Electronics</v>
      </c>
      <c r="AG69" t="str">
        <f>PROPER(TRIM(J69))</f>
        <v>West</v>
      </c>
      <c r="AH69" t="str">
        <f t="shared" si="2"/>
        <v>Electronics</v>
      </c>
      <c r="AI69" t="str">
        <f t="shared" si="3"/>
        <v>Electronics</v>
      </c>
      <c r="AK69">
        <f>IF(COUNTIF($A$2:A69,A69)=1,1,0)</f>
        <v>1</v>
      </c>
    </row>
    <row r="70" spans="1:37">
      <c r="A70" s="9" t="s">
        <v>454</v>
      </c>
      <c r="B70" s="10" t="s">
        <v>299</v>
      </c>
      <c r="C70" s="10" t="s">
        <v>362</v>
      </c>
      <c r="D70" s="10" t="s">
        <v>199</v>
      </c>
      <c r="E70" s="11">
        <v>45786</v>
      </c>
      <c r="F70" s="10" t="s">
        <v>301</v>
      </c>
      <c r="G70" s="10" t="s">
        <v>269</v>
      </c>
      <c r="H70" s="10" t="s">
        <v>455</v>
      </c>
      <c r="I70" s="10" t="s">
        <v>241</v>
      </c>
      <c r="J70" s="10" t="s">
        <v>242</v>
      </c>
      <c r="K70" s="10" t="s">
        <v>295</v>
      </c>
      <c r="L70" s="10" t="s">
        <v>363</v>
      </c>
      <c r="M70" s="10">
        <v>4</v>
      </c>
      <c r="N70" s="10">
        <v>45</v>
      </c>
      <c r="O70" s="10">
        <v>5</v>
      </c>
      <c r="P70" s="10">
        <v>171</v>
      </c>
      <c r="Q70" s="10">
        <v>1</v>
      </c>
      <c r="R70" s="10" t="s">
        <v>272</v>
      </c>
      <c r="S70" s="10" t="s">
        <v>263</v>
      </c>
      <c r="T70" s="10" t="s">
        <v>302</v>
      </c>
      <c r="U70" s="10">
        <v>9512666401</v>
      </c>
      <c r="V70" s="12" t="s">
        <v>248</v>
      </c>
      <c r="W70" t="str">
        <f>IF(OR(Q70&lt;=2,V70="Cancelled"),"Blacklisted",IF(AND(P70&gt;100000,Q70&gt;=4,O70&lt;=10%,V70="Completed"),"Platinum",IF(AND(P70&gt;=50000,Q70&gt;=3,V70="Completed"),"Gold",IF(AND(P70&lt;50000,V70="Completed"),"Silver",""))))</f>
        <v>Blacklisted</v>
      </c>
      <c r="X70" t="str">
        <f>PROPER(TRIM(F70))</f>
        <v>Rohit Singh</v>
      </c>
      <c r="Y70" t="str">
        <f>LEFT(F70,3)&amp;MID(B70,2,3)&amp;LEFT(I70,2)</f>
        <v>Roh003Be</v>
      </c>
      <c r="Z70" t="str">
        <f>IF(ISNUMBER(SEARCH("@",T70)),LOWER(TRIM(T70)),"invalid email")</f>
        <v>rohit.singh@company.com</v>
      </c>
      <c r="AA70" t="str">
        <f ca="1">IF(H69="","",IFERROR(DATEDIF(IF(ISNUMBER(H69),H69,DATE(VALUE(RIGHT(H69,4)),VALUE(MID(H69,3,2)),VALUE(LEFT(H69,2)))),TODAY(),"Y"),""))</f>
        <v/>
      </c>
      <c r="AB70" t="str">
        <f>IF(OR(D70="",E70=""),"",IFERROR(DATE(MID(E70,7,4),MID(E70,4,2),LEFT(E70,2))-DATE(MID(D70,7,4),MID(D70,4,2),LEFT(D70,2)),""))</f>
        <v/>
      </c>
      <c r="AC70" t="str">
        <f>IF(E70="","Pending",IF(AB70&lt;=5,"On time","Delayed"))</f>
        <v>Delayed</v>
      </c>
      <c r="AD70" s="29" t="str">
        <f>IF(TRIM(S70)="","Not Assigned",S70)</f>
        <v>Rahul</v>
      </c>
      <c r="AE70" t="str">
        <f>PROPER(TRIM(F70))</f>
        <v>Rohit Singh</v>
      </c>
      <c r="AF70" t="str">
        <f>PROPER(TRIM(K70))</f>
        <v>Stationery</v>
      </c>
      <c r="AG70" t="str">
        <f>PROPER(TRIM(J70))</f>
        <v>South</v>
      </c>
      <c r="AH70" t="str">
        <f t="shared" si="2"/>
        <v>Stationery</v>
      </c>
      <c r="AI70" t="str">
        <f t="shared" si="3"/>
        <v>Stationery</v>
      </c>
      <c r="AK70">
        <f>IF(COUNTIF($A$2:A70,A70)=1,1,0)</f>
        <v>1</v>
      </c>
    </row>
    <row r="71" spans="1:37">
      <c r="A71" s="4" t="s">
        <v>456</v>
      </c>
      <c r="B71" s="5" t="s">
        <v>249</v>
      </c>
      <c r="C71" s="5" t="s">
        <v>267</v>
      </c>
      <c r="D71" s="5" t="s">
        <v>22</v>
      </c>
      <c r="E71" s="5" t="s">
        <v>127</v>
      </c>
      <c r="F71" s="5" t="s">
        <v>251</v>
      </c>
      <c r="G71" s="5" t="s">
        <v>239</v>
      </c>
      <c r="H71" s="5" t="s">
        <v>457</v>
      </c>
      <c r="I71" s="5" t="s">
        <v>342</v>
      </c>
      <c r="J71" s="5" t="s">
        <v>261</v>
      </c>
      <c r="K71" s="5" t="s">
        <v>243</v>
      </c>
      <c r="L71" s="5" t="s">
        <v>271</v>
      </c>
      <c r="M71" s="5">
        <v>1</v>
      </c>
      <c r="N71" s="5">
        <v>1200</v>
      </c>
      <c r="O71" s="5">
        <v>5</v>
      </c>
      <c r="P71" s="5">
        <v>1140</v>
      </c>
      <c r="Q71" s="5">
        <v>3</v>
      </c>
      <c r="R71" s="5" t="s">
        <v>277</v>
      </c>
      <c r="S71" s="5" t="s">
        <v>246</v>
      </c>
      <c r="T71" s="5" t="s">
        <v>264</v>
      </c>
      <c r="U71" s="5">
        <v>9808988530</v>
      </c>
      <c r="V71" s="8" t="s">
        <v>265</v>
      </c>
      <c r="W71" t="str">
        <f>IF(OR(Q71&lt;=2,V71="Cancelled"),"Blacklisted",IF(AND(P71&gt;100000,Q71&gt;=4,O71&lt;=10%,V71="Completed"),"Platinum",IF(AND(P71&gt;=50000,Q71&gt;=3,V71="Completed"),"Gold",IF(AND(P71&lt;50000,V71="Completed"),"Silver",""))))</f>
        <v>Blacklisted</v>
      </c>
      <c r="X71" t="str">
        <f>PROPER(TRIM(F71))</f>
        <v>Kavya Nair</v>
      </c>
      <c r="Y71" t="str">
        <f>LEFT(F71,3)&amp;MID(B71,2,3)&amp;LEFT(I71,2)</f>
        <v>Kav008Ja</v>
      </c>
      <c r="Z71" t="str">
        <f>IF(ISNUMBER(SEARCH("@",T71)),LOWER(TRIM(T71)),"invalid email")</f>
        <v>kavya.nair@company.com</v>
      </c>
      <c r="AA71" t="str">
        <f ca="1">IF(H70="","",IFERROR(DATEDIF(IF(ISNUMBER(H70),H70,DATE(VALUE(RIGHT(H70,4)),VALUE(MID(H70,3,2)),VALUE(LEFT(H70,2)))),TODAY(),"Y"),""))</f>
        <v/>
      </c>
      <c r="AB71">
        <f>IF(OR(D71="",E71=""),"",IFERROR(DATE(MID(E71,7,4),MID(E71,4,2),LEFT(E71,2))-DATE(MID(D71,7,4),MID(D71,4,2),LEFT(D71,2)),""))</f>
        <v>10</v>
      </c>
      <c r="AC71" t="str">
        <f>IF(E71="","Pending",IF(AB71&lt;=5,"On time","Delayed"))</f>
        <v>Delayed</v>
      </c>
      <c r="AD71" s="29" t="str">
        <f>IF(TRIM(S71)="","Not Assigned",S71)</f>
        <v>Aisha</v>
      </c>
      <c r="AE71" t="str">
        <f>PROPER(TRIM(F71))</f>
        <v>Kavya Nair</v>
      </c>
      <c r="AF71" t="str">
        <f>PROPER(TRIM(K71))</f>
        <v>Electronics</v>
      </c>
      <c r="AG71" t="str">
        <f>PROPER(TRIM(J71))</f>
        <v>North</v>
      </c>
      <c r="AH71" t="str">
        <f t="shared" si="2"/>
        <v>Electronics</v>
      </c>
      <c r="AI71" t="str">
        <f t="shared" si="3"/>
        <v>Electronics</v>
      </c>
      <c r="AK71">
        <f>IF(COUNTIF($A$2:A71,A71)=1,1,0)</f>
        <v>1</v>
      </c>
    </row>
    <row r="72" spans="1:37">
      <c r="A72" s="9" t="s">
        <v>458</v>
      </c>
      <c r="B72" s="10" t="s">
        <v>235</v>
      </c>
      <c r="C72" s="10" t="s">
        <v>250</v>
      </c>
      <c r="D72" s="11">
        <v>46114</v>
      </c>
      <c r="E72" s="10" t="s">
        <v>459</v>
      </c>
      <c r="F72" s="10" t="s">
        <v>318</v>
      </c>
      <c r="G72" s="10" t="s">
        <v>239</v>
      </c>
      <c r="H72" s="10" t="s">
        <v>460</v>
      </c>
      <c r="I72" s="10"/>
      <c r="J72" s="10" t="s">
        <v>242</v>
      </c>
      <c r="K72" s="10" t="s">
        <v>15</v>
      </c>
      <c r="L72" s="10" t="s">
        <v>253</v>
      </c>
      <c r="M72" s="10">
        <v>1</v>
      </c>
      <c r="N72" s="10">
        <v>2200</v>
      </c>
      <c r="O72" s="10">
        <v>15</v>
      </c>
      <c r="P72" s="10">
        <v>1870</v>
      </c>
      <c r="Q72" s="10">
        <v>4</v>
      </c>
      <c r="R72" s="10" t="s">
        <v>272</v>
      </c>
      <c r="S72" s="10" t="s">
        <v>246</v>
      </c>
      <c r="T72" s="10" t="s">
        <v>247</v>
      </c>
      <c r="U72" s="10">
        <v>9286410494</v>
      </c>
      <c r="V72" s="12" t="s">
        <v>257</v>
      </c>
      <c r="W72" t="str">
        <f>IF(OR(Q72&lt;=2,V72="Cancelled"),"Blacklisted",IF(AND(P72&gt;100000,Q72&gt;=4,O72&lt;=10%,V72="Completed"),"Platinum",IF(AND(P72&gt;=50000,Q72&gt;=3,V72="Completed"),"Gold",IF(AND(P72&lt;50000,V72="Completed"),"Silver",""))))</f>
        <v>Silver</v>
      </c>
      <c r="X72" t="str">
        <f>PROPER(TRIM(F72))</f>
        <v>Pooja Shah</v>
      </c>
      <c r="Y72" t="str">
        <f>LEFT(F72,3)&amp;MID(B72,2,3)&amp;LEFT(I72,2)</f>
        <v>Poo010</v>
      </c>
      <c r="Z72" t="str">
        <f>IF(ISNUMBER(SEARCH("@",T72)),LOWER(TRIM(T72)),"invalid email")</f>
        <v>pooja.shah@company.com</v>
      </c>
      <c r="AA72" t="str">
        <f ca="1">IF(H71="","",IFERROR(DATEDIF(IF(ISNUMBER(H71),H71,DATE(VALUE(RIGHT(H71,4)),VALUE(MID(H71,3,2)),VALUE(LEFT(H71,2)))),TODAY(),"Y"),""))</f>
        <v/>
      </c>
      <c r="AB72" t="str">
        <f>IF(OR(D72="",E72=""),"",IFERROR(DATE(MID(E72,7,4),MID(E72,4,2),LEFT(E72,2))-DATE(MID(D72,7,4),MID(D72,4,2),LEFT(D72,2)),""))</f>
        <v/>
      </c>
      <c r="AC72" t="str">
        <f>IF(E72="","Pending",IF(AB72&lt;=5,"On time","Delayed"))</f>
        <v>Delayed</v>
      </c>
      <c r="AD72" s="29" t="str">
        <f>IF(TRIM(S72)="","Not Assigned",S72)</f>
        <v>Aisha</v>
      </c>
      <c r="AE72" t="str">
        <f>PROPER(TRIM(F72))</f>
        <v>Pooja Shah</v>
      </c>
      <c r="AF72" t="str">
        <f>PROPER(TRIM(K72))</f>
        <v>Home Appliances</v>
      </c>
      <c r="AG72" t="str">
        <f>PROPER(TRIM(J72))</f>
        <v>South</v>
      </c>
      <c r="AH72" t="str">
        <f t="shared" si="2"/>
        <v>Home Appliances</v>
      </c>
      <c r="AI72" t="str">
        <f t="shared" si="3"/>
        <v>Home Appliances</v>
      </c>
      <c r="AK72">
        <f>IF(COUNTIF($A$2:A72,A72)=1,1,0)</f>
        <v>1</v>
      </c>
    </row>
    <row r="73" spans="1:37">
      <c r="A73" s="4" t="s">
        <v>461</v>
      </c>
      <c r="B73" s="5" t="s">
        <v>299</v>
      </c>
      <c r="C73" s="5" t="s">
        <v>267</v>
      </c>
      <c r="D73" s="5" t="s">
        <v>149</v>
      </c>
      <c r="E73" s="5" t="s">
        <v>174</v>
      </c>
      <c r="F73" s="5" t="s">
        <v>301</v>
      </c>
      <c r="G73" s="5" t="s">
        <v>269</v>
      </c>
      <c r="H73" s="6">
        <v>29993</v>
      </c>
      <c r="I73" s="5" t="s">
        <v>291</v>
      </c>
      <c r="J73" s="5" t="s">
        <v>287</v>
      </c>
      <c r="K73" s="5" t="s">
        <v>243</v>
      </c>
      <c r="L73" s="5" t="s">
        <v>271</v>
      </c>
      <c r="M73" s="5">
        <v>3</v>
      </c>
      <c r="N73" s="5">
        <v>1200</v>
      </c>
      <c r="O73" s="5">
        <v>10</v>
      </c>
      <c r="P73" s="5">
        <v>3240</v>
      </c>
      <c r="Q73" s="5">
        <v>5</v>
      </c>
      <c r="R73" s="5" t="s">
        <v>254</v>
      </c>
      <c r="S73" s="5" t="s">
        <v>263</v>
      </c>
      <c r="T73" s="5" t="s">
        <v>302</v>
      </c>
      <c r="U73" s="5">
        <v>9311555196</v>
      </c>
      <c r="V73" s="8" t="s">
        <v>257</v>
      </c>
      <c r="W73" t="str">
        <f>IF(OR(Q73&lt;=2,V73="Cancelled"),"Blacklisted",IF(AND(P73&gt;100000,Q73&gt;=4,O73&lt;=10%,V73="Completed"),"Platinum",IF(AND(P73&gt;=50000,Q73&gt;=3,V73="Completed"),"Gold",IF(AND(P73&lt;50000,V73="Completed"),"Silver",""))))</f>
        <v>Silver</v>
      </c>
      <c r="X73" t="str">
        <f>PROPER(TRIM(F73))</f>
        <v>Rohit Singh</v>
      </c>
      <c r="Y73" t="str">
        <f>LEFT(F73,3)&amp;MID(B73,2,3)&amp;LEFT(I73,2)</f>
        <v>Roh003Pu</v>
      </c>
      <c r="Z73" t="str">
        <f>IF(ISNUMBER(SEARCH("@",T73)),LOWER(TRIM(T73)),"invalid email")</f>
        <v>rohit.singh@company.com</v>
      </c>
      <c r="AA73" t="str">
        <f ca="1">IF(H72="","",IFERROR(DATEDIF(IF(ISNUMBER(H72),H72,DATE(VALUE(RIGHT(H72,4)),VALUE(MID(H72,3,2)),VALUE(LEFT(H72,2)))),TODAY(),"Y"),""))</f>
        <v/>
      </c>
      <c r="AB73">
        <f>IF(OR(D73="",E73=""),"",IFERROR(DATE(MID(E73,7,4),MID(E73,4,2),LEFT(E73,2))-DATE(MID(D73,7,4),MID(D73,4,2),LEFT(D73,2)),""))</f>
        <v>2</v>
      </c>
      <c r="AC73" t="str">
        <f>IF(E73="","Pending",IF(AB73&lt;=5,"On time","Delayed"))</f>
        <v>On time</v>
      </c>
      <c r="AD73" s="29" t="str">
        <f>IF(TRIM(S73)="","Not Assigned",S73)</f>
        <v>Rahul</v>
      </c>
      <c r="AE73" t="str">
        <f>PROPER(TRIM(F73))</f>
        <v>Rohit Singh</v>
      </c>
      <c r="AF73" t="str">
        <f>PROPER(TRIM(K73))</f>
        <v>Electronics</v>
      </c>
      <c r="AG73" t="str">
        <f>PROPER(TRIM(J73))</f>
        <v>West</v>
      </c>
      <c r="AH73" t="str">
        <f t="shared" si="2"/>
        <v>Electronics</v>
      </c>
      <c r="AI73" t="str">
        <f t="shared" si="3"/>
        <v>Electronics</v>
      </c>
      <c r="AK73">
        <f>IF(COUNTIF($A$2:A73,A73)=1,1,0)</f>
        <v>1</v>
      </c>
    </row>
    <row r="74" spans="1:37">
      <c r="A74" s="9" t="s">
        <v>462</v>
      </c>
      <c r="B74" s="10" t="s">
        <v>249</v>
      </c>
      <c r="C74" s="10" t="s">
        <v>280</v>
      </c>
      <c r="D74" s="10" t="s">
        <v>167</v>
      </c>
      <c r="E74" s="11">
        <v>45845</v>
      </c>
      <c r="F74" s="10" t="s">
        <v>251</v>
      </c>
      <c r="G74" s="10" t="s">
        <v>239</v>
      </c>
      <c r="H74" s="11">
        <v>29495</v>
      </c>
      <c r="I74" s="10" t="s">
        <v>241</v>
      </c>
      <c r="J74" s="10" t="s">
        <v>242</v>
      </c>
      <c r="K74" s="10" t="s">
        <v>15</v>
      </c>
      <c r="L74" s="10" t="s">
        <v>282</v>
      </c>
      <c r="M74" s="10">
        <v>10</v>
      </c>
      <c r="N74" s="10">
        <v>3500</v>
      </c>
      <c r="O74" s="10">
        <v>20</v>
      </c>
      <c r="P74" s="10">
        <v>28000</v>
      </c>
      <c r="Q74" s="10">
        <v>5</v>
      </c>
      <c r="R74" s="10" t="s">
        <v>272</v>
      </c>
      <c r="S74" s="10" t="s">
        <v>255</v>
      </c>
      <c r="T74" s="10" t="s">
        <v>264</v>
      </c>
      <c r="U74" s="10">
        <v>9101810266</v>
      </c>
      <c r="V74" s="12" t="s">
        <v>257</v>
      </c>
      <c r="W74" t="str">
        <f>IF(OR(Q74&lt;=2,V74="Cancelled"),"Blacklisted",IF(AND(P74&gt;100000,Q74&gt;=4,O74&lt;=10%,V74="Completed"),"Platinum",IF(AND(P74&gt;=50000,Q74&gt;=3,V74="Completed"),"Gold",IF(AND(P74&lt;50000,V74="Completed"),"Silver",""))))</f>
        <v>Silver</v>
      </c>
      <c r="X74" t="str">
        <f>PROPER(TRIM(F74))</f>
        <v>Kavya Nair</v>
      </c>
      <c r="Y74" t="str">
        <f>LEFT(F74,3)&amp;MID(B74,2,3)&amp;LEFT(I74,2)</f>
        <v>Kav008Be</v>
      </c>
      <c r="Z74" t="str">
        <f>IF(ISNUMBER(SEARCH("@",T74)),LOWER(TRIM(T74)),"invalid email")</f>
        <v>kavya.nair@company.com</v>
      </c>
      <c r="AA74">
        <f ca="1">IF(H73="","",IFERROR(DATEDIF(IF(ISNUMBER(H73),H73,DATE(VALUE(RIGHT(H73,4)),VALUE(MID(H73,3,2)),VALUE(LEFT(H73,2)))),TODAY(),"Y"),""))</f>
        <v>44</v>
      </c>
      <c r="AB74" t="str">
        <f>IF(OR(D74="",E74=""),"",IFERROR(DATE(MID(E74,7,4),MID(E74,4,2),LEFT(E74,2))-DATE(MID(D74,7,4),MID(D74,4,2),LEFT(D74,2)),""))</f>
        <v/>
      </c>
      <c r="AC74" t="str">
        <f>IF(E74="","Pending",IF(AB74&lt;=5,"On time","Delayed"))</f>
        <v>Delayed</v>
      </c>
      <c r="AD74" s="29" t="str">
        <f>IF(TRIM(S74)="","Not Assigned",S74)</f>
        <v>Ritika</v>
      </c>
      <c r="AE74" t="str">
        <f>PROPER(TRIM(F74))</f>
        <v>Kavya Nair</v>
      </c>
      <c r="AF74" t="str">
        <f>PROPER(TRIM(K74))</f>
        <v>Home Appliances</v>
      </c>
      <c r="AG74" t="str">
        <f>PROPER(TRIM(J74))</f>
        <v>South</v>
      </c>
      <c r="AH74" t="str">
        <f t="shared" si="2"/>
        <v>Home Appliances</v>
      </c>
      <c r="AI74" t="str">
        <f t="shared" si="3"/>
        <v>Home Appliances</v>
      </c>
      <c r="AK74">
        <f>IF(COUNTIF($A$2:A74,A74)=1,1,0)</f>
        <v>1</v>
      </c>
    </row>
    <row r="75" spans="1:37">
      <c r="A75" s="4" t="s">
        <v>463</v>
      </c>
      <c r="B75" s="5" t="s">
        <v>275</v>
      </c>
      <c r="C75" s="5" t="s">
        <v>330</v>
      </c>
      <c r="D75" s="5" t="s">
        <v>58</v>
      </c>
      <c r="E75" s="5" t="s">
        <v>425</v>
      </c>
      <c r="F75" s="5" t="s">
        <v>328</v>
      </c>
      <c r="G75" s="5" t="s">
        <v>269</v>
      </c>
      <c r="H75" s="14" t="s">
        <v>464</v>
      </c>
      <c r="I75" s="5" t="s">
        <v>260</v>
      </c>
      <c r="J75" s="5" t="s">
        <v>261</v>
      </c>
      <c r="K75" s="5" t="s">
        <v>243</v>
      </c>
      <c r="L75" s="5" t="s">
        <v>333</v>
      </c>
      <c r="M75" s="5">
        <v>18</v>
      </c>
      <c r="N75" s="5">
        <v>700</v>
      </c>
      <c r="O75" s="5">
        <v>5</v>
      </c>
      <c r="P75" s="5">
        <v>11970</v>
      </c>
      <c r="Q75" s="5">
        <v>3</v>
      </c>
      <c r="R75" s="5" t="s">
        <v>272</v>
      </c>
      <c r="S75" s="5" t="s">
        <v>292</v>
      </c>
      <c r="T75" s="5" t="s">
        <v>278</v>
      </c>
      <c r="U75" s="5">
        <v>9464556593</v>
      </c>
      <c r="V75" s="8" t="s">
        <v>265</v>
      </c>
      <c r="W75" t="str">
        <f>IF(OR(Q75&lt;=2,V75="Cancelled"),"Blacklisted",IF(AND(P75&gt;100000,Q75&gt;=4,O75&lt;=10%,V75="Completed"),"Platinum",IF(AND(P75&gt;=50000,Q75&gt;=3,V75="Completed"),"Gold",IF(AND(P75&lt;50000,V75="Completed"),"Silver",""))))</f>
        <v>Blacklisted</v>
      </c>
      <c r="X75" t="str">
        <f>PROPER(TRIM(F75))</f>
        <v>Arjun Rao</v>
      </c>
      <c r="Y75" t="str">
        <f>LEFT(F75,3)&amp;MID(B75,2,3)&amp;LEFT(I75,2)</f>
        <v>Arj007De</v>
      </c>
      <c r="Z75" t="str">
        <f>IF(ISNUMBER(SEARCH("@",T75)),LOWER(TRIM(T75)),"invalid email")</f>
        <v>arjun.rao@company.com</v>
      </c>
      <c r="AA75">
        <f ca="1">IF(H74="","",IFERROR(DATEDIF(IF(ISNUMBER(H74),H74,DATE(VALUE(RIGHT(H74,4)),VALUE(MID(H74,3,2)),VALUE(LEFT(H74,2)))),TODAY(),"Y"),""))</f>
        <v>46</v>
      </c>
      <c r="AB75">
        <f>IF(OR(D75="",E75=""),"",IFERROR(DATE(MID(E75,7,4),MID(E75,4,2),LEFT(E75,2))-DATE(MID(D75,7,4),MID(D75,4,2),LEFT(D75,2)),""))</f>
        <v>2</v>
      </c>
      <c r="AC75" t="str">
        <f>IF(E75="","Pending",IF(AB75&lt;=5,"On time","Delayed"))</f>
        <v>On time</v>
      </c>
      <c r="AD75" s="29" t="str">
        <f>IF(TRIM(S75)="","Not Assigned",S75)</f>
        <v>Neha</v>
      </c>
      <c r="AE75" t="str">
        <f>PROPER(TRIM(F75))</f>
        <v>Arjun Rao</v>
      </c>
      <c r="AF75" t="str">
        <f>PROPER(TRIM(K75))</f>
        <v>Electronics</v>
      </c>
      <c r="AG75" t="str">
        <f>PROPER(TRIM(J75))</f>
        <v>North</v>
      </c>
      <c r="AH75" t="str">
        <f t="shared" si="2"/>
        <v>Electronics</v>
      </c>
      <c r="AI75" t="str">
        <f t="shared" si="3"/>
        <v>Electronics</v>
      </c>
      <c r="AK75">
        <f>IF(COUNTIF($A$2:A75,A75)=1,1,0)</f>
        <v>1</v>
      </c>
    </row>
    <row r="76" spans="1:37">
      <c r="A76" s="9" t="s">
        <v>465</v>
      </c>
      <c r="B76" s="10" t="s">
        <v>346</v>
      </c>
      <c r="C76" s="10" t="s">
        <v>330</v>
      </c>
      <c r="D76" s="11">
        <v>45906</v>
      </c>
      <c r="E76" s="10" t="s">
        <v>466</v>
      </c>
      <c r="F76" s="10" t="s">
        <v>348</v>
      </c>
      <c r="G76" s="10" t="s">
        <v>269</v>
      </c>
      <c r="H76" s="11">
        <v>31384</v>
      </c>
      <c r="I76" s="10" t="s">
        <v>241</v>
      </c>
      <c r="J76" s="10" t="s">
        <v>242</v>
      </c>
      <c r="K76" s="10" t="s">
        <v>243</v>
      </c>
      <c r="L76" s="10" t="s">
        <v>333</v>
      </c>
      <c r="M76" s="10">
        <v>12</v>
      </c>
      <c r="N76" s="10">
        <v>700</v>
      </c>
      <c r="O76" s="10">
        <v>15</v>
      </c>
      <c r="P76" s="10">
        <v>7140</v>
      </c>
      <c r="Q76" s="10">
        <v>2</v>
      </c>
      <c r="R76" s="10" t="s">
        <v>277</v>
      </c>
      <c r="S76" s="10" t="s">
        <v>263</v>
      </c>
      <c r="T76" s="10" t="s">
        <v>350</v>
      </c>
      <c r="U76" s="10">
        <v>9338278358</v>
      </c>
      <c r="V76" s="12" t="s">
        <v>257</v>
      </c>
      <c r="W76" t="str">
        <f>IF(OR(Q76&lt;=2,V76="Cancelled"),"Blacklisted",IF(AND(P76&gt;100000,Q76&gt;=4,O76&lt;=10%,V76="Completed"),"Platinum",IF(AND(P76&gt;=50000,Q76&gt;=3,V76="Completed"),"Gold",IF(AND(P76&lt;50000,V76="Completed"),"Silver",""))))</f>
        <v>Blacklisted</v>
      </c>
      <c r="X76" t="str">
        <f>PROPER(TRIM(F76))</f>
        <v>Vikas Mehta</v>
      </c>
      <c r="Y76" t="str">
        <f>LEFT(F76,3)&amp;MID(B76,2,3)&amp;LEFT(I76,2)</f>
        <v>Vik005Be</v>
      </c>
      <c r="Z76" t="str">
        <f>IF(ISNUMBER(SEARCH("@",T76)),LOWER(TRIM(T76)),"invalid email")</f>
        <v>vikas.mehta@company.com</v>
      </c>
      <c r="AA76" t="str">
        <f ca="1">IF(H75="","",IFERROR(DATEDIF(IF(ISNUMBER(H75),H75,DATE(VALUE(RIGHT(H75,4)),VALUE(MID(H75,3,2)),VALUE(LEFT(H75,2)))),TODAY(),"Y"),""))</f>
        <v/>
      </c>
      <c r="AB76" t="str">
        <f>IF(OR(D76="",E76=""),"",IFERROR(DATE(MID(E76,7,4),MID(E76,4,2),LEFT(E76,2))-DATE(MID(D76,7,4),MID(D76,4,2),LEFT(D76,2)),""))</f>
        <v/>
      </c>
      <c r="AC76" t="str">
        <f>IF(E76="","Pending",IF(AB76&lt;=5,"On time","Delayed"))</f>
        <v>Delayed</v>
      </c>
      <c r="AD76" s="29" t="str">
        <f>IF(TRIM(S76)="","Not Assigned",S76)</f>
        <v>Rahul</v>
      </c>
      <c r="AE76" t="str">
        <f>PROPER(TRIM(F76))</f>
        <v>Vikas Mehta</v>
      </c>
      <c r="AF76" t="str">
        <f>PROPER(TRIM(K76))</f>
        <v>Electronics</v>
      </c>
      <c r="AG76" t="str">
        <f>PROPER(TRIM(J76))</f>
        <v>South</v>
      </c>
      <c r="AH76" t="str">
        <f t="shared" si="2"/>
        <v>Electronics</v>
      </c>
      <c r="AI76" t="str">
        <f t="shared" si="3"/>
        <v>Electronics</v>
      </c>
      <c r="AK76">
        <f>IF(COUNTIF($A$2:A76,A76)=1,1,0)</f>
        <v>1</v>
      </c>
    </row>
    <row r="77" spans="1:37">
      <c r="A77" s="4" t="s">
        <v>467</v>
      </c>
      <c r="B77" s="5" t="s">
        <v>266</v>
      </c>
      <c r="C77" s="5" t="s">
        <v>267</v>
      </c>
      <c r="D77" s="5" t="s">
        <v>38</v>
      </c>
      <c r="E77" s="5" t="s">
        <v>51</v>
      </c>
      <c r="F77" s="5" t="s">
        <v>268</v>
      </c>
      <c r="G77" s="5" t="s">
        <v>269</v>
      </c>
      <c r="H77" s="5" t="s">
        <v>468</v>
      </c>
      <c r="I77" s="5" t="s">
        <v>286</v>
      </c>
      <c r="J77" s="5" t="s">
        <v>287</v>
      </c>
      <c r="K77" s="5" t="s">
        <v>243</v>
      </c>
      <c r="L77" s="5" t="s">
        <v>271</v>
      </c>
      <c r="M77" s="5">
        <v>8</v>
      </c>
      <c r="N77" s="5">
        <v>1200</v>
      </c>
      <c r="O77" s="5">
        <v>0</v>
      </c>
      <c r="P77" s="5">
        <v>9600</v>
      </c>
      <c r="Q77" s="5">
        <v>4</v>
      </c>
      <c r="R77" s="5" t="s">
        <v>272</v>
      </c>
      <c r="S77" s="5" t="s">
        <v>263</v>
      </c>
      <c r="T77" s="5" t="s">
        <v>273</v>
      </c>
      <c r="U77" s="5">
        <v>9621410770</v>
      </c>
      <c r="V77" s="8" t="s">
        <v>248</v>
      </c>
      <c r="W77" t="str">
        <f>IF(OR(Q77&lt;=2,V77="Cancelled"),"Blacklisted",IF(AND(P77&gt;100000,Q77&gt;=4,O77&lt;=10%,V77="Completed"),"Platinum",IF(AND(P77&gt;=50000,Q77&gt;=3,V77="Completed"),"Gold",IF(AND(P77&lt;50000,V77="Completed"),"Silver",""))))</f>
        <v/>
      </c>
      <c r="X77" t="str">
        <f>PROPER(TRIM(F77))</f>
        <v>Mohit Verma</v>
      </c>
      <c r="Y77" t="str">
        <f>LEFT(F77,3)&amp;MID(B77,2,3)&amp;LEFT(I77,2)</f>
        <v>Moh009Mu</v>
      </c>
      <c r="Z77" t="str">
        <f>IF(ISNUMBER(SEARCH("@",T77)),LOWER(TRIM(T77)),"invalid email")</f>
        <v>mohit.verma@company.com</v>
      </c>
      <c r="AA77">
        <f ca="1">IF(H76="","",IFERROR(DATEDIF(IF(ISNUMBER(H76),H76,DATE(VALUE(RIGHT(H76,4)),VALUE(MID(H76,3,2)),VALUE(LEFT(H76,2)))),TODAY(),"Y"),""))</f>
        <v>40</v>
      </c>
      <c r="AB77">
        <f>IF(OR(D77="",E77=""),"",IFERROR(DATE(MID(E77,7,4),MID(E77,4,2),LEFT(E77,2))-DATE(MID(D77,7,4),MID(D77,4,2),LEFT(D77,2)),""))</f>
        <v>1</v>
      </c>
      <c r="AC77" t="str">
        <f>IF(E77="","Pending",IF(AB77&lt;=5,"On time","Delayed"))</f>
        <v>On time</v>
      </c>
      <c r="AD77" s="29" t="str">
        <f>IF(TRIM(S77)="","Not Assigned",S77)</f>
        <v>Rahul</v>
      </c>
      <c r="AE77" t="str">
        <f>PROPER(TRIM(F77))</f>
        <v>Mohit Verma</v>
      </c>
      <c r="AF77" t="str">
        <f>PROPER(TRIM(K77))</f>
        <v>Electronics</v>
      </c>
      <c r="AG77" t="str">
        <f>PROPER(TRIM(J77))</f>
        <v>West</v>
      </c>
      <c r="AH77" t="str">
        <f t="shared" si="2"/>
        <v>Electronics</v>
      </c>
      <c r="AI77" t="str">
        <f t="shared" si="3"/>
        <v>Electronics</v>
      </c>
      <c r="AK77">
        <f>IF(COUNTIF($A$2:A77,A77)=1,1,0)</f>
        <v>1</v>
      </c>
    </row>
    <row r="78" spans="1:37">
      <c r="A78" s="9" t="s">
        <v>469</v>
      </c>
      <c r="B78" s="10" t="s">
        <v>299</v>
      </c>
      <c r="C78" s="10" t="s">
        <v>294</v>
      </c>
      <c r="D78" s="11">
        <v>45819</v>
      </c>
      <c r="E78" s="11">
        <v>45941</v>
      </c>
      <c r="F78" s="10" t="s">
        <v>301</v>
      </c>
      <c r="G78" s="10" t="s">
        <v>269</v>
      </c>
      <c r="H78" s="11">
        <v>30504</v>
      </c>
      <c r="I78" s="10" t="s">
        <v>291</v>
      </c>
      <c r="J78" s="10" t="s">
        <v>287</v>
      </c>
      <c r="K78" s="10" t="s">
        <v>295</v>
      </c>
      <c r="L78" s="10" t="s">
        <v>296</v>
      </c>
      <c r="M78" s="10">
        <v>2</v>
      </c>
      <c r="N78" s="10">
        <v>60</v>
      </c>
      <c r="O78" s="10">
        <v>0</v>
      </c>
      <c r="P78" s="10">
        <v>120</v>
      </c>
      <c r="Q78" s="10">
        <v>2</v>
      </c>
      <c r="R78" s="10" t="s">
        <v>277</v>
      </c>
      <c r="S78" s="10" t="s">
        <v>263</v>
      </c>
      <c r="T78" s="10" t="s">
        <v>302</v>
      </c>
      <c r="U78" s="10">
        <v>9981333189</v>
      </c>
      <c r="V78" s="12" t="s">
        <v>257</v>
      </c>
      <c r="W78" t="str">
        <f>IF(OR(Q78&lt;=2,V78="Cancelled"),"Blacklisted",IF(AND(P78&gt;100000,Q78&gt;=4,O78&lt;=10%,V78="Completed"),"Platinum",IF(AND(P78&gt;=50000,Q78&gt;=3,V78="Completed"),"Gold",IF(AND(P78&lt;50000,V78="Completed"),"Silver",""))))</f>
        <v>Blacklisted</v>
      </c>
      <c r="X78" t="str">
        <f>PROPER(TRIM(F78))</f>
        <v>Rohit Singh</v>
      </c>
      <c r="Y78" t="str">
        <f>LEFT(F78,3)&amp;MID(B78,2,3)&amp;LEFT(I78,2)</f>
        <v>Roh003Pu</v>
      </c>
      <c r="Z78" t="str">
        <f>IF(ISNUMBER(SEARCH("@",T78)),LOWER(TRIM(T78)),"invalid email")</f>
        <v>rohit.singh@company.com</v>
      </c>
      <c r="AA78" t="str">
        <f ca="1">IF(H77="","",IFERROR(DATEDIF(IF(ISNUMBER(H77),H77,DATE(VALUE(RIGHT(H77,4)),VALUE(MID(H77,3,2)),VALUE(LEFT(H77,2)))),TODAY(),"Y"),""))</f>
        <v/>
      </c>
      <c r="AB78" t="str">
        <f>IF(OR(D78="",E78=""),"",IFERROR(DATE(MID(E78,7,4),MID(E78,4,2),LEFT(E78,2))-DATE(MID(D78,7,4),MID(D78,4,2),LEFT(D78,2)),""))</f>
        <v/>
      </c>
      <c r="AC78" t="str">
        <f>IF(E78="","Pending",IF(AB78&lt;=5,"On time","Delayed"))</f>
        <v>Delayed</v>
      </c>
      <c r="AD78" s="29" t="str">
        <f>IF(TRIM(S78)="","Not Assigned",S78)</f>
        <v>Rahul</v>
      </c>
      <c r="AE78" t="str">
        <f>PROPER(TRIM(F78))</f>
        <v>Rohit Singh</v>
      </c>
      <c r="AF78" t="str">
        <f>PROPER(TRIM(K78))</f>
        <v>Stationery</v>
      </c>
      <c r="AG78" t="str">
        <f>PROPER(TRIM(J78))</f>
        <v>West</v>
      </c>
      <c r="AH78" t="str">
        <f t="shared" si="2"/>
        <v>Stationery</v>
      </c>
      <c r="AI78" t="str">
        <f t="shared" si="3"/>
        <v>Stationery</v>
      </c>
      <c r="AK78">
        <f>IF(COUNTIF($A$2:A78,A78)=1,1,0)</f>
        <v>1</v>
      </c>
    </row>
    <row r="79" spans="1:37">
      <c r="A79" s="4" t="s">
        <v>470</v>
      </c>
      <c r="B79" s="5" t="s">
        <v>392</v>
      </c>
      <c r="C79" s="5" t="s">
        <v>362</v>
      </c>
      <c r="D79" s="6">
        <v>45658</v>
      </c>
      <c r="E79" s="6">
        <v>45839</v>
      </c>
      <c r="F79" s="5" t="s">
        <v>323</v>
      </c>
      <c r="G79" s="5" t="s">
        <v>269</v>
      </c>
      <c r="H79" s="6">
        <v>32662</v>
      </c>
      <c r="I79" s="5" t="s">
        <v>291</v>
      </c>
      <c r="J79" s="5" t="s">
        <v>287</v>
      </c>
      <c r="K79" s="5" t="s">
        <v>295</v>
      </c>
      <c r="L79" s="5" t="s">
        <v>363</v>
      </c>
      <c r="M79" s="5">
        <v>10</v>
      </c>
      <c r="N79" s="5">
        <v>45</v>
      </c>
      <c r="O79" s="5">
        <v>15</v>
      </c>
      <c r="P79" s="5">
        <v>382.5</v>
      </c>
      <c r="Q79" s="5">
        <v>3</v>
      </c>
      <c r="R79" s="5" t="s">
        <v>245</v>
      </c>
      <c r="S79" s="5" t="s">
        <v>255</v>
      </c>
      <c r="T79" s="5" t="s">
        <v>395</v>
      </c>
      <c r="U79" s="5">
        <v>9723450355</v>
      </c>
      <c r="V79" s="8" t="s">
        <v>265</v>
      </c>
      <c r="W79" t="str">
        <f>IF(OR(Q79&lt;=2,V79="Cancelled"),"Blacklisted",IF(AND(P79&gt;100000,Q79&gt;=4,O79&lt;=10%,V79="Completed"),"Platinum",IF(AND(P79&gt;=50000,Q79&gt;=3,V79="Completed"),"Gold",IF(AND(P79&lt;50000,V79="Completed"),"Silver",""))))</f>
        <v>Blacklisted</v>
      </c>
      <c r="X79" t="str">
        <f>PROPER(TRIM(F79))</f>
        <v>Amit Sharma</v>
      </c>
      <c r="Y79" t="str">
        <f>LEFT(F79,3)&amp;MID(B79,2,3)&amp;LEFT(I79,2)</f>
        <v>Ami001Pu</v>
      </c>
      <c r="Z79" t="str">
        <f>IF(ISNUMBER(SEARCH("@",T79)),LOWER(TRIM(T79)),"invalid email")</f>
        <v>amit.sharma@company.com</v>
      </c>
      <c r="AA79">
        <f ca="1">IF(H78="","",IFERROR(DATEDIF(IF(ISNUMBER(H78),H78,DATE(VALUE(RIGHT(H78,4)),VALUE(MID(H78,3,2)),VALUE(LEFT(H78,2)))),TODAY(),"Y"),""))</f>
        <v>43</v>
      </c>
      <c r="AB79" t="str">
        <f>IF(OR(D79="",E79=""),"",IFERROR(DATE(MID(E79,7,4),MID(E79,4,2),LEFT(E79,2))-DATE(MID(D79,7,4),MID(D79,4,2),LEFT(D79,2)),""))</f>
        <v/>
      </c>
      <c r="AC79" t="str">
        <f>IF(E79="","Pending",IF(AB79&lt;=5,"On time","Delayed"))</f>
        <v>Delayed</v>
      </c>
      <c r="AD79" s="29" t="str">
        <f>IF(TRIM(S79)="","Not Assigned",S79)</f>
        <v>Ritika</v>
      </c>
      <c r="AE79" t="str">
        <f>PROPER(TRIM(F79))</f>
        <v>Amit Sharma</v>
      </c>
      <c r="AF79" t="str">
        <f>PROPER(TRIM(K79))</f>
        <v>Stationery</v>
      </c>
      <c r="AG79" t="str">
        <f>PROPER(TRIM(J79))</f>
        <v>West</v>
      </c>
      <c r="AH79" t="str">
        <f t="shared" si="2"/>
        <v>Stationery</v>
      </c>
      <c r="AI79" t="str">
        <f t="shared" si="3"/>
        <v>Stationery</v>
      </c>
      <c r="AK79">
        <f>IF(COUNTIF($A$2:A79,A79)=1,1,0)</f>
        <v>1</v>
      </c>
    </row>
    <row r="80" spans="1:37">
      <c r="A80" s="9" t="s">
        <v>471</v>
      </c>
      <c r="B80" s="10" t="s">
        <v>346</v>
      </c>
      <c r="C80" s="10" t="s">
        <v>280</v>
      </c>
      <c r="D80" s="10" t="s">
        <v>142</v>
      </c>
      <c r="E80" s="11">
        <v>46086</v>
      </c>
      <c r="F80" s="10" t="s">
        <v>348</v>
      </c>
      <c r="G80" s="10" t="s">
        <v>269</v>
      </c>
      <c r="H80" s="10" t="s">
        <v>472</v>
      </c>
      <c r="I80" s="10" t="s">
        <v>379</v>
      </c>
      <c r="J80" s="10" t="s">
        <v>21</v>
      </c>
      <c r="K80" s="10" t="s">
        <v>15</v>
      </c>
      <c r="L80" s="10" t="s">
        <v>282</v>
      </c>
      <c r="M80" s="10">
        <v>12</v>
      </c>
      <c r="N80" s="10">
        <v>3500</v>
      </c>
      <c r="O80" s="10">
        <v>5</v>
      </c>
      <c r="P80" s="10">
        <v>39900</v>
      </c>
      <c r="Q80" s="10">
        <v>3</v>
      </c>
      <c r="R80" s="10" t="s">
        <v>245</v>
      </c>
      <c r="S80" s="10" t="s">
        <v>246</v>
      </c>
      <c r="T80" s="10" t="s">
        <v>350</v>
      </c>
      <c r="U80" s="10">
        <v>9886243907</v>
      </c>
      <c r="V80" s="12" t="s">
        <v>248</v>
      </c>
      <c r="W80" t="str">
        <f>IF(OR(Q80&lt;=2,V80="Cancelled"),"Blacklisted",IF(AND(P80&gt;100000,Q80&gt;=4,O80&lt;=10%,V80="Completed"),"Platinum",IF(AND(P80&gt;=50000,Q80&gt;=3,V80="Completed"),"Gold",IF(AND(P80&lt;50000,V80="Completed"),"Silver",""))))</f>
        <v/>
      </c>
      <c r="X80" t="str">
        <f>PROPER(TRIM(F80))</f>
        <v>Vikas Mehta</v>
      </c>
      <c r="Y80" t="str">
        <f>LEFT(F80,3)&amp;MID(B80,2,3)&amp;LEFT(I80,2)</f>
        <v>Vik005Ko</v>
      </c>
      <c r="Z80" t="str">
        <f>IF(ISNUMBER(SEARCH("@",T80)),LOWER(TRIM(T80)),"invalid email")</f>
        <v>vikas.mehta@company.com</v>
      </c>
      <c r="AA80">
        <f ca="1">IF(H79="","",IFERROR(DATEDIF(IF(ISNUMBER(H79),H79,DATE(VALUE(RIGHT(H79,4)),VALUE(MID(H79,3,2)),VALUE(LEFT(H79,2)))),TODAY(),"Y"),""))</f>
        <v>37</v>
      </c>
      <c r="AB80" t="str">
        <f>IF(OR(D80="",E80=""),"",IFERROR(DATE(MID(E80,7,4),MID(E80,4,2),LEFT(E80,2))-DATE(MID(D80,7,4),MID(D80,4,2),LEFT(D80,2)),""))</f>
        <v/>
      </c>
      <c r="AC80" t="str">
        <f>IF(E80="","Pending",IF(AB80&lt;=5,"On time","Delayed"))</f>
        <v>Delayed</v>
      </c>
      <c r="AD80" s="29" t="str">
        <f>IF(TRIM(S80)="","Not Assigned",S80)</f>
        <v>Aisha</v>
      </c>
      <c r="AE80" t="str">
        <f>PROPER(TRIM(F80))</f>
        <v>Vikas Mehta</v>
      </c>
      <c r="AF80" t="str">
        <f>PROPER(TRIM(K80))</f>
        <v>Home Appliances</v>
      </c>
      <c r="AG80" t="str">
        <f>PROPER(TRIM(J80))</f>
        <v>East</v>
      </c>
      <c r="AH80" t="str">
        <f t="shared" si="2"/>
        <v>Home Appliances</v>
      </c>
      <c r="AI80" t="str">
        <f t="shared" si="3"/>
        <v>Home Appliances</v>
      </c>
      <c r="AK80">
        <f>IF(COUNTIF($A$2:A80,A80)=1,1,0)</f>
        <v>1</v>
      </c>
    </row>
    <row r="81" spans="1:37">
      <c r="A81" s="4" t="s">
        <v>473</v>
      </c>
      <c r="B81" s="5" t="s">
        <v>299</v>
      </c>
      <c r="C81" s="5" t="s">
        <v>294</v>
      </c>
      <c r="D81" s="5" t="s">
        <v>83</v>
      </c>
      <c r="E81" s="5" t="s">
        <v>170</v>
      </c>
      <c r="F81" s="5" t="s">
        <v>301</v>
      </c>
      <c r="G81" s="5" t="s">
        <v>269</v>
      </c>
      <c r="H81" s="5" t="s">
        <v>474</v>
      </c>
      <c r="I81" s="5" t="s">
        <v>286</v>
      </c>
      <c r="J81" s="5" t="s">
        <v>287</v>
      </c>
      <c r="K81" s="5" t="s">
        <v>295</v>
      </c>
      <c r="L81" s="5" t="s">
        <v>296</v>
      </c>
      <c r="M81" s="5">
        <v>2</v>
      </c>
      <c r="N81" s="5">
        <v>60</v>
      </c>
      <c r="O81" s="5">
        <v>15</v>
      </c>
      <c r="P81" s="5">
        <v>102</v>
      </c>
      <c r="Q81" s="5">
        <v>1</v>
      </c>
      <c r="R81" s="5" t="s">
        <v>277</v>
      </c>
      <c r="S81" s="5" t="s">
        <v>292</v>
      </c>
      <c r="T81" s="5" t="s">
        <v>302</v>
      </c>
      <c r="U81" s="5">
        <v>9473931904</v>
      </c>
      <c r="V81" s="8" t="s">
        <v>257</v>
      </c>
      <c r="W81" t="str">
        <f>IF(OR(Q81&lt;=2,V81="Cancelled"),"Blacklisted",IF(AND(P81&gt;100000,Q81&gt;=4,O81&lt;=10%,V81="Completed"),"Platinum",IF(AND(P81&gt;=50000,Q81&gt;=3,V81="Completed"),"Gold",IF(AND(P81&lt;50000,V81="Completed"),"Silver",""))))</f>
        <v>Blacklisted</v>
      </c>
      <c r="X81" t="str">
        <f>PROPER(TRIM(F81))</f>
        <v>Rohit Singh</v>
      </c>
      <c r="Y81" t="str">
        <f>LEFT(F81,3)&amp;MID(B81,2,3)&amp;LEFT(I81,2)</f>
        <v>Roh003Mu</v>
      </c>
      <c r="Z81" t="str">
        <f>IF(ISNUMBER(SEARCH("@",T81)),LOWER(TRIM(T81)),"invalid email")</f>
        <v>rohit.singh@company.com</v>
      </c>
      <c r="AA81" t="str">
        <f ca="1">IF(H80="","",IFERROR(DATEDIF(IF(ISNUMBER(H80),H80,DATE(VALUE(RIGHT(H80,4)),VALUE(MID(H80,3,2)),VALUE(LEFT(H80,2)))),TODAY(),"Y"),""))</f>
        <v/>
      </c>
      <c r="AB81">
        <f>IF(OR(D81="",E81=""),"",IFERROR(DATE(MID(E81,7,4),MID(E81,4,2),LEFT(E81,2))-DATE(MID(D81,7,4),MID(D81,4,2),LEFT(D81,2)),""))</f>
        <v>8</v>
      </c>
      <c r="AC81" t="str">
        <f>IF(E81="","Pending",IF(AB81&lt;=5,"On time","Delayed"))</f>
        <v>Delayed</v>
      </c>
      <c r="AD81" s="29" t="str">
        <f>IF(TRIM(S81)="","Not Assigned",S81)</f>
        <v>Neha</v>
      </c>
      <c r="AE81" t="str">
        <f>PROPER(TRIM(F81))</f>
        <v>Rohit Singh</v>
      </c>
      <c r="AF81" t="str">
        <f>PROPER(TRIM(K81))</f>
        <v>Stationery</v>
      </c>
      <c r="AG81" t="str">
        <f>PROPER(TRIM(J81))</f>
        <v>West</v>
      </c>
      <c r="AH81" t="str">
        <f t="shared" si="2"/>
        <v>Stationery</v>
      </c>
      <c r="AI81" t="str">
        <f t="shared" si="3"/>
        <v>Stationery</v>
      </c>
      <c r="AK81">
        <f>IF(COUNTIF($A$2:A81,A81)=1,1,0)</f>
        <v>1</v>
      </c>
    </row>
    <row r="82" spans="1:37">
      <c r="A82" s="9" t="s">
        <v>475</v>
      </c>
      <c r="B82" s="10" t="s">
        <v>299</v>
      </c>
      <c r="C82" s="10" t="s">
        <v>267</v>
      </c>
      <c r="D82" s="10" t="s">
        <v>66</v>
      </c>
      <c r="E82" s="10" t="s">
        <v>476</v>
      </c>
      <c r="F82" s="10" t="s">
        <v>301</v>
      </c>
      <c r="G82" s="10" t="s">
        <v>269</v>
      </c>
      <c r="H82" s="10" t="s">
        <v>477</v>
      </c>
      <c r="I82" s="10" t="s">
        <v>252</v>
      </c>
      <c r="J82" s="10" t="s">
        <v>242</v>
      </c>
      <c r="K82" s="10" t="s">
        <v>243</v>
      </c>
      <c r="L82" s="10" t="s">
        <v>271</v>
      </c>
      <c r="M82" s="10">
        <v>18</v>
      </c>
      <c r="N82" s="10">
        <v>1200</v>
      </c>
      <c r="O82" s="10">
        <v>15</v>
      </c>
      <c r="P82" s="10">
        <v>18360</v>
      </c>
      <c r="Q82" s="10">
        <v>3</v>
      </c>
      <c r="R82" s="10" t="s">
        <v>272</v>
      </c>
      <c r="S82" s="10" t="s">
        <v>292</v>
      </c>
      <c r="T82" s="10" t="s">
        <v>302</v>
      </c>
      <c r="U82" s="10">
        <v>9287159610</v>
      </c>
      <c r="V82" s="12" t="s">
        <v>248</v>
      </c>
      <c r="W82" t="str">
        <f>IF(OR(Q82&lt;=2,V82="Cancelled"),"Blacklisted",IF(AND(P82&gt;100000,Q82&gt;=4,O82&lt;=10%,V82="Completed"),"Platinum",IF(AND(P82&gt;=50000,Q82&gt;=3,V82="Completed"),"Gold",IF(AND(P82&lt;50000,V82="Completed"),"Silver",""))))</f>
        <v/>
      </c>
      <c r="X82" t="str">
        <f>PROPER(TRIM(F82))</f>
        <v>Rohit Singh</v>
      </c>
      <c r="Y82" t="str">
        <f>LEFT(F82,3)&amp;MID(B82,2,3)&amp;LEFT(I82,2)</f>
        <v>Roh003Hy</v>
      </c>
      <c r="Z82" t="str">
        <f>IF(ISNUMBER(SEARCH("@",T82)),LOWER(TRIM(T82)),"invalid email")</f>
        <v>rohit.singh@company.com</v>
      </c>
      <c r="AA82" t="str">
        <f ca="1">IF(H81="","",IFERROR(DATEDIF(IF(ISNUMBER(H81),H81,DATE(VALUE(RIGHT(H81,4)),VALUE(MID(H81,3,2)),VALUE(LEFT(H81,2)))),TODAY(),"Y"),""))</f>
        <v/>
      </c>
      <c r="AB82">
        <f>IF(OR(D82="",E82=""),"",IFERROR(DATE(MID(E82,7,4),MID(E82,4,2),LEFT(E82,2))-DATE(MID(D82,7,4),MID(D82,4,2),LEFT(D82,2)),""))</f>
        <v>3</v>
      </c>
      <c r="AC82" t="str">
        <f>IF(E82="","Pending",IF(AB82&lt;=5,"On time","Delayed"))</f>
        <v>On time</v>
      </c>
      <c r="AD82" s="29" t="str">
        <f>IF(TRIM(S82)="","Not Assigned",S82)</f>
        <v>Neha</v>
      </c>
      <c r="AE82" t="str">
        <f>PROPER(TRIM(F82))</f>
        <v>Rohit Singh</v>
      </c>
      <c r="AF82" t="str">
        <f>PROPER(TRIM(K82))</f>
        <v>Electronics</v>
      </c>
      <c r="AG82" t="str">
        <f>PROPER(TRIM(J82))</f>
        <v>South</v>
      </c>
      <c r="AH82" t="str">
        <f t="shared" si="2"/>
        <v>Electronics</v>
      </c>
      <c r="AI82" t="str">
        <f t="shared" si="3"/>
        <v>Electronics</v>
      </c>
      <c r="AK82">
        <f>IF(COUNTIF($A$2:A82,A82)=1,1,0)</f>
        <v>1</v>
      </c>
    </row>
    <row r="83" spans="1:37">
      <c r="A83" s="4" t="s">
        <v>478</v>
      </c>
      <c r="B83" s="5" t="s">
        <v>249</v>
      </c>
      <c r="C83" s="5" t="s">
        <v>258</v>
      </c>
      <c r="D83" s="5" t="s">
        <v>200</v>
      </c>
      <c r="E83" s="5" t="s">
        <v>205</v>
      </c>
      <c r="F83" s="5" t="s">
        <v>251</v>
      </c>
      <c r="G83" s="5" t="s">
        <v>239</v>
      </c>
      <c r="H83" s="5" t="s">
        <v>479</v>
      </c>
      <c r="I83" s="5" t="s">
        <v>286</v>
      </c>
      <c r="J83" s="5" t="s">
        <v>287</v>
      </c>
      <c r="K83" s="5" t="s">
        <v>243</v>
      </c>
      <c r="L83" s="5" t="s">
        <v>262</v>
      </c>
      <c r="M83" s="5">
        <v>18</v>
      </c>
      <c r="N83" s="5">
        <v>12000</v>
      </c>
      <c r="O83" s="5">
        <v>15</v>
      </c>
      <c r="P83" s="5">
        <v>183600</v>
      </c>
      <c r="Q83" s="5">
        <v>2</v>
      </c>
      <c r="R83" s="5" t="s">
        <v>254</v>
      </c>
      <c r="S83" s="5" t="s">
        <v>263</v>
      </c>
      <c r="T83" s="5" t="s">
        <v>264</v>
      </c>
      <c r="U83" s="5">
        <v>9876513858</v>
      </c>
      <c r="V83" s="8" t="s">
        <v>257</v>
      </c>
      <c r="W83" t="str">
        <f>IF(OR(Q83&lt;=2,V83="Cancelled"),"Blacklisted",IF(AND(P83&gt;100000,Q83&gt;=4,O83&lt;=10%,V83="Completed"),"Platinum",IF(AND(P83&gt;=50000,Q83&gt;=3,V83="Completed"),"Gold",IF(AND(P83&lt;50000,V83="Completed"),"Silver",""))))</f>
        <v>Blacklisted</v>
      </c>
      <c r="X83" t="str">
        <f>PROPER(TRIM(F83))</f>
        <v>Kavya Nair</v>
      </c>
      <c r="Y83" t="str">
        <f>LEFT(F83,3)&amp;MID(B83,2,3)&amp;LEFT(I83,2)</f>
        <v>Kav008Mu</v>
      </c>
      <c r="Z83" t="str">
        <f>IF(ISNUMBER(SEARCH("@",T83)),LOWER(TRIM(T83)),"invalid email")</f>
        <v>kavya.nair@company.com</v>
      </c>
      <c r="AA83" t="str">
        <f ca="1">IF(H82="","",IFERROR(DATEDIF(IF(ISNUMBER(H82),H82,DATE(VALUE(RIGHT(H82,4)),VALUE(MID(H82,3,2)),VALUE(LEFT(H82,2)))),TODAY(),"Y"),""))</f>
        <v/>
      </c>
      <c r="AB83">
        <f>IF(OR(D83="",E83=""),"",IFERROR(DATE(MID(E83,7,4),MID(E83,4,2),LEFT(E83,2))-DATE(MID(D83,7,4),MID(D83,4,2),LEFT(D83,2)),""))</f>
        <v>1</v>
      </c>
      <c r="AC83" t="str">
        <f>IF(E83="","Pending",IF(AB83&lt;=5,"On time","Delayed"))</f>
        <v>On time</v>
      </c>
      <c r="AD83" s="29" t="str">
        <f>IF(TRIM(S83)="","Not Assigned",S83)</f>
        <v>Rahul</v>
      </c>
      <c r="AE83" t="str">
        <f>PROPER(TRIM(F83))</f>
        <v>Kavya Nair</v>
      </c>
      <c r="AF83" t="str">
        <f>PROPER(TRIM(K83))</f>
        <v>Electronics</v>
      </c>
      <c r="AG83" t="str">
        <f>PROPER(TRIM(J83))</f>
        <v>West</v>
      </c>
      <c r="AH83" t="str">
        <f t="shared" si="2"/>
        <v>Electronics</v>
      </c>
      <c r="AI83" t="str">
        <f t="shared" si="3"/>
        <v>Electronics</v>
      </c>
      <c r="AK83">
        <f>IF(COUNTIF($A$2:A83,A83)=1,1,0)</f>
        <v>1</v>
      </c>
    </row>
    <row r="84" spans="1:37">
      <c r="A84" s="9" t="s">
        <v>480</v>
      </c>
      <c r="B84" s="10" t="s">
        <v>275</v>
      </c>
      <c r="C84" s="10" t="s">
        <v>347</v>
      </c>
      <c r="D84" s="10" t="s">
        <v>205</v>
      </c>
      <c r="E84" s="11">
        <v>45972</v>
      </c>
      <c r="F84" s="10" t="s">
        <v>328</v>
      </c>
      <c r="G84" s="10" t="s">
        <v>269</v>
      </c>
      <c r="H84" s="11">
        <v>34977</v>
      </c>
      <c r="I84" s="10" t="s">
        <v>306</v>
      </c>
      <c r="J84" s="10" t="s">
        <v>287</v>
      </c>
      <c r="K84" s="10" t="s">
        <v>295</v>
      </c>
      <c r="L84" s="10" t="s">
        <v>349</v>
      </c>
      <c r="M84" s="10">
        <v>7</v>
      </c>
      <c r="N84" s="10">
        <v>20</v>
      </c>
      <c r="O84" s="10">
        <v>0</v>
      </c>
      <c r="P84" s="10">
        <v>140</v>
      </c>
      <c r="Q84" s="10">
        <v>2</v>
      </c>
      <c r="R84" s="10" t="s">
        <v>272</v>
      </c>
      <c r="S84" s="10" t="s">
        <v>255</v>
      </c>
      <c r="T84" s="10" t="s">
        <v>278</v>
      </c>
      <c r="U84" s="10">
        <v>9237400853</v>
      </c>
      <c r="V84" s="12" t="s">
        <v>265</v>
      </c>
      <c r="W84" t="str">
        <f>IF(OR(Q84&lt;=2,V84="Cancelled"),"Blacklisted",IF(AND(P84&gt;100000,Q84&gt;=4,O84&lt;=10%,V84="Completed"),"Platinum",IF(AND(P84&gt;=50000,Q84&gt;=3,V84="Completed"),"Gold",IF(AND(P84&lt;50000,V84="Completed"),"Silver",""))))</f>
        <v>Blacklisted</v>
      </c>
      <c r="X84" t="str">
        <f>PROPER(TRIM(F84))</f>
        <v>Arjun Rao</v>
      </c>
      <c r="Y84" t="str">
        <f>LEFT(F84,3)&amp;MID(B84,2,3)&amp;LEFT(I84,2)</f>
        <v>Arj007Ah</v>
      </c>
      <c r="Z84" t="str">
        <f>IF(ISNUMBER(SEARCH("@",T84)),LOWER(TRIM(T84)),"invalid email")</f>
        <v>arjun.rao@company.com</v>
      </c>
      <c r="AA84" t="str">
        <f ca="1">IF(H83="","",IFERROR(DATEDIF(IF(ISNUMBER(H83),H83,DATE(VALUE(RIGHT(H83,4)),VALUE(MID(H83,3,2)),VALUE(LEFT(H83,2)))),TODAY(),"Y"),""))</f>
        <v/>
      </c>
      <c r="AB84" t="str">
        <f>IF(OR(D84="",E84=""),"",IFERROR(DATE(MID(E84,7,4),MID(E84,4,2),LEFT(E84,2))-DATE(MID(D84,7,4),MID(D84,4,2),LEFT(D84,2)),""))</f>
        <v/>
      </c>
      <c r="AC84" t="str">
        <f>IF(E84="","Pending",IF(AB84&lt;=5,"On time","Delayed"))</f>
        <v>Delayed</v>
      </c>
      <c r="AD84" s="29" t="str">
        <f>IF(TRIM(S84)="","Not Assigned",S84)</f>
        <v>Ritika</v>
      </c>
      <c r="AE84" t="str">
        <f>PROPER(TRIM(F84))</f>
        <v>Arjun Rao</v>
      </c>
      <c r="AF84" t="str">
        <f>PROPER(TRIM(K84))</f>
        <v>Stationery</v>
      </c>
      <c r="AG84" t="str">
        <f>PROPER(TRIM(J84))</f>
        <v>West</v>
      </c>
      <c r="AH84" t="str">
        <f t="shared" si="2"/>
        <v>Stationery</v>
      </c>
      <c r="AI84" t="str">
        <f t="shared" si="3"/>
        <v>Stationery</v>
      </c>
      <c r="AK84">
        <f>IF(COUNTIF($A$2:A84,A84)=1,1,0)</f>
        <v>1</v>
      </c>
    </row>
    <row r="85" spans="1:37">
      <c r="A85" s="4" t="s">
        <v>481</v>
      </c>
      <c r="B85" s="5" t="s">
        <v>358</v>
      </c>
      <c r="C85" s="5" t="s">
        <v>280</v>
      </c>
      <c r="D85" s="6">
        <v>45934</v>
      </c>
      <c r="E85" s="5" t="s">
        <v>67</v>
      </c>
      <c r="F85" s="5" t="s">
        <v>359</v>
      </c>
      <c r="G85" s="5" t="s">
        <v>239</v>
      </c>
      <c r="H85" s="5" t="s">
        <v>482</v>
      </c>
      <c r="I85" s="5" t="s">
        <v>291</v>
      </c>
      <c r="J85" s="5" t="s">
        <v>287</v>
      </c>
      <c r="K85" s="5" t="s">
        <v>15</v>
      </c>
      <c r="L85" s="5" t="s">
        <v>282</v>
      </c>
      <c r="M85" s="5">
        <v>20</v>
      </c>
      <c r="N85" s="5">
        <v>3500</v>
      </c>
      <c r="O85" s="5">
        <v>20</v>
      </c>
      <c r="P85" s="5">
        <v>56000</v>
      </c>
      <c r="Q85" s="5">
        <v>4</v>
      </c>
      <c r="R85" s="5" t="s">
        <v>272</v>
      </c>
      <c r="S85" s="5" t="s">
        <v>292</v>
      </c>
      <c r="T85" s="5" t="s">
        <v>360</v>
      </c>
      <c r="U85" s="5">
        <v>9599597595</v>
      </c>
      <c r="V85" s="8" t="s">
        <v>248</v>
      </c>
      <c r="W85" t="str">
        <f>IF(OR(Q85&lt;=2,V85="Cancelled"),"Blacklisted",IF(AND(P85&gt;100000,Q85&gt;=4,O85&lt;=10%,V85="Completed"),"Platinum",IF(AND(P85&gt;=50000,Q85&gt;=3,V85="Completed"),"Gold",IF(AND(P85&lt;50000,V85="Completed"),"Silver",""))))</f>
        <v/>
      </c>
      <c r="X85" t="str">
        <f>PROPER(TRIM(F85))</f>
        <v>Sneha Joshi</v>
      </c>
      <c r="Y85" t="str">
        <f>LEFT(F85,3)&amp;MID(B85,2,3)&amp;LEFT(I85,2)</f>
        <v>Sne006Pu</v>
      </c>
      <c r="Z85" t="str">
        <f>IF(ISNUMBER(SEARCH("@",T85)),LOWER(TRIM(T85)),"invalid email")</f>
        <v>sneha.joshi@company.com</v>
      </c>
      <c r="AA85">
        <f ca="1">IF(H84="","",IFERROR(DATEDIF(IF(ISNUMBER(H84),H84,DATE(VALUE(RIGHT(H84,4)),VALUE(MID(H84,3,2)),VALUE(LEFT(H84,2)))),TODAY(),"Y"),""))</f>
        <v>31</v>
      </c>
      <c r="AB85" t="str">
        <f>IF(OR(D85="",E85=""),"",IFERROR(DATE(MID(E85,7,4),MID(E85,4,2),LEFT(E85,2))-DATE(MID(D85,7,4),MID(D85,4,2),LEFT(D85,2)),""))</f>
        <v/>
      </c>
      <c r="AC85" t="str">
        <f>IF(E85="","Pending",IF(AB85&lt;=5,"On time","Delayed"))</f>
        <v>Delayed</v>
      </c>
      <c r="AD85" s="29" t="str">
        <f>IF(TRIM(S85)="","Not Assigned",S85)</f>
        <v>Neha</v>
      </c>
      <c r="AE85" t="str">
        <f>PROPER(TRIM(F85))</f>
        <v>Sneha Joshi</v>
      </c>
      <c r="AF85" t="str">
        <f>PROPER(TRIM(K85))</f>
        <v>Home Appliances</v>
      </c>
      <c r="AG85" t="str">
        <f>PROPER(TRIM(J85))</f>
        <v>West</v>
      </c>
      <c r="AH85" t="str">
        <f t="shared" si="2"/>
        <v>Home Appliances</v>
      </c>
      <c r="AI85" t="str">
        <f t="shared" si="3"/>
        <v>Home Appliances</v>
      </c>
      <c r="AK85">
        <f>IF(COUNTIF($A$2:A85,A85)=1,1,0)</f>
        <v>1</v>
      </c>
    </row>
    <row r="86" spans="1:37">
      <c r="A86" s="9" t="s">
        <v>483</v>
      </c>
      <c r="B86" s="10" t="s">
        <v>284</v>
      </c>
      <c r="C86" s="10" t="s">
        <v>322</v>
      </c>
      <c r="D86" s="10" t="s">
        <v>44</v>
      </c>
      <c r="E86" s="10" t="s">
        <v>152</v>
      </c>
      <c r="F86" s="10" t="s">
        <v>285</v>
      </c>
      <c r="G86" s="10" t="s">
        <v>239</v>
      </c>
      <c r="H86" s="10" t="s">
        <v>484</v>
      </c>
      <c r="I86" s="10" t="s">
        <v>306</v>
      </c>
      <c r="J86" s="10" t="s">
        <v>287</v>
      </c>
      <c r="K86" s="10" t="s">
        <v>15</v>
      </c>
      <c r="L86" s="10" t="s">
        <v>325</v>
      </c>
      <c r="M86" s="10">
        <v>8</v>
      </c>
      <c r="N86" s="10">
        <v>8500</v>
      </c>
      <c r="O86" s="10">
        <v>20</v>
      </c>
      <c r="P86" s="10">
        <v>54400</v>
      </c>
      <c r="Q86" s="10">
        <v>3</v>
      </c>
      <c r="R86" s="10" t="s">
        <v>272</v>
      </c>
      <c r="S86" s="10" t="s">
        <v>292</v>
      </c>
      <c r="T86" s="10" t="s">
        <v>308</v>
      </c>
      <c r="U86" s="10">
        <v>9230007509</v>
      </c>
      <c r="V86" s="12" t="s">
        <v>248</v>
      </c>
      <c r="W86" t="str">
        <f>IF(OR(Q86&lt;=2,V86="Cancelled"),"Blacklisted",IF(AND(P86&gt;100000,Q86&gt;=4,O86&lt;=10%,V86="Completed"),"Platinum",IF(AND(P86&gt;=50000,Q86&gt;=3,V86="Completed"),"Gold",IF(AND(P86&lt;50000,V86="Completed"),"Silver",""))))</f>
        <v/>
      </c>
      <c r="X86" t="str">
        <f>PROPER(TRIM(F86))</f>
        <v>Priya Patel</v>
      </c>
      <c r="Y86" t="str">
        <f>LEFT(F86,3)&amp;MID(B86,2,3)&amp;LEFT(I86,2)</f>
        <v>Pri002Ah</v>
      </c>
      <c r="Z86" t="str">
        <f>IF(ISNUMBER(SEARCH("@",T86)),LOWER(TRIM(T86)),"invalid email")</f>
        <v>priya.patel@company.com</v>
      </c>
      <c r="AA86" t="str">
        <f ca="1">IF(H85="","",IFERROR(DATEDIF(IF(ISNUMBER(H85),H85,DATE(VALUE(RIGHT(H85,4)),VALUE(MID(H85,3,2)),VALUE(LEFT(H85,2)))),TODAY(),"Y"),""))</f>
        <v/>
      </c>
      <c r="AB86">
        <f>IF(OR(D86="",E86=""),"",IFERROR(DATE(MID(E86,7,4),MID(E86,4,2),LEFT(E86,2))-DATE(MID(D86,7,4),MID(D86,4,2),LEFT(D86,2)),""))</f>
        <v>10</v>
      </c>
      <c r="AC86" t="str">
        <f>IF(E86="","Pending",IF(AB86&lt;=5,"On time","Delayed"))</f>
        <v>Delayed</v>
      </c>
      <c r="AD86" s="29" t="str">
        <f>IF(TRIM(S86)="","Not Assigned",S86)</f>
        <v>Neha</v>
      </c>
      <c r="AE86" t="str">
        <f>PROPER(TRIM(F86))</f>
        <v>Priya Patel</v>
      </c>
      <c r="AF86" t="str">
        <f>PROPER(TRIM(K86))</f>
        <v>Home Appliances</v>
      </c>
      <c r="AG86" t="str">
        <f>PROPER(TRIM(J86))</f>
        <v>West</v>
      </c>
      <c r="AH86" t="str">
        <f t="shared" si="2"/>
        <v>Home Appliances</v>
      </c>
      <c r="AI86" t="str">
        <f t="shared" si="3"/>
        <v>Home Appliances</v>
      </c>
      <c r="AK86">
        <f>IF(COUNTIF($A$2:A86,A86)=1,1,0)</f>
        <v>1</v>
      </c>
    </row>
    <row r="87" spans="1:37">
      <c r="A87" s="4" t="s">
        <v>485</v>
      </c>
      <c r="B87" s="5" t="s">
        <v>392</v>
      </c>
      <c r="C87" s="5" t="s">
        <v>258</v>
      </c>
      <c r="D87" s="5" t="s">
        <v>36</v>
      </c>
      <c r="E87" s="5" t="s">
        <v>486</v>
      </c>
      <c r="F87" s="5" t="s">
        <v>323</v>
      </c>
      <c r="G87" s="5" t="s">
        <v>269</v>
      </c>
      <c r="H87" s="5" t="s">
        <v>487</v>
      </c>
      <c r="I87" s="5" t="s">
        <v>306</v>
      </c>
      <c r="J87" s="5" t="s">
        <v>261</v>
      </c>
      <c r="K87" s="5" t="s">
        <v>243</v>
      </c>
      <c r="L87" s="5" t="s">
        <v>262</v>
      </c>
      <c r="M87" s="5">
        <v>6</v>
      </c>
      <c r="N87" s="5">
        <v>12000</v>
      </c>
      <c r="O87" s="5">
        <v>5</v>
      </c>
      <c r="P87" s="5">
        <v>68400</v>
      </c>
      <c r="Q87" s="5">
        <v>4</v>
      </c>
      <c r="R87" s="5" t="s">
        <v>245</v>
      </c>
      <c r="S87" s="5" t="s">
        <v>255</v>
      </c>
      <c r="T87" s="5" t="s">
        <v>395</v>
      </c>
      <c r="U87" s="5">
        <v>9823428025</v>
      </c>
      <c r="V87" s="8" t="s">
        <v>257</v>
      </c>
      <c r="W87" t="str">
        <f>IF(OR(Q87&lt;=2,V87="Cancelled"),"Blacklisted",IF(AND(P87&gt;100000,Q87&gt;=4,O87&lt;=10%,V87="Completed"),"Platinum",IF(AND(P87&gt;=50000,Q87&gt;=3,V87="Completed"),"Gold",IF(AND(P87&lt;50000,V87="Completed"),"Silver",""))))</f>
        <v>Gold</v>
      </c>
      <c r="X87" t="str">
        <f>PROPER(TRIM(F87))</f>
        <v>Amit Sharma</v>
      </c>
      <c r="Y87" t="str">
        <f>LEFT(F87,3)&amp;MID(B87,2,3)&amp;LEFT(I87,2)</f>
        <v>Ami001Ah</v>
      </c>
      <c r="Z87" t="str">
        <f>IF(ISNUMBER(SEARCH("@",T87)),LOWER(TRIM(T87)),"invalid email")</f>
        <v>amit.sharma@company.com</v>
      </c>
      <c r="AA87" t="str">
        <f ca="1">IF(H86="","",IFERROR(DATEDIF(IF(ISNUMBER(H86),H86,DATE(VALUE(RIGHT(H86,4)),VALUE(MID(H86,3,2)),VALUE(LEFT(H86,2)))),TODAY(),"Y"),""))</f>
        <v/>
      </c>
      <c r="AB87">
        <f>IF(OR(D87="",E87=""),"",IFERROR(DATE(MID(E87,7,4),MID(E87,4,2),LEFT(E87,2))-DATE(MID(D87,7,4),MID(D87,4,2),LEFT(D87,2)),""))</f>
        <v>9</v>
      </c>
      <c r="AC87" t="str">
        <f>IF(E87="","Pending",IF(AB87&lt;=5,"On time","Delayed"))</f>
        <v>Delayed</v>
      </c>
      <c r="AD87" s="29" t="str">
        <f>IF(TRIM(S87)="","Not Assigned",S87)</f>
        <v>Ritika</v>
      </c>
      <c r="AE87" t="str">
        <f>PROPER(TRIM(F87))</f>
        <v>Amit Sharma</v>
      </c>
      <c r="AF87" t="str">
        <f>PROPER(TRIM(K87))</f>
        <v>Electronics</v>
      </c>
      <c r="AG87" t="str">
        <f>PROPER(TRIM(J87))</f>
        <v>North</v>
      </c>
      <c r="AH87" t="str">
        <f t="shared" si="2"/>
        <v>Electronics</v>
      </c>
      <c r="AI87" t="str">
        <f t="shared" si="3"/>
        <v>Electronics</v>
      </c>
      <c r="AK87">
        <f>IF(COUNTIF($A$2:A87,A87)=1,1,0)</f>
        <v>1</v>
      </c>
    </row>
    <row r="88" spans="1:37">
      <c r="A88" s="9" t="s">
        <v>489</v>
      </c>
      <c r="B88" s="10" t="s">
        <v>249</v>
      </c>
      <c r="C88" s="10" t="s">
        <v>322</v>
      </c>
      <c r="D88" s="11">
        <v>46329</v>
      </c>
      <c r="E88" s="10" t="s">
        <v>425</v>
      </c>
      <c r="F88" s="10" t="s">
        <v>251</v>
      </c>
      <c r="G88" s="10" t="s">
        <v>239</v>
      </c>
      <c r="H88" s="10" t="s">
        <v>490</v>
      </c>
      <c r="I88" s="10" t="s">
        <v>291</v>
      </c>
      <c r="J88" s="10" t="s">
        <v>287</v>
      </c>
      <c r="K88" s="10" t="s">
        <v>15</v>
      </c>
      <c r="L88" s="10" t="s">
        <v>325</v>
      </c>
      <c r="M88" s="10">
        <v>15</v>
      </c>
      <c r="N88" s="10">
        <v>8500</v>
      </c>
      <c r="O88" s="10">
        <v>0</v>
      </c>
      <c r="P88" s="10">
        <v>127500</v>
      </c>
      <c r="Q88" s="10">
        <v>4</v>
      </c>
      <c r="R88" s="10" t="s">
        <v>245</v>
      </c>
      <c r="S88" s="10" t="s">
        <v>255</v>
      </c>
      <c r="T88" s="10" t="s">
        <v>264</v>
      </c>
      <c r="U88" s="10">
        <v>9505048912</v>
      </c>
      <c r="V88" s="12" t="s">
        <v>265</v>
      </c>
      <c r="W88" t="str">
        <f>IF(OR(Q88&lt;=2,V88="Cancelled"),"Blacklisted",IF(AND(P88&gt;100000,Q88&gt;=4,O88&lt;=10%,V88="Completed"),"Platinum",IF(AND(P88&gt;=50000,Q88&gt;=3,V88="Completed"),"Gold",IF(AND(P88&lt;50000,V88="Completed"),"Silver",""))))</f>
        <v>Blacklisted</v>
      </c>
      <c r="X88" t="str">
        <f>PROPER(TRIM(F88))</f>
        <v>Kavya Nair</v>
      </c>
      <c r="Y88" t="str">
        <f>LEFT(F88,3)&amp;MID(B88,2,3)&amp;LEFT(I88,2)</f>
        <v>Kav008Pu</v>
      </c>
      <c r="Z88" t="str">
        <f>IF(ISNUMBER(SEARCH("@",T88)),LOWER(TRIM(T88)),"invalid email")</f>
        <v>kavya.nair@company.com</v>
      </c>
      <c r="AA88" t="str">
        <f ca="1">IF(H87="","",IFERROR(DATEDIF(IF(ISNUMBER(H87),H87,DATE(VALUE(RIGHT(H87,4)),VALUE(MID(H87,3,2)),VALUE(LEFT(H87,2)))),TODAY(),"Y"),""))</f>
        <v/>
      </c>
      <c r="AB88" t="str">
        <f>IF(OR(D88="",E88=""),"",IFERROR(DATE(MID(E88,7,4),MID(E88,4,2),LEFT(E88,2))-DATE(MID(D88,7,4),MID(D88,4,2),LEFT(D88,2)),""))</f>
        <v/>
      </c>
      <c r="AC88" t="str">
        <f>IF(E88="","Pending",IF(AB88&lt;=5,"On time","Delayed"))</f>
        <v>Delayed</v>
      </c>
      <c r="AD88" s="29" t="str">
        <f>IF(TRIM(S88)="","Not Assigned",S88)</f>
        <v>Ritika</v>
      </c>
      <c r="AE88" t="str">
        <f>PROPER(TRIM(F88))</f>
        <v>Kavya Nair</v>
      </c>
      <c r="AF88" t="str">
        <f>PROPER(TRIM(K88))</f>
        <v>Home Appliances</v>
      </c>
      <c r="AG88" t="str">
        <f>PROPER(TRIM(J88))</f>
        <v>West</v>
      </c>
      <c r="AH88" t="str">
        <f t="shared" si="2"/>
        <v>Home Appliances</v>
      </c>
      <c r="AI88" t="str">
        <f t="shared" si="3"/>
        <v>Home Appliances</v>
      </c>
      <c r="AK88">
        <f>IF(COUNTIF($A$2:A88,A88)=1,1,0)</f>
        <v>1</v>
      </c>
    </row>
    <row r="89" spans="1:37">
      <c r="A89" s="4" t="s">
        <v>491</v>
      </c>
      <c r="B89" s="5" t="s">
        <v>235</v>
      </c>
      <c r="C89" s="5" t="s">
        <v>267</v>
      </c>
      <c r="D89" s="5" t="s">
        <v>94</v>
      </c>
      <c r="E89" s="5" t="s">
        <v>125</v>
      </c>
      <c r="F89" s="5" t="s">
        <v>318</v>
      </c>
      <c r="G89" s="5" t="s">
        <v>239</v>
      </c>
      <c r="H89" s="5" t="s">
        <v>492</v>
      </c>
      <c r="I89" s="5" t="s">
        <v>342</v>
      </c>
      <c r="J89" s="5" t="s">
        <v>261</v>
      </c>
      <c r="K89" s="5" t="s">
        <v>243</v>
      </c>
      <c r="L89" s="5" t="s">
        <v>271</v>
      </c>
      <c r="M89" s="5">
        <v>5</v>
      </c>
      <c r="N89" s="5">
        <v>1200</v>
      </c>
      <c r="O89" s="5">
        <v>15</v>
      </c>
      <c r="P89" s="5">
        <v>5100</v>
      </c>
      <c r="Q89" s="5">
        <v>1</v>
      </c>
      <c r="R89" s="5" t="s">
        <v>245</v>
      </c>
      <c r="S89" s="5" t="s">
        <v>255</v>
      </c>
      <c r="T89" s="5" t="s">
        <v>247</v>
      </c>
      <c r="U89" s="5">
        <v>9508068393</v>
      </c>
      <c r="V89" s="8" t="s">
        <v>265</v>
      </c>
      <c r="W89" t="str">
        <f>IF(OR(Q89&lt;=2,V89="Cancelled"),"Blacklisted",IF(AND(P89&gt;100000,Q89&gt;=4,O89&lt;=10%,V89="Completed"),"Platinum",IF(AND(P89&gt;=50000,Q89&gt;=3,V89="Completed"),"Gold",IF(AND(P89&lt;50000,V89="Completed"),"Silver",""))))</f>
        <v>Blacklisted</v>
      </c>
      <c r="X89" t="str">
        <f>PROPER(TRIM(F89))</f>
        <v>Pooja Shah</v>
      </c>
      <c r="Y89" t="str">
        <f>LEFT(F89,3)&amp;MID(B89,2,3)&amp;LEFT(I89,2)</f>
        <v>Poo010Ja</v>
      </c>
      <c r="Z89" t="str">
        <f>IF(ISNUMBER(SEARCH("@",T89)),LOWER(TRIM(T89)),"invalid email")</f>
        <v>pooja.shah@company.com</v>
      </c>
      <c r="AA89" t="str">
        <f ca="1">IF(H88="","",IFERROR(DATEDIF(IF(ISNUMBER(H88),H88,DATE(VALUE(RIGHT(H88,4)),VALUE(MID(H88,3,2)),VALUE(LEFT(H88,2)))),TODAY(),"Y"),""))</f>
        <v/>
      </c>
      <c r="AB89">
        <f>IF(OR(D89="",E89=""),"",IFERROR(DATE(MID(E89,7,4),MID(E89,4,2),LEFT(E89,2))-DATE(MID(D89,7,4),MID(D89,4,2),LEFT(D89,2)),""))</f>
        <v>3</v>
      </c>
      <c r="AC89" t="str">
        <f>IF(E89="","Pending",IF(AB89&lt;=5,"On time","Delayed"))</f>
        <v>On time</v>
      </c>
      <c r="AD89" s="29" t="str">
        <f>IF(TRIM(S89)="","Not Assigned",S89)</f>
        <v>Ritika</v>
      </c>
      <c r="AE89" t="str">
        <f>PROPER(TRIM(F89))</f>
        <v>Pooja Shah</v>
      </c>
      <c r="AF89" t="str">
        <f>PROPER(TRIM(K89))</f>
        <v>Electronics</v>
      </c>
      <c r="AG89" t="str">
        <f>PROPER(TRIM(J89))</f>
        <v>North</v>
      </c>
      <c r="AH89" t="str">
        <f t="shared" si="2"/>
        <v>Electronics</v>
      </c>
      <c r="AI89" t="str">
        <f t="shared" si="3"/>
        <v>Electronics</v>
      </c>
      <c r="AK89">
        <f>IF(COUNTIF($A$2:A89,A89)=1,1,0)</f>
        <v>1</v>
      </c>
    </row>
    <row r="90" spans="1:37">
      <c r="A90" s="9" t="s">
        <v>493</v>
      </c>
      <c r="B90" s="10" t="s">
        <v>235</v>
      </c>
      <c r="C90" s="10" t="s">
        <v>347</v>
      </c>
      <c r="D90" s="10" t="s">
        <v>18</v>
      </c>
      <c r="E90" s="10" t="s">
        <v>494</v>
      </c>
      <c r="F90" s="10" t="s">
        <v>318</v>
      </c>
      <c r="G90" s="10" t="s">
        <v>239</v>
      </c>
      <c r="H90" s="11">
        <v>30174</v>
      </c>
      <c r="I90" s="10" t="s">
        <v>252</v>
      </c>
      <c r="J90" s="10" t="s">
        <v>242</v>
      </c>
      <c r="K90" s="10" t="s">
        <v>295</v>
      </c>
      <c r="L90" s="10" t="s">
        <v>349</v>
      </c>
      <c r="M90" s="10">
        <v>4</v>
      </c>
      <c r="N90" s="10">
        <v>20</v>
      </c>
      <c r="O90" s="10">
        <v>0</v>
      </c>
      <c r="P90" s="10">
        <v>80</v>
      </c>
      <c r="Q90" s="10">
        <v>4</v>
      </c>
      <c r="R90" s="10" t="s">
        <v>245</v>
      </c>
      <c r="S90" s="10" t="s">
        <v>263</v>
      </c>
      <c r="T90" s="10" t="s">
        <v>247</v>
      </c>
      <c r="U90" s="10">
        <v>9785807771</v>
      </c>
      <c r="V90" s="12" t="s">
        <v>257</v>
      </c>
      <c r="W90" t="str">
        <f>IF(OR(Q90&lt;=2,V90="Cancelled"),"Blacklisted",IF(AND(P90&gt;100000,Q90&gt;=4,O90&lt;=10%,V90="Completed"),"Platinum",IF(AND(P90&gt;=50000,Q90&gt;=3,V90="Completed"),"Gold",IF(AND(P90&lt;50000,V90="Completed"),"Silver",""))))</f>
        <v>Silver</v>
      </c>
      <c r="X90" t="str">
        <f>PROPER(TRIM(F90))</f>
        <v>Pooja Shah</v>
      </c>
      <c r="Y90" t="str">
        <f>LEFT(F90,3)&amp;MID(B90,2,3)&amp;LEFT(I90,2)</f>
        <v>Poo010Hy</v>
      </c>
      <c r="Z90" t="str">
        <f>IF(ISNUMBER(SEARCH("@",T90)),LOWER(TRIM(T90)),"invalid email")</f>
        <v>pooja.shah@company.com</v>
      </c>
      <c r="AA90" t="str">
        <f ca="1">IF(H89="","",IFERROR(DATEDIF(IF(ISNUMBER(H89),H89,DATE(VALUE(RIGHT(H89,4)),VALUE(MID(H89,3,2)),VALUE(LEFT(H89,2)))),TODAY(),"Y"),""))</f>
        <v/>
      </c>
      <c r="AB90">
        <f>IF(OR(D90="",E90=""),"",IFERROR(DATE(MID(E90,7,4),MID(E90,4,2),LEFT(E90,2))-DATE(MID(D90,7,4),MID(D90,4,2),LEFT(D90,2)),""))</f>
        <v>1</v>
      </c>
      <c r="AC90" t="str">
        <f>IF(E90="","Pending",IF(AB90&lt;=5,"On time","Delayed"))</f>
        <v>On time</v>
      </c>
      <c r="AD90" s="29" t="str">
        <f>IF(TRIM(S90)="","Not Assigned",S90)</f>
        <v>Rahul</v>
      </c>
      <c r="AE90" t="str">
        <f>PROPER(TRIM(F90))</f>
        <v>Pooja Shah</v>
      </c>
      <c r="AF90" t="str">
        <f>PROPER(TRIM(K90))</f>
        <v>Stationery</v>
      </c>
      <c r="AG90" t="str">
        <f>PROPER(TRIM(J90))</f>
        <v>South</v>
      </c>
      <c r="AH90" t="str">
        <f t="shared" si="2"/>
        <v>Stationery</v>
      </c>
      <c r="AI90" t="str">
        <f t="shared" si="3"/>
        <v>Stationery</v>
      </c>
      <c r="AK90">
        <f>IF(COUNTIF($A$2:A90,A90)=1,1,0)</f>
        <v>1</v>
      </c>
    </row>
    <row r="91" spans="1:37">
      <c r="A91" s="4" t="s">
        <v>495</v>
      </c>
      <c r="B91" s="5" t="s">
        <v>249</v>
      </c>
      <c r="C91" s="5" t="s">
        <v>347</v>
      </c>
      <c r="D91" s="5" t="s">
        <v>43</v>
      </c>
      <c r="E91" s="5" t="s">
        <v>88</v>
      </c>
      <c r="F91" s="5" t="s">
        <v>251</v>
      </c>
      <c r="G91" s="5" t="s">
        <v>239</v>
      </c>
      <c r="H91" s="5" t="s">
        <v>496</v>
      </c>
      <c r="I91" s="5" t="s">
        <v>241</v>
      </c>
      <c r="J91" s="5" t="s">
        <v>242</v>
      </c>
      <c r="K91" s="5" t="s">
        <v>295</v>
      </c>
      <c r="L91" s="5" t="s">
        <v>349</v>
      </c>
      <c r="M91" s="5">
        <v>10</v>
      </c>
      <c r="N91" s="5">
        <v>20</v>
      </c>
      <c r="O91" s="5">
        <v>0</v>
      </c>
      <c r="P91" s="5">
        <v>200</v>
      </c>
      <c r="Q91" s="5">
        <v>3</v>
      </c>
      <c r="R91" s="5" t="s">
        <v>254</v>
      </c>
      <c r="S91" s="5" t="s">
        <v>312</v>
      </c>
      <c r="T91" s="5" t="s">
        <v>264</v>
      </c>
      <c r="U91" s="5">
        <v>9215250979</v>
      </c>
      <c r="V91" s="8" t="s">
        <v>248</v>
      </c>
      <c r="W91" t="str">
        <f>IF(OR(Q91&lt;=2,V91="Cancelled"),"Blacklisted",IF(AND(P91&gt;100000,Q91&gt;=4,O91&lt;=10%,V91="Completed"),"Platinum",IF(AND(P91&gt;=50000,Q91&gt;=3,V91="Completed"),"Gold",IF(AND(P91&lt;50000,V91="Completed"),"Silver",""))))</f>
        <v/>
      </c>
      <c r="X91" t="str">
        <f>PROPER(TRIM(F91))</f>
        <v>Kavya Nair</v>
      </c>
      <c r="Y91" t="str">
        <f>LEFT(F91,3)&amp;MID(B91,2,3)&amp;LEFT(I91,2)</f>
        <v>Kav008Be</v>
      </c>
      <c r="Z91" t="str">
        <f>IF(ISNUMBER(SEARCH("@",T91)),LOWER(TRIM(T91)),"invalid email")</f>
        <v>kavya.nair@company.com</v>
      </c>
      <c r="AA91">
        <f ca="1">IF(H90="","",IFERROR(DATEDIF(IF(ISNUMBER(H90),H90,DATE(VALUE(RIGHT(H90,4)),VALUE(MID(H90,3,2)),VALUE(LEFT(H90,2)))),TODAY(),"Y"),""))</f>
        <v>44</v>
      </c>
      <c r="AB91">
        <f>IF(OR(D91="",E91=""),"",IFERROR(DATE(MID(E91,7,4),MID(E91,4,2),LEFT(E91,2))-DATE(MID(D91,7,4),MID(D91,4,2),LEFT(D91,2)),""))</f>
        <v>4</v>
      </c>
      <c r="AC91" t="str">
        <f>IF(E91="","Pending",IF(AB91&lt;=5,"On time","Delayed"))</f>
        <v>On time</v>
      </c>
      <c r="AD91" s="29" t="str">
        <f>IF(TRIM(S91)="","Not Assigned",S91)</f>
        <v>Karan</v>
      </c>
      <c r="AE91" t="str">
        <f>PROPER(TRIM(F91))</f>
        <v>Kavya Nair</v>
      </c>
      <c r="AF91" t="str">
        <f>PROPER(TRIM(K91))</f>
        <v>Stationery</v>
      </c>
      <c r="AG91" t="str">
        <f>PROPER(TRIM(J91))</f>
        <v>South</v>
      </c>
      <c r="AH91" t="str">
        <f t="shared" si="2"/>
        <v>Stationery</v>
      </c>
      <c r="AI91" t="str">
        <f t="shared" si="3"/>
        <v>Stationery</v>
      </c>
      <c r="AK91">
        <f>IF(COUNTIF($A$2:A91,A91)=1,1,0)</f>
        <v>1</v>
      </c>
    </row>
    <row r="92" spans="1:37">
      <c r="A92" s="9" t="s">
        <v>497</v>
      </c>
      <c r="B92" s="10" t="s">
        <v>321</v>
      </c>
      <c r="C92" s="10" t="s">
        <v>250</v>
      </c>
      <c r="D92" s="11">
        <v>45756</v>
      </c>
      <c r="E92" s="11">
        <v>45939</v>
      </c>
      <c r="F92" s="10" t="s">
        <v>408</v>
      </c>
      <c r="G92" s="10" t="s">
        <v>239</v>
      </c>
      <c r="H92" s="10" t="s">
        <v>498</v>
      </c>
      <c r="I92" s="10" t="s">
        <v>260</v>
      </c>
      <c r="J92" s="10" t="s">
        <v>261</v>
      </c>
      <c r="K92" s="10" t="s">
        <v>15</v>
      </c>
      <c r="L92" s="10" t="s">
        <v>253</v>
      </c>
      <c r="M92" s="10">
        <v>18</v>
      </c>
      <c r="N92" s="10">
        <v>2200</v>
      </c>
      <c r="O92" s="10">
        <v>10</v>
      </c>
      <c r="P92" s="10">
        <v>35640</v>
      </c>
      <c r="Q92" s="10">
        <v>3</v>
      </c>
      <c r="R92" s="10" t="s">
        <v>254</v>
      </c>
      <c r="S92" s="10" t="s">
        <v>255</v>
      </c>
      <c r="T92" s="10" t="s">
        <v>326</v>
      </c>
      <c r="U92" s="10">
        <v>9845884906</v>
      </c>
      <c r="V92" s="12" t="s">
        <v>265</v>
      </c>
      <c r="W92" t="str">
        <f>IF(OR(Q92&lt;=2,V92="Cancelled"),"Blacklisted",IF(AND(P92&gt;100000,Q92&gt;=4,O92&lt;=10%,V92="Completed"),"Platinum",IF(AND(P92&gt;=50000,Q92&gt;=3,V92="Completed"),"Gold",IF(AND(P92&lt;50000,V92="Completed"),"Silver",""))))</f>
        <v>Blacklisted</v>
      </c>
      <c r="X92" t="str">
        <f>PROPER(TRIM(F92))</f>
        <v>Anita Gupta</v>
      </c>
      <c r="Y92" t="str">
        <f>LEFT(F92,3)&amp;MID(B92,2,3)&amp;LEFT(I92,2)</f>
        <v>Ani004De</v>
      </c>
      <c r="Z92" t="str">
        <f>IF(ISNUMBER(SEARCH("@",T92)),LOWER(TRIM(T92)),"invalid email")</f>
        <v>anita.gupta@company.com</v>
      </c>
      <c r="AA92" t="str">
        <f ca="1">IF(H91="","",IFERROR(DATEDIF(IF(ISNUMBER(H91),H91,DATE(VALUE(RIGHT(H91,4)),VALUE(MID(H91,3,2)),VALUE(LEFT(H91,2)))),TODAY(),"Y"),""))</f>
        <v/>
      </c>
      <c r="AB92" t="str">
        <f>IF(OR(D92="",E92=""),"",IFERROR(DATE(MID(E92,7,4),MID(E92,4,2),LEFT(E92,2))-DATE(MID(D92,7,4),MID(D92,4,2),LEFT(D92,2)),""))</f>
        <v/>
      </c>
      <c r="AC92" t="str">
        <f>IF(E92="","Pending",IF(AB92&lt;=5,"On time","Delayed"))</f>
        <v>Delayed</v>
      </c>
      <c r="AD92" s="29" t="str">
        <f>IF(TRIM(S92)="","Not Assigned",S92)</f>
        <v>Ritika</v>
      </c>
      <c r="AE92" t="str">
        <f>PROPER(TRIM(F92))</f>
        <v>Anita Gupta</v>
      </c>
      <c r="AF92" t="str">
        <f>PROPER(TRIM(K92))</f>
        <v>Home Appliances</v>
      </c>
      <c r="AG92" t="str">
        <f>PROPER(TRIM(J92))</f>
        <v>North</v>
      </c>
      <c r="AH92" t="str">
        <f t="shared" si="2"/>
        <v>Home Appliances</v>
      </c>
      <c r="AI92" t="str">
        <f t="shared" si="3"/>
        <v>Home Appliances</v>
      </c>
      <c r="AK92">
        <f>IF(COUNTIF($A$2:A92,A92)=1,1,0)</f>
        <v>1</v>
      </c>
    </row>
    <row r="93" spans="1:37">
      <c r="A93" s="4" t="s">
        <v>499</v>
      </c>
      <c r="B93" s="5" t="s">
        <v>392</v>
      </c>
      <c r="C93" s="5" t="s">
        <v>280</v>
      </c>
      <c r="D93" s="6">
        <v>45995</v>
      </c>
      <c r="E93" s="5" t="s">
        <v>500</v>
      </c>
      <c r="F93" s="5" t="s">
        <v>323</v>
      </c>
      <c r="G93" s="5" t="s">
        <v>269</v>
      </c>
      <c r="H93" s="5" t="s">
        <v>501</v>
      </c>
      <c r="I93" s="5" t="s">
        <v>260</v>
      </c>
      <c r="J93" s="5" t="s">
        <v>261</v>
      </c>
      <c r="K93" s="5" t="s">
        <v>15</v>
      </c>
      <c r="L93" s="5" t="s">
        <v>282</v>
      </c>
      <c r="M93" s="5">
        <v>7</v>
      </c>
      <c r="N93" s="5">
        <v>3500</v>
      </c>
      <c r="O93" s="5">
        <v>15</v>
      </c>
      <c r="P93" s="5">
        <v>20825</v>
      </c>
      <c r="Q93" s="5">
        <v>3</v>
      </c>
      <c r="R93" s="5" t="s">
        <v>245</v>
      </c>
      <c r="S93" s="5" t="s">
        <v>263</v>
      </c>
      <c r="T93" s="5" t="s">
        <v>395</v>
      </c>
      <c r="U93" s="5">
        <v>9393097397</v>
      </c>
      <c r="V93" s="8" t="s">
        <v>257</v>
      </c>
      <c r="W93" t="str">
        <f>IF(OR(Q93&lt;=2,V93="Cancelled"),"Blacklisted",IF(AND(P93&gt;100000,Q93&gt;=4,O93&lt;=10%,V93="Completed"),"Platinum",IF(AND(P93&gt;=50000,Q93&gt;=3,V93="Completed"),"Gold",IF(AND(P93&lt;50000,V93="Completed"),"Silver",""))))</f>
        <v>Silver</v>
      </c>
      <c r="X93" t="str">
        <f>PROPER(TRIM(F93))</f>
        <v>Amit Sharma</v>
      </c>
      <c r="Y93" t="str">
        <f>LEFT(F93,3)&amp;MID(B93,2,3)&amp;LEFT(I93,2)</f>
        <v>Ami001De</v>
      </c>
      <c r="Z93" t="str">
        <f>IF(ISNUMBER(SEARCH("@",T93)),LOWER(TRIM(T93)),"invalid email")</f>
        <v>amit.sharma@company.com</v>
      </c>
      <c r="AA93" t="str">
        <f ca="1">IF(H92="","",IFERROR(DATEDIF(IF(ISNUMBER(H92),H92,DATE(VALUE(RIGHT(H92,4)),VALUE(MID(H92,3,2)),VALUE(LEFT(H92,2)))),TODAY(),"Y"),""))</f>
        <v/>
      </c>
      <c r="AB93" t="str">
        <f>IF(OR(D93="",E93=""),"",IFERROR(DATE(MID(E93,7,4),MID(E93,4,2),LEFT(E93,2))-DATE(MID(D93,7,4),MID(D93,4,2),LEFT(D93,2)),""))</f>
        <v/>
      </c>
      <c r="AC93" t="str">
        <f>IF(E93="","Pending",IF(AB93&lt;=5,"On time","Delayed"))</f>
        <v>Delayed</v>
      </c>
      <c r="AD93" s="29" t="str">
        <f>IF(TRIM(S93)="","Not Assigned",S93)</f>
        <v>Rahul</v>
      </c>
      <c r="AE93" t="str">
        <f>PROPER(TRIM(F93))</f>
        <v>Amit Sharma</v>
      </c>
      <c r="AF93" t="str">
        <f>PROPER(TRIM(K93))</f>
        <v>Home Appliances</v>
      </c>
      <c r="AG93" t="str">
        <f>PROPER(TRIM(J93))</f>
        <v>North</v>
      </c>
      <c r="AH93" t="str">
        <f t="shared" si="2"/>
        <v>Home Appliances</v>
      </c>
      <c r="AI93" t="str">
        <f t="shared" si="3"/>
        <v>Home Appliances</v>
      </c>
      <c r="AK93">
        <f>IF(COUNTIF($A$2:A93,A93)=1,1,0)</f>
        <v>1</v>
      </c>
    </row>
    <row r="94" spans="1:37">
      <c r="A94" s="9" t="s">
        <v>502</v>
      </c>
      <c r="B94" s="10" t="s">
        <v>284</v>
      </c>
      <c r="C94" s="10" t="s">
        <v>322</v>
      </c>
      <c r="D94" s="11">
        <v>46117</v>
      </c>
      <c r="E94" s="11">
        <v>46208</v>
      </c>
      <c r="F94" s="10" t="s">
        <v>285</v>
      </c>
      <c r="G94" s="10" t="s">
        <v>239</v>
      </c>
      <c r="H94" s="10" t="s">
        <v>503</v>
      </c>
      <c r="I94" s="10" t="s">
        <v>379</v>
      </c>
      <c r="J94" s="10" t="s">
        <v>21</v>
      </c>
      <c r="K94" s="10" t="s">
        <v>15</v>
      </c>
      <c r="L94" s="10" t="s">
        <v>325</v>
      </c>
      <c r="M94" s="10">
        <v>19</v>
      </c>
      <c r="N94" s="10">
        <v>8500</v>
      </c>
      <c r="O94" s="10">
        <v>15</v>
      </c>
      <c r="P94" s="10">
        <v>137275</v>
      </c>
      <c r="Q94" s="10">
        <v>4</v>
      </c>
      <c r="R94" s="10" t="s">
        <v>272</v>
      </c>
      <c r="S94" s="10" t="s">
        <v>312</v>
      </c>
      <c r="T94" s="10" t="s">
        <v>308</v>
      </c>
      <c r="U94" s="10">
        <v>9958032109</v>
      </c>
      <c r="V94" s="12" t="s">
        <v>248</v>
      </c>
      <c r="W94" t="str">
        <f>IF(OR(Q94&lt;=2,V94="Cancelled"),"Blacklisted",IF(AND(P94&gt;100000,Q94&gt;=4,O94&lt;=10%,V94="Completed"),"Platinum",IF(AND(P94&gt;=50000,Q94&gt;=3,V94="Completed"),"Gold",IF(AND(P94&lt;50000,V94="Completed"),"Silver",""))))</f>
        <v/>
      </c>
      <c r="X94" t="str">
        <f>PROPER(TRIM(F94))</f>
        <v>Priya Patel</v>
      </c>
      <c r="Y94" t="str">
        <f>LEFT(F94,3)&amp;MID(B94,2,3)&amp;LEFT(I94,2)</f>
        <v>Pri002Ko</v>
      </c>
      <c r="Z94" t="str">
        <f>IF(ISNUMBER(SEARCH("@",T94)),LOWER(TRIM(T94)),"invalid email")</f>
        <v>priya.patel@company.com</v>
      </c>
      <c r="AA94" t="str">
        <f ca="1">IF(H93="","",IFERROR(DATEDIF(IF(ISNUMBER(H93),H93,DATE(VALUE(RIGHT(H93,4)),VALUE(MID(H93,3,2)),VALUE(LEFT(H93,2)))),TODAY(),"Y"),""))</f>
        <v/>
      </c>
      <c r="AB94" t="str">
        <f>IF(OR(D94="",E94=""),"",IFERROR(DATE(MID(E94,7,4),MID(E94,4,2),LEFT(E94,2))-DATE(MID(D94,7,4),MID(D94,4,2),LEFT(D94,2)),""))</f>
        <v/>
      </c>
      <c r="AC94" t="str">
        <f>IF(E94="","Pending",IF(AB94&lt;=5,"On time","Delayed"))</f>
        <v>Delayed</v>
      </c>
      <c r="AD94" s="29" t="str">
        <f>IF(TRIM(S94)="","Not Assigned",S94)</f>
        <v>Karan</v>
      </c>
      <c r="AE94" t="str">
        <f>PROPER(TRIM(F94))</f>
        <v>Priya Patel</v>
      </c>
      <c r="AF94" t="str">
        <f>PROPER(TRIM(K94))</f>
        <v>Home Appliances</v>
      </c>
      <c r="AG94" t="str">
        <f>PROPER(TRIM(J94))</f>
        <v>East</v>
      </c>
      <c r="AH94" t="str">
        <f t="shared" si="2"/>
        <v>Home Appliances</v>
      </c>
      <c r="AI94" t="str">
        <f t="shared" si="3"/>
        <v>Home Appliances</v>
      </c>
      <c r="AK94">
        <f>IF(COUNTIF($A$2:A94,A94)=1,1,0)</f>
        <v>1</v>
      </c>
    </row>
    <row r="95" spans="1:37">
      <c r="A95" s="4" t="s">
        <v>504</v>
      </c>
      <c r="B95" s="5" t="s">
        <v>358</v>
      </c>
      <c r="C95" s="5" t="s">
        <v>258</v>
      </c>
      <c r="D95" s="5" t="s">
        <v>63</v>
      </c>
      <c r="E95" s="5" t="s">
        <v>161</v>
      </c>
      <c r="F95" s="5" t="s">
        <v>359</v>
      </c>
      <c r="G95" s="5" t="s">
        <v>239</v>
      </c>
      <c r="H95" s="5" t="s">
        <v>505</v>
      </c>
      <c r="I95" s="5" t="s">
        <v>306</v>
      </c>
      <c r="J95" s="5" t="s">
        <v>287</v>
      </c>
      <c r="K95" s="5" t="s">
        <v>243</v>
      </c>
      <c r="L95" s="5" t="s">
        <v>262</v>
      </c>
      <c r="M95" s="5">
        <v>13</v>
      </c>
      <c r="N95" s="5">
        <v>12000</v>
      </c>
      <c r="O95" s="5">
        <v>15</v>
      </c>
      <c r="P95" s="5">
        <v>132600</v>
      </c>
      <c r="Q95" s="5">
        <v>4</v>
      </c>
      <c r="R95" s="5" t="s">
        <v>254</v>
      </c>
      <c r="S95" s="5" t="s">
        <v>263</v>
      </c>
      <c r="T95" s="5" t="s">
        <v>360</v>
      </c>
      <c r="U95" s="5">
        <v>9755082957</v>
      </c>
      <c r="V95" s="8" t="s">
        <v>257</v>
      </c>
      <c r="W95" t="str">
        <f>IF(OR(Q95&lt;=2,V95="Cancelled"),"Blacklisted",IF(AND(P95&gt;100000,Q95&gt;=4,O95&lt;=10%,V95="Completed"),"Platinum",IF(AND(P95&gt;=50000,Q95&gt;=3,V95="Completed"),"Gold",IF(AND(P95&lt;50000,V95="Completed"),"Silver",""))))</f>
        <v>Gold</v>
      </c>
      <c r="X95" t="str">
        <f>PROPER(TRIM(F95))</f>
        <v>Sneha Joshi</v>
      </c>
      <c r="Y95" t="str">
        <f>LEFT(F95,3)&amp;MID(B95,2,3)&amp;LEFT(I95,2)</f>
        <v>Sne006Ah</v>
      </c>
      <c r="Z95" t="str">
        <f>IF(ISNUMBER(SEARCH("@",T95)),LOWER(TRIM(T95)),"invalid email")</f>
        <v>sneha.joshi@company.com</v>
      </c>
      <c r="AA95" t="str">
        <f ca="1">IF(H94="","",IFERROR(DATEDIF(IF(ISNUMBER(H94),H94,DATE(VALUE(RIGHT(H94,4)),VALUE(MID(H94,3,2)),VALUE(LEFT(H94,2)))),TODAY(),"Y"),""))</f>
        <v/>
      </c>
      <c r="AB95">
        <f>IF(OR(D95="",E95=""),"",IFERROR(DATE(MID(E95,7,4),MID(E95,4,2),LEFT(E95,2))-DATE(MID(D95,7,4),MID(D95,4,2),LEFT(D95,2)),""))</f>
        <v>9</v>
      </c>
      <c r="AC95" t="str">
        <f>IF(E95="","Pending",IF(AB95&lt;=5,"On time","Delayed"))</f>
        <v>Delayed</v>
      </c>
      <c r="AD95" s="29" t="str">
        <f>IF(TRIM(S95)="","Not Assigned",S95)</f>
        <v>Rahul</v>
      </c>
      <c r="AE95" t="str">
        <f>PROPER(TRIM(F95))</f>
        <v>Sneha Joshi</v>
      </c>
      <c r="AF95" t="str">
        <f>PROPER(TRIM(K95))</f>
        <v>Electronics</v>
      </c>
      <c r="AG95" t="str">
        <f>PROPER(TRIM(J95))</f>
        <v>West</v>
      </c>
      <c r="AH95" t="str">
        <f t="shared" si="2"/>
        <v>Electronics</v>
      </c>
      <c r="AI95" t="str">
        <f t="shared" si="3"/>
        <v>Electronics</v>
      </c>
      <c r="AK95">
        <f>IF(COUNTIF($A$2:A95,A95)=1,1,0)</f>
        <v>1</v>
      </c>
    </row>
    <row r="96" spans="1:37">
      <c r="A96" s="9" t="s">
        <v>506</v>
      </c>
      <c r="B96" s="10" t="s">
        <v>392</v>
      </c>
      <c r="C96" s="10" t="s">
        <v>347</v>
      </c>
      <c r="D96" s="10" t="s">
        <v>26</v>
      </c>
      <c r="E96" s="10" t="s">
        <v>131</v>
      </c>
      <c r="F96" s="10" t="s">
        <v>323</v>
      </c>
      <c r="G96" s="10" t="s">
        <v>269</v>
      </c>
      <c r="H96" s="11">
        <v>32602</v>
      </c>
      <c r="I96" s="10" t="s">
        <v>291</v>
      </c>
      <c r="J96" s="10" t="s">
        <v>287</v>
      </c>
      <c r="K96" s="10" t="s">
        <v>295</v>
      </c>
      <c r="L96" s="10" t="s">
        <v>349</v>
      </c>
      <c r="M96" s="10">
        <v>7</v>
      </c>
      <c r="N96" s="10">
        <v>20</v>
      </c>
      <c r="O96" s="10">
        <v>0</v>
      </c>
      <c r="P96" s="10">
        <v>140</v>
      </c>
      <c r="Q96" s="10">
        <v>1</v>
      </c>
      <c r="R96" s="10" t="s">
        <v>272</v>
      </c>
      <c r="S96" s="10" t="s">
        <v>312</v>
      </c>
      <c r="T96" s="10" t="s">
        <v>395</v>
      </c>
      <c r="U96" s="10">
        <v>9872235856</v>
      </c>
      <c r="V96" s="12" t="s">
        <v>265</v>
      </c>
      <c r="W96" t="str">
        <f>IF(OR(Q96&lt;=2,V96="Cancelled"),"Blacklisted",IF(AND(P96&gt;100000,Q96&gt;=4,O96&lt;=10%,V96="Completed"),"Platinum",IF(AND(P96&gt;=50000,Q96&gt;=3,V96="Completed"),"Gold",IF(AND(P96&lt;50000,V96="Completed"),"Silver",""))))</f>
        <v>Blacklisted</v>
      </c>
      <c r="X96" t="str">
        <f>PROPER(TRIM(F96))</f>
        <v>Amit Sharma</v>
      </c>
      <c r="Y96" t="str">
        <f>LEFT(F96,3)&amp;MID(B96,2,3)&amp;LEFT(I96,2)</f>
        <v>Ami001Pu</v>
      </c>
      <c r="Z96" t="str">
        <f>IF(ISNUMBER(SEARCH("@",T96)),LOWER(TRIM(T96)),"invalid email")</f>
        <v>amit.sharma@company.com</v>
      </c>
      <c r="AA96" t="str">
        <f ca="1">IF(H95="","",IFERROR(DATEDIF(IF(ISNUMBER(H95),H95,DATE(VALUE(RIGHT(H95,4)),VALUE(MID(H95,3,2)),VALUE(LEFT(H95,2)))),TODAY(),"Y"),""))</f>
        <v/>
      </c>
      <c r="AB96">
        <f>IF(OR(D96="",E96=""),"",IFERROR(DATE(MID(E96,7,4),MID(E96,4,2),LEFT(E96,2))-DATE(MID(D96,7,4),MID(D96,4,2),LEFT(D96,2)),""))</f>
        <v>10</v>
      </c>
      <c r="AC96" t="str">
        <f>IF(E96="","Pending",IF(AB96&lt;=5,"On time","Delayed"))</f>
        <v>Delayed</v>
      </c>
      <c r="AD96" s="29" t="str">
        <f>IF(TRIM(S96)="","Not Assigned",S96)</f>
        <v>Karan</v>
      </c>
      <c r="AE96" t="str">
        <f>PROPER(TRIM(F96))</f>
        <v>Amit Sharma</v>
      </c>
      <c r="AF96" t="str">
        <f>PROPER(TRIM(K96))</f>
        <v>Stationery</v>
      </c>
      <c r="AG96" t="str">
        <f>PROPER(TRIM(J96))</f>
        <v>West</v>
      </c>
      <c r="AH96" t="str">
        <f t="shared" si="2"/>
        <v>Stationery</v>
      </c>
      <c r="AI96" t="str">
        <f t="shared" si="3"/>
        <v>Stationery</v>
      </c>
      <c r="AK96">
        <f>IF(COUNTIF($A$2:A96,A96)=1,1,0)</f>
        <v>1</v>
      </c>
    </row>
    <row r="97" spans="1:37">
      <c r="A97" s="4" t="s">
        <v>507</v>
      </c>
      <c r="B97" s="5" t="s">
        <v>321</v>
      </c>
      <c r="C97" s="5" t="s">
        <v>330</v>
      </c>
      <c r="D97" s="6">
        <v>45905</v>
      </c>
      <c r="E97" s="6">
        <v>45966</v>
      </c>
      <c r="F97" s="5" t="s">
        <v>408</v>
      </c>
      <c r="G97" s="5" t="s">
        <v>239</v>
      </c>
      <c r="H97" s="5" t="s">
        <v>508</v>
      </c>
      <c r="I97" s="5" t="s">
        <v>260</v>
      </c>
      <c r="J97" s="5" t="s">
        <v>261</v>
      </c>
      <c r="K97" s="5" t="s">
        <v>243</v>
      </c>
      <c r="L97" s="5" t="s">
        <v>333</v>
      </c>
      <c r="M97" s="5">
        <v>5</v>
      </c>
      <c r="N97" s="5">
        <v>700</v>
      </c>
      <c r="O97" s="5">
        <v>15</v>
      </c>
      <c r="P97" s="5">
        <v>999999</v>
      </c>
      <c r="Q97" s="5">
        <v>4</v>
      </c>
      <c r="R97" s="5" t="s">
        <v>272</v>
      </c>
      <c r="S97" s="5" t="s">
        <v>255</v>
      </c>
      <c r="T97" s="5" t="s">
        <v>326</v>
      </c>
      <c r="U97" s="5">
        <v>9335138816</v>
      </c>
      <c r="V97" s="8" t="s">
        <v>248</v>
      </c>
      <c r="W97" t="str">
        <f>IF(OR(Q97&lt;=2,V97="Cancelled"),"Blacklisted",IF(AND(P97&gt;100000,Q97&gt;=4,O97&lt;=10%,V97="Completed"),"Platinum",IF(AND(P97&gt;=50000,Q97&gt;=3,V97="Completed"),"Gold",IF(AND(P97&lt;50000,V97="Completed"),"Silver",""))))</f>
        <v/>
      </c>
      <c r="X97" t="str">
        <f>PROPER(TRIM(F97))</f>
        <v>Anita Gupta</v>
      </c>
      <c r="Y97" t="str">
        <f>LEFT(F97,3)&amp;MID(B97,2,3)&amp;LEFT(I97,2)</f>
        <v>Ani004De</v>
      </c>
      <c r="Z97" t="str">
        <f>IF(ISNUMBER(SEARCH("@",T97)),LOWER(TRIM(T97)),"invalid email")</f>
        <v>anita.gupta@company.com</v>
      </c>
      <c r="AA97">
        <f ca="1">IF(H96="","",IFERROR(DATEDIF(IF(ISNUMBER(H96),H96,DATE(VALUE(RIGHT(H96,4)),VALUE(MID(H96,3,2)),VALUE(LEFT(H96,2)))),TODAY(),"Y"),""))</f>
        <v>37</v>
      </c>
      <c r="AB97" t="str">
        <f>IF(OR(D97="",E97=""),"",IFERROR(DATE(MID(E97,7,4),MID(E97,4,2),LEFT(E97,2))-DATE(MID(D97,7,4),MID(D97,4,2),LEFT(D97,2)),""))</f>
        <v/>
      </c>
      <c r="AC97" t="str">
        <f>IF(E97="","Pending",IF(AB97&lt;=5,"On time","Delayed"))</f>
        <v>Delayed</v>
      </c>
      <c r="AD97" s="29" t="str">
        <f>IF(TRIM(S97)="","Not Assigned",S97)</f>
        <v>Ritika</v>
      </c>
      <c r="AE97" t="str">
        <f>PROPER(TRIM(F97))</f>
        <v>Anita Gupta</v>
      </c>
      <c r="AF97" t="str">
        <f>PROPER(TRIM(K97))</f>
        <v>Electronics</v>
      </c>
      <c r="AG97" t="str">
        <f>PROPER(TRIM(J97))</f>
        <v>North</v>
      </c>
      <c r="AH97" t="str">
        <f t="shared" si="2"/>
        <v>Electronics</v>
      </c>
      <c r="AI97" t="str">
        <f t="shared" si="3"/>
        <v>Electronics</v>
      </c>
      <c r="AK97">
        <f>IF(COUNTIF($A$2:A97,A97)=1,1,0)</f>
        <v>1</v>
      </c>
    </row>
    <row r="98" spans="1:37">
      <c r="A98" s="9" t="s">
        <v>509</v>
      </c>
      <c r="B98" s="10" t="s">
        <v>275</v>
      </c>
      <c r="C98" s="10" t="s">
        <v>362</v>
      </c>
      <c r="D98" s="11">
        <v>46208</v>
      </c>
      <c r="E98" s="11">
        <v>46300</v>
      </c>
      <c r="F98" s="10" t="s">
        <v>328</v>
      </c>
      <c r="G98" s="10" t="s">
        <v>269</v>
      </c>
      <c r="H98" s="11">
        <v>30140</v>
      </c>
      <c r="I98" s="10" t="s">
        <v>241</v>
      </c>
      <c r="J98" s="10" t="s">
        <v>242</v>
      </c>
      <c r="K98" s="10" t="s">
        <v>295</v>
      </c>
      <c r="L98" s="10" t="s">
        <v>363</v>
      </c>
      <c r="M98" s="10">
        <v>9</v>
      </c>
      <c r="N98" s="10">
        <v>45</v>
      </c>
      <c r="O98" s="10">
        <v>5</v>
      </c>
      <c r="P98" s="10">
        <v>384.75</v>
      </c>
      <c r="Q98" s="10">
        <v>3</v>
      </c>
      <c r="R98" s="10" t="s">
        <v>254</v>
      </c>
      <c r="S98" s="10" t="s">
        <v>255</v>
      </c>
      <c r="T98" s="10" t="s">
        <v>278</v>
      </c>
      <c r="U98" s="10">
        <v>9750365609</v>
      </c>
      <c r="V98" s="12" t="s">
        <v>257</v>
      </c>
      <c r="W98" t="str">
        <f>IF(OR(Q98&lt;=2,V98="Cancelled"),"Blacklisted",IF(AND(P98&gt;100000,Q98&gt;=4,O98&lt;=10%,V98="Completed"),"Platinum",IF(AND(P98&gt;=50000,Q98&gt;=3,V98="Completed"),"Gold",IF(AND(P98&lt;50000,V98="Completed"),"Silver",""))))</f>
        <v>Silver</v>
      </c>
      <c r="X98" t="str">
        <f>PROPER(TRIM(F98))</f>
        <v>Arjun Rao</v>
      </c>
      <c r="Y98" t="str">
        <f>LEFT(F98,3)&amp;MID(B98,2,3)&amp;LEFT(I98,2)</f>
        <v>Arj007Be</v>
      </c>
      <c r="Z98" t="str">
        <f>IF(ISNUMBER(SEARCH("@",T98)),LOWER(TRIM(T98)),"invalid email")</f>
        <v>arjun.rao@company.com</v>
      </c>
      <c r="AA98" t="str">
        <f ca="1">IF(H97="","",IFERROR(DATEDIF(IF(ISNUMBER(H97),H97,DATE(VALUE(RIGHT(H97,4)),VALUE(MID(H97,3,2)),VALUE(LEFT(H97,2)))),TODAY(),"Y"),""))</f>
        <v/>
      </c>
      <c r="AB98" t="str">
        <f>IF(OR(D98="",E98=""),"",IFERROR(DATE(MID(E98,7,4),MID(E98,4,2),LEFT(E98,2))-DATE(MID(D98,7,4),MID(D98,4,2),LEFT(D98,2)),""))</f>
        <v/>
      </c>
      <c r="AC98" t="str">
        <f>IF(E98="","Pending",IF(AB98&lt;=5,"On time","Delayed"))</f>
        <v>Delayed</v>
      </c>
      <c r="AD98" s="29" t="str">
        <f>IF(TRIM(S98)="","Not Assigned",S98)</f>
        <v>Ritika</v>
      </c>
      <c r="AE98" t="str">
        <f>PROPER(TRIM(F98))</f>
        <v>Arjun Rao</v>
      </c>
      <c r="AF98" t="str">
        <f>PROPER(TRIM(K98))</f>
        <v>Stationery</v>
      </c>
      <c r="AG98" t="str">
        <f>PROPER(TRIM(J98))</f>
        <v>South</v>
      </c>
      <c r="AH98" t="str">
        <f t="shared" si="2"/>
        <v>Stationery</v>
      </c>
      <c r="AI98" t="str">
        <f t="shared" si="3"/>
        <v>Stationery</v>
      </c>
      <c r="AK98">
        <f>IF(COUNTIF($A$2:A98,A98)=1,1,0)</f>
        <v>1</v>
      </c>
    </row>
    <row r="99" spans="1:37">
      <c r="A99" s="4" t="s">
        <v>510</v>
      </c>
      <c r="B99" s="5" t="s">
        <v>299</v>
      </c>
      <c r="C99" s="5" t="s">
        <v>294</v>
      </c>
      <c r="D99" s="5" t="s">
        <v>101</v>
      </c>
      <c r="E99" s="5" t="s">
        <v>511</v>
      </c>
      <c r="F99" s="5" t="s">
        <v>301</v>
      </c>
      <c r="G99" s="5" t="s">
        <v>269</v>
      </c>
      <c r="H99" s="5" t="s">
        <v>512</v>
      </c>
      <c r="I99" s="5" t="s">
        <v>379</v>
      </c>
      <c r="J99" s="5" t="s">
        <v>21</v>
      </c>
      <c r="K99" s="5" t="s">
        <v>295</v>
      </c>
      <c r="L99" s="5" t="s">
        <v>296</v>
      </c>
      <c r="M99" s="5">
        <v>19</v>
      </c>
      <c r="N99" s="5">
        <v>60</v>
      </c>
      <c r="O99" s="5">
        <v>10</v>
      </c>
      <c r="P99" s="5">
        <v>1026</v>
      </c>
      <c r="Q99" s="5">
        <v>5</v>
      </c>
      <c r="R99" s="5" t="s">
        <v>245</v>
      </c>
      <c r="S99" s="5" t="s">
        <v>292</v>
      </c>
      <c r="T99" s="5" t="s">
        <v>302</v>
      </c>
      <c r="U99" s="5">
        <v>9736812737</v>
      </c>
      <c r="V99" s="8" t="s">
        <v>257</v>
      </c>
      <c r="W99" t="str">
        <f>IF(OR(Q99&lt;=2,V99="Cancelled"),"Blacklisted",IF(AND(P99&gt;100000,Q99&gt;=4,O99&lt;=10%,V99="Completed"),"Platinum",IF(AND(P99&gt;=50000,Q99&gt;=3,V99="Completed"),"Gold",IF(AND(P99&lt;50000,V99="Completed"),"Silver",""))))</f>
        <v>Silver</v>
      </c>
      <c r="X99" t="str">
        <f>PROPER(TRIM(F99))</f>
        <v>Rohit Singh</v>
      </c>
      <c r="Y99" t="str">
        <f>LEFT(F99,3)&amp;MID(B99,2,3)&amp;LEFT(I99,2)</f>
        <v>Roh003Ko</v>
      </c>
      <c r="Z99" t="str">
        <f>IF(ISNUMBER(SEARCH("@",T99)),LOWER(TRIM(T99)),"invalid email")</f>
        <v>rohit.singh@company.com</v>
      </c>
      <c r="AA99">
        <f ca="1">IF(H98="","",IFERROR(DATEDIF(IF(ISNUMBER(H98),H98,DATE(VALUE(RIGHT(H98,4)),VALUE(MID(H98,3,2)),VALUE(LEFT(H98,2)))),TODAY(),"Y"),""))</f>
        <v>44</v>
      </c>
      <c r="AB99">
        <f>IF(OR(D99="",E99=""),"",IFERROR(DATE(MID(E99,7,4),MID(E99,4,2),LEFT(E99,2))-DATE(MID(D99,7,4),MID(D99,4,2),LEFT(D99,2)),""))</f>
        <v>8</v>
      </c>
      <c r="AC99" t="str">
        <f>IF(E99="","Pending",IF(AB99&lt;=5,"On time","Delayed"))</f>
        <v>Delayed</v>
      </c>
      <c r="AD99" s="29" t="str">
        <f>IF(TRIM(S99)="","Not Assigned",S99)</f>
        <v>Neha</v>
      </c>
      <c r="AE99" t="str">
        <f>PROPER(TRIM(F99))</f>
        <v>Rohit Singh</v>
      </c>
      <c r="AF99" t="str">
        <f>PROPER(TRIM(K99))</f>
        <v>Stationery</v>
      </c>
      <c r="AG99" t="str">
        <f>PROPER(TRIM(J99))</f>
        <v>East</v>
      </c>
      <c r="AH99" t="str">
        <f t="shared" si="2"/>
        <v>Stationery</v>
      </c>
      <c r="AI99" t="str">
        <f t="shared" si="3"/>
        <v>Stationery</v>
      </c>
      <c r="AK99">
        <f>IF(COUNTIF($A$2:A99,A99)=1,1,0)</f>
        <v>1</v>
      </c>
    </row>
    <row r="100" spans="1:37">
      <c r="A100" s="9" t="s">
        <v>513</v>
      </c>
      <c r="B100" s="10" t="s">
        <v>392</v>
      </c>
      <c r="C100" s="10" t="s">
        <v>330</v>
      </c>
      <c r="D100" s="11">
        <v>45973</v>
      </c>
      <c r="E100" s="10" t="s">
        <v>514</v>
      </c>
      <c r="F100" s="10" t="s">
        <v>323</v>
      </c>
      <c r="G100" s="10" t="s">
        <v>269</v>
      </c>
      <c r="H100" s="11">
        <v>31932</v>
      </c>
      <c r="I100" s="10" t="s">
        <v>306</v>
      </c>
      <c r="J100" s="10" t="s">
        <v>287</v>
      </c>
      <c r="K100" s="10" t="s">
        <v>243</v>
      </c>
      <c r="L100" s="10" t="s">
        <v>333</v>
      </c>
      <c r="M100" s="10">
        <v>4</v>
      </c>
      <c r="N100" s="10">
        <v>700</v>
      </c>
      <c r="O100" s="10">
        <v>5</v>
      </c>
      <c r="P100" s="10">
        <v>2660</v>
      </c>
      <c r="Q100" s="10">
        <v>3</v>
      </c>
      <c r="R100" s="10" t="s">
        <v>245</v>
      </c>
      <c r="S100" s="10" t="s">
        <v>246</v>
      </c>
      <c r="T100" s="10" t="s">
        <v>395</v>
      </c>
      <c r="U100" s="10">
        <v>9271420931</v>
      </c>
      <c r="V100" s="12" t="s">
        <v>257</v>
      </c>
      <c r="W100" t="str">
        <f>IF(OR(Q100&lt;=2,V100="Cancelled"),"Blacklisted",IF(AND(P100&gt;100000,Q100&gt;=4,O100&lt;=10%,V100="Completed"),"Platinum",IF(AND(P100&gt;=50000,Q100&gt;=3,V100="Completed"),"Gold",IF(AND(P100&lt;50000,V100="Completed"),"Silver",""))))</f>
        <v>Silver</v>
      </c>
      <c r="X100" t="str">
        <f>PROPER(TRIM(F100))</f>
        <v>Amit Sharma</v>
      </c>
      <c r="Y100" t="str">
        <f>LEFT(F100,3)&amp;MID(B100,2,3)&amp;LEFT(I100,2)</f>
        <v>Ami001Ah</v>
      </c>
      <c r="Z100" t="str">
        <f>IF(ISNUMBER(SEARCH("@",T100)),LOWER(TRIM(T100)),"invalid email")</f>
        <v>amit.sharma@company.com</v>
      </c>
      <c r="AA100" t="str">
        <f ca="1">IF(H99="","",IFERROR(DATEDIF(IF(ISNUMBER(H99),H99,DATE(VALUE(RIGHT(H99,4)),VALUE(MID(H99,3,2)),VALUE(LEFT(H99,2)))),TODAY(),"Y"),""))</f>
        <v/>
      </c>
      <c r="AB100" t="str">
        <f>IF(OR(D100="",E100=""),"",IFERROR(DATE(MID(E100,7,4),MID(E100,4,2),LEFT(E100,2))-DATE(MID(D100,7,4),MID(D100,4,2),LEFT(D100,2)),""))</f>
        <v/>
      </c>
      <c r="AC100" t="str">
        <f>IF(E100="","Pending",IF(AB100&lt;=5,"On time","Delayed"))</f>
        <v>Delayed</v>
      </c>
      <c r="AD100" s="29" t="str">
        <f>IF(TRIM(S100)="","Not Assigned",S100)</f>
        <v>Aisha</v>
      </c>
      <c r="AE100" t="str">
        <f>PROPER(TRIM(F100))</f>
        <v>Amit Sharma</v>
      </c>
      <c r="AF100" t="str">
        <f>PROPER(TRIM(K100))</f>
        <v>Electronics</v>
      </c>
      <c r="AG100" t="str">
        <f>PROPER(TRIM(J100))</f>
        <v>West</v>
      </c>
      <c r="AH100" t="str">
        <f t="shared" si="2"/>
        <v>Electronics</v>
      </c>
      <c r="AI100" t="str">
        <f t="shared" si="3"/>
        <v>Electronics</v>
      </c>
      <c r="AK100">
        <f>IF(COUNTIF($A$2:A100,A100)=1,1,0)</f>
        <v>1</v>
      </c>
    </row>
    <row r="101" spans="1:37">
      <c r="A101" s="4" t="s">
        <v>515</v>
      </c>
      <c r="B101" s="5" t="s">
        <v>392</v>
      </c>
      <c r="C101" s="5" t="s">
        <v>280</v>
      </c>
      <c r="D101" s="6">
        <v>46208</v>
      </c>
      <c r="E101" s="5" t="s">
        <v>516</v>
      </c>
      <c r="F101" s="5" t="s">
        <v>323</v>
      </c>
      <c r="G101" s="5" t="s">
        <v>269</v>
      </c>
      <c r="H101" s="5" t="s">
        <v>517</v>
      </c>
      <c r="I101" s="5" t="s">
        <v>291</v>
      </c>
      <c r="J101" s="5" t="s">
        <v>287</v>
      </c>
      <c r="K101" s="5" t="s">
        <v>15</v>
      </c>
      <c r="L101" s="5" t="s">
        <v>282</v>
      </c>
      <c r="M101" s="5">
        <v>16</v>
      </c>
      <c r="N101" s="5">
        <v>3500</v>
      </c>
      <c r="O101" s="5">
        <v>0</v>
      </c>
      <c r="P101" s="5">
        <v>56000</v>
      </c>
      <c r="Q101" s="5">
        <v>2</v>
      </c>
      <c r="R101" s="5" t="s">
        <v>272</v>
      </c>
      <c r="S101" s="5" t="s">
        <v>263</v>
      </c>
      <c r="T101" s="5" t="s">
        <v>395</v>
      </c>
      <c r="U101" s="5">
        <v>9781411370</v>
      </c>
      <c r="V101" s="8" t="s">
        <v>257</v>
      </c>
      <c r="W101" t="str">
        <f>IF(OR(Q101&lt;=2,V101="Cancelled"),"Blacklisted",IF(AND(P101&gt;100000,Q101&gt;=4,O101&lt;=10%,V101="Completed"),"Platinum",IF(AND(P101&gt;=50000,Q101&gt;=3,V101="Completed"),"Gold",IF(AND(P101&lt;50000,V101="Completed"),"Silver",""))))</f>
        <v>Blacklisted</v>
      </c>
      <c r="X101" t="str">
        <f>PROPER(TRIM(F101))</f>
        <v>Amit Sharma</v>
      </c>
      <c r="Y101" t="str">
        <f>LEFT(F101,3)&amp;MID(B101,2,3)&amp;LEFT(I101,2)</f>
        <v>Ami001Pu</v>
      </c>
      <c r="Z101" t="str">
        <f>IF(ISNUMBER(SEARCH("@",T101)),LOWER(TRIM(T101)),"invalid email")</f>
        <v>amit.sharma@company.com</v>
      </c>
      <c r="AA101">
        <f ca="1">IF(H100="","",IFERROR(DATEDIF(IF(ISNUMBER(H100),H100,DATE(VALUE(RIGHT(H100,4)),VALUE(MID(H100,3,2)),VALUE(LEFT(H100,2)))),TODAY(),"Y"),""))</f>
        <v>39</v>
      </c>
      <c r="AB101" t="str">
        <f>IF(OR(D101="",E101=""),"",IFERROR(DATE(MID(E101,7,4),MID(E101,4,2),LEFT(E101,2))-DATE(MID(D101,7,4),MID(D101,4,2),LEFT(D101,2)),""))</f>
        <v/>
      </c>
      <c r="AC101" t="str">
        <f>IF(E101="","Pending",IF(AB101&lt;=5,"On time","Delayed"))</f>
        <v>Delayed</v>
      </c>
      <c r="AD101" s="29" t="str">
        <f>IF(TRIM(S101)="","Not Assigned",S101)</f>
        <v>Rahul</v>
      </c>
      <c r="AE101" t="str">
        <f>PROPER(TRIM(F101))</f>
        <v>Amit Sharma</v>
      </c>
      <c r="AF101" t="str">
        <f>PROPER(TRIM(K101))</f>
        <v>Home Appliances</v>
      </c>
      <c r="AG101" t="str">
        <f>PROPER(TRIM(J101))</f>
        <v>West</v>
      </c>
      <c r="AH101" t="str">
        <f t="shared" si="2"/>
        <v>Home Appliances</v>
      </c>
      <c r="AI101" t="str">
        <f t="shared" si="3"/>
        <v>Home Appliances</v>
      </c>
      <c r="AK101">
        <f>IF(COUNTIF($A$2:A101,A101)=1,1,0)</f>
        <v>1</v>
      </c>
    </row>
    <row r="102" spans="1:37">
      <c r="A102" s="9" t="s">
        <v>518</v>
      </c>
      <c r="B102" s="10" t="s">
        <v>358</v>
      </c>
      <c r="C102" s="10" t="s">
        <v>362</v>
      </c>
      <c r="D102" s="10" t="s">
        <v>5</v>
      </c>
      <c r="E102" s="10" t="s">
        <v>519</v>
      </c>
      <c r="F102" s="10" t="s">
        <v>359</v>
      </c>
      <c r="G102" s="10" t="s">
        <v>239</v>
      </c>
      <c r="H102" s="10" t="s">
        <v>520</v>
      </c>
      <c r="I102" s="10" t="s">
        <v>241</v>
      </c>
      <c r="J102" s="10" t="s">
        <v>242</v>
      </c>
      <c r="K102" s="10" t="s">
        <v>295</v>
      </c>
      <c r="L102" s="10" t="s">
        <v>363</v>
      </c>
      <c r="M102" s="10">
        <v>5</v>
      </c>
      <c r="N102" s="10">
        <v>45</v>
      </c>
      <c r="O102" s="10">
        <v>20</v>
      </c>
      <c r="P102" s="10">
        <v>180</v>
      </c>
      <c r="Q102" s="10">
        <v>3</v>
      </c>
      <c r="R102" s="10" t="s">
        <v>272</v>
      </c>
      <c r="S102" s="10" t="s">
        <v>255</v>
      </c>
      <c r="T102" s="10" t="s">
        <v>360</v>
      </c>
      <c r="U102" s="10">
        <v>9584152818</v>
      </c>
      <c r="V102" s="12" t="s">
        <v>257</v>
      </c>
      <c r="W102" t="str">
        <f>IF(OR(Q102&lt;=2,V102="Cancelled"),"Blacklisted",IF(AND(P102&gt;100000,Q102&gt;=4,O102&lt;=10%,V102="Completed"),"Platinum",IF(AND(P102&gt;=50000,Q102&gt;=3,V102="Completed"),"Gold",IF(AND(P102&lt;50000,V102="Completed"),"Silver",""))))</f>
        <v>Silver</v>
      </c>
      <c r="X102" t="str">
        <f>PROPER(TRIM(F102))</f>
        <v>Sneha Joshi</v>
      </c>
      <c r="Y102" t="str">
        <f>LEFT(F102,3)&amp;MID(B102,2,3)&amp;LEFT(I102,2)</f>
        <v>Sne006Be</v>
      </c>
      <c r="Z102" t="str">
        <f>IF(ISNUMBER(SEARCH("@",T102)),LOWER(TRIM(T102)),"invalid email")</f>
        <v>sneha.joshi@company.com</v>
      </c>
      <c r="AA102" t="str">
        <f ca="1">IF(H101="","",IFERROR(DATEDIF(IF(ISNUMBER(H101),H101,DATE(VALUE(RIGHT(H101,4)),VALUE(MID(H101,3,2)),VALUE(LEFT(H101,2)))),TODAY(),"Y"),""))</f>
        <v/>
      </c>
      <c r="AB102">
        <f>IF(OR(D102="",E102=""),"",IFERROR(DATE(MID(E102,7,4),MID(E102,4,2),LEFT(E102,2))-DATE(MID(D102,7,4),MID(D102,4,2),LEFT(D102,2)),""))</f>
        <v>7</v>
      </c>
      <c r="AC102" t="str">
        <f>IF(E102="","Pending",IF(AB102&lt;=5,"On time","Delayed"))</f>
        <v>Delayed</v>
      </c>
      <c r="AD102" s="29" t="str">
        <f>IF(TRIM(S102)="","Not Assigned",S102)</f>
        <v>Ritika</v>
      </c>
      <c r="AE102" t="str">
        <f>PROPER(TRIM(F102))</f>
        <v>Sneha Joshi</v>
      </c>
      <c r="AF102" t="str">
        <f>PROPER(TRIM(K102))</f>
        <v>Stationery</v>
      </c>
      <c r="AG102" t="str">
        <f>PROPER(TRIM(J102))</f>
        <v>South</v>
      </c>
      <c r="AH102" t="str">
        <f t="shared" si="2"/>
        <v>Stationery</v>
      </c>
      <c r="AI102" t="str">
        <f t="shared" si="3"/>
        <v>Stationery</v>
      </c>
      <c r="AK102">
        <f>IF(COUNTIF($A$2:A102,A102)=1,1,0)</f>
        <v>1</v>
      </c>
    </row>
    <row r="103" spans="1:37">
      <c r="A103" s="4" t="s">
        <v>521</v>
      </c>
      <c r="B103" s="5" t="s">
        <v>275</v>
      </c>
      <c r="C103" s="5" t="s">
        <v>347</v>
      </c>
      <c r="D103" s="5" t="s">
        <v>57</v>
      </c>
      <c r="E103" s="5" t="s">
        <v>66</v>
      </c>
      <c r="F103" s="5" t="s">
        <v>328</v>
      </c>
      <c r="G103" s="5" t="s">
        <v>269</v>
      </c>
      <c r="H103" s="6">
        <v>35071</v>
      </c>
      <c r="I103" s="5" t="s">
        <v>286</v>
      </c>
      <c r="J103" s="5" t="s">
        <v>287</v>
      </c>
      <c r="K103" s="5" t="s">
        <v>295</v>
      </c>
      <c r="L103" s="5" t="s">
        <v>349</v>
      </c>
      <c r="M103" s="5">
        <v>9</v>
      </c>
      <c r="N103" s="5">
        <v>20</v>
      </c>
      <c r="O103" s="5">
        <v>10</v>
      </c>
      <c r="P103" s="5">
        <v>162</v>
      </c>
      <c r="Q103" s="5">
        <v>4</v>
      </c>
      <c r="R103" s="5" t="s">
        <v>272</v>
      </c>
      <c r="S103" s="5" t="s">
        <v>255</v>
      </c>
      <c r="T103" s="5" t="s">
        <v>278</v>
      </c>
      <c r="U103" s="5">
        <v>9507986836</v>
      </c>
      <c r="V103" s="8" t="s">
        <v>248</v>
      </c>
      <c r="W103" t="str">
        <f>IF(OR(Q103&lt;=2,V103="Cancelled"),"Blacklisted",IF(AND(P103&gt;100000,Q103&gt;=4,O103&lt;=10%,V103="Completed"),"Platinum",IF(AND(P103&gt;=50000,Q103&gt;=3,V103="Completed"),"Gold",IF(AND(P103&lt;50000,V103="Completed"),"Silver",""))))</f>
        <v/>
      </c>
      <c r="X103" t="str">
        <f>PROPER(TRIM(F103))</f>
        <v>Arjun Rao</v>
      </c>
      <c r="Y103" t="str">
        <f>LEFT(F103,3)&amp;MID(B103,2,3)&amp;LEFT(I103,2)</f>
        <v>Arj007Mu</v>
      </c>
      <c r="Z103" t="str">
        <f>IF(ISNUMBER(SEARCH("@",T103)),LOWER(TRIM(T103)),"invalid email")</f>
        <v>arjun.rao@company.com</v>
      </c>
      <c r="AA103" t="str">
        <f ca="1">IF(H102="","",IFERROR(DATEDIF(IF(ISNUMBER(H102),H102,DATE(VALUE(RIGHT(H102,4)),VALUE(MID(H102,3,2)),VALUE(LEFT(H102,2)))),TODAY(),"Y"),""))</f>
        <v/>
      </c>
      <c r="AB103">
        <f>IF(OR(D103="",E103=""),"",IFERROR(DATE(MID(E103,7,4),MID(E103,4,2),LEFT(E103,2))-DATE(MID(D103,7,4),MID(D103,4,2),LEFT(D103,2)),""))</f>
        <v>1</v>
      </c>
      <c r="AC103" t="str">
        <f>IF(E103="","Pending",IF(AB103&lt;=5,"On time","Delayed"))</f>
        <v>On time</v>
      </c>
      <c r="AD103" s="29" t="str">
        <f>IF(TRIM(S103)="","Not Assigned",S103)</f>
        <v>Ritika</v>
      </c>
      <c r="AE103" t="str">
        <f>PROPER(TRIM(F103))</f>
        <v>Arjun Rao</v>
      </c>
      <c r="AF103" t="str">
        <f>PROPER(TRIM(K103))</f>
        <v>Stationery</v>
      </c>
      <c r="AG103" t="str">
        <f>PROPER(TRIM(J103))</f>
        <v>West</v>
      </c>
      <c r="AH103" t="str">
        <f t="shared" si="2"/>
        <v>Stationery</v>
      </c>
      <c r="AI103" t="str">
        <f t="shared" si="3"/>
        <v>Stationery</v>
      </c>
      <c r="AK103">
        <f>IF(COUNTIF($A$2:A103,A103)=1,1,0)</f>
        <v>1</v>
      </c>
    </row>
    <row r="104" spans="1:37">
      <c r="A104" s="9" t="s">
        <v>522</v>
      </c>
      <c r="B104" s="10" t="s">
        <v>235</v>
      </c>
      <c r="C104" s="10" t="s">
        <v>267</v>
      </c>
      <c r="D104" s="10" t="s">
        <v>138</v>
      </c>
      <c r="E104" s="11">
        <v>45660</v>
      </c>
      <c r="F104" s="10" t="s">
        <v>318</v>
      </c>
      <c r="G104" s="10" t="s">
        <v>239</v>
      </c>
      <c r="H104" s="11">
        <v>29008</v>
      </c>
      <c r="I104" s="10" t="s">
        <v>260</v>
      </c>
      <c r="J104" s="10" t="s">
        <v>261</v>
      </c>
      <c r="K104" s="10" t="s">
        <v>243</v>
      </c>
      <c r="L104" s="10" t="s">
        <v>271</v>
      </c>
      <c r="M104" s="10">
        <v>9</v>
      </c>
      <c r="N104" s="10">
        <v>1200</v>
      </c>
      <c r="O104" s="10">
        <v>5</v>
      </c>
      <c r="P104" s="10">
        <v>10260</v>
      </c>
      <c r="Q104" s="10">
        <v>3</v>
      </c>
      <c r="R104" s="10" t="s">
        <v>277</v>
      </c>
      <c r="S104" s="10" t="s">
        <v>255</v>
      </c>
      <c r="T104" s="10" t="s">
        <v>247</v>
      </c>
      <c r="U104" s="10">
        <v>9518249687</v>
      </c>
      <c r="V104" s="12" t="s">
        <v>248</v>
      </c>
      <c r="W104" t="str">
        <f>IF(OR(Q104&lt;=2,V104="Cancelled"),"Blacklisted",IF(AND(P104&gt;100000,Q104&gt;=4,O104&lt;=10%,V104="Completed"),"Platinum",IF(AND(P104&gt;=50000,Q104&gt;=3,V104="Completed"),"Gold",IF(AND(P104&lt;50000,V104="Completed"),"Silver",""))))</f>
        <v/>
      </c>
      <c r="X104" t="str">
        <f>PROPER(TRIM(F104))</f>
        <v>Pooja Shah</v>
      </c>
      <c r="Y104" t="str">
        <f>LEFT(F104,3)&amp;MID(B104,2,3)&amp;LEFT(I104,2)</f>
        <v>Poo010De</v>
      </c>
      <c r="Z104" t="str">
        <f>IF(ISNUMBER(SEARCH("@",T104)),LOWER(TRIM(T104)),"invalid email")</f>
        <v>pooja.shah@company.com</v>
      </c>
      <c r="AA104">
        <f ca="1">IF(H103="","",IFERROR(DATEDIF(IF(ISNUMBER(H103),H103,DATE(VALUE(RIGHT(H103,4)),VALUE(MID(H103,3,2)),VALUE(LEFT(H103,2)))),TODAY(),"Y"),""))</f>
        <v>30</v>
      </c>
      <c r="AB104" t="str">
        <f>IF(OR(D104="",E104=""),"",IFERROR(DATE(MID(E104,7,4),MID(E104,4,2),LEFT(E104,2))-DATE(MID(D104,7,4),MID(D104,4,2),LEFT(D104,2)),""))</f>
        <v/>
      </c>
      <c r="AC104" t="str">
        <f>IF(E104="","Pending",IF(AB104&lt;=5,"On time","Delayed"))</f>
        <v>Delayed</v>
      </c>
      <c r="AD104" s="29" t="str">
        <f>IF(TRIM(S104)="","Not Assigned",S104)</f>
        <v>Ritika</v>
      </c>
      <c r="AE104" t="str">
        <f>PROPER(TRIM(F104))</f>
        <v>Pooja Shah</v>
      </c>
      <c r="AF104" t="str">
        <f>PROPER(TRIM(K104))</f>
        <v>Electronics</v>
      </c>
      <c r="AG104" t="str">
        <f>PROPER(TRIM(J104))</f>
        <v>North</v>
      </c>
      <c r="AH104" t="str">
        <f t="shared" si="2"/>
        <v>Electronics</v>
      </c>
      <c r="AI104" t="str">
        <f t="shared" si="3"/>
        <v>Electronics</v>
      </c>
      <c r="AK104">
        <f>IF(COUNTIF($A$2:A104,A104)=1,1,0)</f>
        <v>1</v>
      </c>
    </row>
    <row r="105" spans="1:37">
      <c r="A105" s="4" t="s">
        <v>523</v>
      </c>
      <c r="B105" s="5" t="s">
        <v>284</v>
      </c>
      <c r="C105" s="5" t="s">
        <v>280</v>
      </c>
      <c r="D105" s="5" t="s">
        <v>150</v>
      </c>
      <c r="E105" s="5" t="s">
        <v>162</v>
      </c>
      <c r="F105" s="5" t="s">
        <v>285</v>
      </c>
      <c r="G105" s="5" t="s">
        <v>239</v>
      </c>
      <c r="H105" s="6">
        <v>31393</v>
      </c>
      <c r="I105" s="5" t="s">
        <v>260</v>
      </c>
      <c r="J105" s="5" t="s">
        <v>261</v>
      </c>
      <c r="K105" s="5" t="s">
        <v>15</v>
      </c>
      <c r="L105" s="5" t="s">
        <v>282</v>
      </c>
      <c r="M105" s="5">
        <v>3</v>
      </c>
      <c r="N105" s="5">
        <v>3500</v>
      </c>
      <c r="O105" s="5">
        <v>10</v>
      </c>
      <c r="P105" s="5">
        <v>9450</v>
      </c>
      <c r="Q105" s="5">
        <v>2</v>
      </c>
      <c r="R105" s="5" t="s">
        <v>272</v>
      </c>
      <c r="S105" s="5" t="s">
        <v>312</v>
      </c>
      <c r="T105" s="5" t="s">
        <v>308</v>
      </c>
      <c r="U105" s="5">
        <v>9179328207</v>
      </c>
      <c r="V105" s="8" t="s">
        <v>265</v>
      </c>
      <c r="W105" t="str">
        <f>IF(OR(Q105&lt;=2,V105="Cancelled"),"Blacklisted",IF(AND(P105&gt;100000,Q105&gt;=4,O105&lt;=10%,V105="Completed"),"Platinum",IF(AND(P105&gt;=50000,Q105&gt;=3,V105="Completed"),"Gold",IF(AND(P105&lt;50000,V105="Completed"),"Silver",""))))</f>
        <v>Blacklisted</v>
      </c>
      <c r="X105" t="str">
        <f>PROPER(TRIM(F105))</f>
        <v>Priya Patel</v>
      </c>
      <c r="Y105" t="str">
        <f>LEFT(F105,3)&amp;MID(B105,2,3)&amp;LEFT(I105,2)</f>
        <v>Pri002De</v>
      </c>
      <c r="Z105" t="str">
        <f>IF(ISNUMBER(SEARCH("@",T105)),LOWER(TRIM(T105)),"invalid email")</f>
        <v>priya.patel@company.com</v>
      </c>
      <c r="AA105">
        <f ca="1">IF(H104="","",IFERROR(DATEDIF(IF(ISNUMBER(H104),H104,DATE(VALUE(RIGHT(H104,4)),VALUE(MID(H104,3,2)),VALUE(LEFT(H104,2)))),TODAY(),"Y"),""))</f>
        <v>47</v>
      </c>
      <c r="AB105">
        <f>IF(OR(D105="",E105=""),"",IFERROR(DATE(MID(E105,7,4),MID(E105,4,2),LEFT(E105,2))-DATE(MID(D105,7,4),MID(D105,4,2),LEFT(D105,2)),""))</f>
        <v>1</v>
      </c>
      <c r="AC105" t="str">
        <f>IF(E105="","Pending",IF(AB105&lt;=5,"On time","Delayed"))</f>
        <v>On time</v>
      </c>
      <c r="AD105" s="29" t="str">
        <f>IF(TRIM(S105)="","Not Assigned",S105)</f>
        <v>Karan</v>
      </c>
      <c r="AE105" t="str">
        <f>PROPER(TRIM(F105))</f>
        <v>Priya Patel</v>
      </c>
      <c r="AF105" t="str">
        <f>PROPER(TRIM(K105))</f>
        <v>Home Appliances</v>
      </c>
      <c r="AG105" t="str">
        <f>PROPER(TRIM(J105))</f>
        <v>North</v>
      </c>
      <c r="AH105" t="str">
        <f t="shared" si="2"/>
        <v>Home Appliances</v>
      </c>
      <c r="AI105" t="str">
        <f t="shared" si="3"/>
        <v>Home Appliances</v>
      </c>
      <c r="AK105">
        <f>IF(COUNTIF($A$2:A105,A105)=1,1,0)</f>
        <v>1</v>
      </c>
    </row>
    <row r="106" spans="1:37">
      <c r="A106" s="9" t="s">
        <v>524</v>
      </c>
      <c r="B106" s="10" t="s">
        <v>346</v>
      </c>
      <c r="C106" s="10" t="s">
        <v>267</v>
      </c>
      <c r="D106" s="10" t="s">
        <v>11</v>
      </c>
      <c r="E106" s="10" t="s">
        <v>525</v>
      </c>
      <c r="F106" s="10" t="s">
        <v>348</v>
      </c>
      <c r="G106" s="10" t="s">
        <v>269</v>
      </c>
      <c r="H106" s="10" t="s">
        <v>526</v>
      </c>
      <c r="I106" s="10" t="s">
        <v>286</v>
      </c>
      <c r="J106" s="10" t="s">
        <v>287</v>
      </c>
      <c r="K106" s="10" t="s">
        <v>243</v>
      </c>
      <c r="L106" s="10" t="s">
        <v>271</v>
      </c>
      <c r="M106" s="10">
        <v>6</v>
      </c>
      <c r="N106" s="10">
        <v>1200</v>
      </c>
      <c r="O106" s="10">
        <v>15</v>
      </c>
      <c r="P106" s="10">
        <v>6120</v>
      </c>
      <c r="Q106" s="10">
        <v>4</v>
      </c>
      <c r="R106" s="10" t="s">
        <v>277</v>
      </c>
      <c r="S106" s="10" t="s">
        <v>255</v>
      </c>
      <c r="T106" s="10" t="s">
        <v>350</v>
      </c>
      <c r="U106" s="10">
        <v>9778490728</v>
      </c>
      <c r="V106" s="12" t="s">
        <v>265</v>
      </c>
      <c r="W106" t="str">
        <f>IF(OR(Q106&lt;=2,V106="Cancelled"),"Blacklisted",IF(AND(P106&gt;100000,Q106&gt;=4,O106&lt;=10%,V106="Completed"),"Platinum",IF(AND(P106&gt;=50000,Q106&gt;=3,V106="Completed"),"Gold",IF(AND(P106&lt;50000,V106="Completed"),"Silver",""))))</f>
        <v>Blacklisted</v>
      </c>
      <c r="X106" t="str">
        <f>PROPER(TRIM(F106))</f>
        <v>Vikas Mehta</v>
      </c>
      <c r="Y106" t="str">
        <f>LEFT(F106,3)&amp;MID(B106,2,3)&amp;LEFT(I106,2)</f>
        <v>Vik005Mu</v>
      </c>
      <c r="Z106" t="str">
        <f>IF(ISNUMBER(SEARCH("@",T106)),LOWER(TRIM(T106)),"invalid email")</f>
        <v>vikas.mehta@company.com</v>
      </c>
      <c r="AA106">
        <f ca="1">IF(H105="","",IFERROR(DATEDIF(IF(ISNUMBER(H105),H105,DATE(VALUE(RIGHT(H105,4)),VALUE(MID(H105,3,2)),VALUE(LEFT(H105,2)))),TODAY(),"Y"),""))</f>
        <v>40</v>
      </c>
      <c r="AB106">
        <f>IF(OR(D106="",E106=""),"",IFERROR(DATE(MID(E106,7,4),MID(E106,4,2),LEFT(E106,2))-DATE(MID(D106,7,4),MID(D106,4,2),LEFT(D106,2)),""))</f>
        <v>5</v>
      </c>
      <c r="AC106" t="str">
        <f>IF(E106="","Pending",IF(AB106&lt;=5,"On time","Delayed"))</f>
        <v>On time</v>
      </c>
      <c r="AD106" s="29" t="str">
        <f>IF(TRIM(S106)="","Not Assigned",S106)</f>
        <v>Ritika</v>
      </c>
      <c r="AE106" t="str">
        <f>PROPER(TRIM(F106))</f>
        <v>Vikas Mehta</v>
      </c>
      <c r="AF106" t="str">
        <f>PROPER(TRIM(K106))</f>
        <v>Electronics</v>
      </c>
      <c r="AG106" t="str">
        <f>PROPER(TRIM(J106))</f>
        <v>West</v>
      </c>
      <c r="AH106" t="str">
        <f t="shared" si="2"/>
        <v>Electronics</v>
      </c>
      <c r="AI106" t="str">
        <f t="shared" si="3"/>
        <v>Electronics</v>
      </c>
      <c r="AK106">
        <f>IF(COUNTIF($A$2:A106,A106)=1,1,0)</f>
        <v>1</v>
      </c>
    </row>
    <row r="107" spans="1:37">
      <c r="A107" s="4" t="s">
        <v>527</v>
      </c>
      <c r="B107" s="5" t="s">
        <v>275</v>
      </c>
      <c r="C107" s="5" t="s">
        <v>267</v>
      </c>
      <c r="D107" s="6">
        <v>45937</v>
      </c>
      <c r="E107" s="6">
        <v>45998</v>
      </c>
      <c r="F107" s="5" t="s">
        <v>328</v>
      </c>
      <c r="G107" s="5" t="s">
        <v>269</v>
      </c>
      <c r="H107" s="6">
        <v>34096</v>
      </c>
      <c r="I107" s="5" t="s">
        <v>342</v>
      </c>
      <c r="J107" s="5" t="s">
        <v>261</v>
      </c>
      <c r="K107" s="5" t="s">
        <v>243</v>
      </c>
      <c r="L107" s="5" t="s">
        <v>271</v>
      </c>
      <c r="M107" s="5">
        <v>17</v>
      </c>
      <c r="N107" s="5">
        <v>1200</v>
      </c>
      <c r="O107" s="5">
        <v>15</v>
      </c>
      <c r="P107" s="5">
        <v>17340</v>
      </c>
      <c r="Q107" s="5">
        <v>1</v>
      </c>
      <c r="R107" s="5" t="s">
        <v>254</v>
      </c>
      <c r="S107" s="5" t="s">
        <v>246</v>
      </c>
      <c r="T107" s="5" t="s">
        <v>278</v>
      </c>
      <c r="U107" s="5">
        <v>9223058722</v>
      </c>
      <c r="V107" s="8" t="s">
        <v>257</v>
      </c>
      <c r="W107" t="str">
        <f>IF(OR(Q107&lt;=2,V107="Cancelled"),"Blacklisted",IF(AND(P107&gt;100000,Q107&gt;=4,O107&lt;=10%,V107="Completed"),"Platinum",IF(AND(P107&gt;=50000,Q107&gt;=3,V107="Completed"),"Gold",IF(AND(P107&lt;50000,V107="Completed"),"Silver",""))))</f>
        <v>Blacklisted</v>
      </c>
      <c r="X107" t="str">
        <f>PROPER(TRIM(F107))</f>
        <v>Arjun Rao</v>
      </c>
      <c r="Y107" t="str">
        <f>LEFT(F107,3)&amp;MID(B107,2,3)&amp;LEFT(I107,2)</f>
        <v>Arj007Ja</v>
      </c>
      <c r="Z107" t="str">
        <f>IF(ISNUMBER(SEARCH("@",T107)),LOWER(TRIM(T107)),"invalid email")</f>
        <v>arjun.rao@company.com</v>
      </c>
      <c r="AA107" t="str">
        <f ca="1">IF(H106="","",IFERROR(DATEDIF(IF(ISNUMBER(H106),H106,DATE(VALUE(RIGHT(H106,4)),VALUE(MID(H106,3,2)),VALUE(LEFT(H106,2)))),TODAY(),"Y"),""))</f>
        <v/>
      </c>
      <c r="AB107" t="str">
        <f>IF(OR(D107="",E107=""),"",IFERROR(DATE(MID(E107,7,4),MID(E107,4,2),LEFT(E107,2))-DATE(MID(D107,7,4),MID(D107,4,2),LEFT(D107,2)),""))</f>
        <v/>
      </c>
      <c r="AC107" t="str">
        <f>IF(E107="","Pending",IF(AB107&lt;=5,"On time","Delayed"))</f>
        <v>Delayed</v>
      </c>
      <c r="AD107" s="29" t="str">
        <f>IF(TRIM(S107)="","Not Assigned",S107)</f>
        <v>Aisha</v>
      </c>
      <c r="AE107" t="str">
        <f>PROPER(TRIM(F107))</f>
        <v>Arjun Rao</v>
      </c>
      <c r="AF107" t="str">
        <f>PROPER(TRIM(K107))</f>
        <v>Electronics</v>
      </c>
      <c r="AG107" t="str">
        <f>PROPER(TRIM(J107))</f>
        <v>North</v>
      </c>
      <c r="AH107" t="str">
        <f t="shared" si="2"/>
        <v>Electronics</v>
      </c>
      <c r="AI107" t="str">
        <f t="shared" si="3"/>
        <v>Electronics</v>
      </c>
      <c r="AK107">
        <f>IF(COUNTIF($A$2:A107,A107)=1,1,0)</f>
        <v>1</v>
      </c>
    </row>
    <row r="108" spans="1:37">
      <c r="A108" s="9" t="s">
        <v>528</v>
      </c>
      <c r="B108" s="10" t="s">
        <v>346</v>
      </c>
      <c r="C108" s="10" t="s">
        <v>322</v>
      </c>
      <c r="D108" s="10" t="s">
        <v>72</v>
      </c>
      <c r="E108" s="10" t="s">
        <v>375</v>
      </c>
      <c r="F108" s="10" t="s">
        <v>348</v>
      </c>
      <c r="G108" s="10" t="s">
        <v>269</v>
      </c>
      <c r="H108" s="10" t="s">
        <v>529</v>
      </c>
      <c r="I108" s="10" t="s">
        <v>241</v>
      </c>
      <c r="J108" s="10" t="s">
        <v>242</v>
      </c>
      <c r="K108" s="10" t="s">
        <v>15</v>
      </c>
      <c r="L108" s="10" t="s">
        <v>325</v>
      </c>
      <c r="M108" s="10">
        <v>15</v>
      </c>
      <c r="N108" s="10">
        <v>8500</v>
      </c>
      <c r="O108" s="10">
        <v>0</v>
      </c>
      <c r="P108" s="10">
        <v>127500</v>
      </c>
      <c r="Q108" s="10">
        <v>3</v>
      </c>
      <c r="R108" s="10" t="s">
        <v>254</v>
      </c>
      <c r="S108" s="10" t="s">
        <v>292</v>
      </c>
      <c r="T108" s="10" t="s">
        <v>350</v>
      </c>
      <c r="U108" s="10">
        <v>9999889465</v>
      </c>
      <c r="V108" s="12" t="s">
        <v>248</v>
      </c>
      <c r="W108" t="str">
        <f>IF(OR(Q108&lt;=2,V108="Cancelled"),"Blacklisted",IF(AND(P108&gt;100000,Q108&gt;=4,O108&lt;=10%,V108="Completed"),"Platinum",IF(AND(P108&gt;=50000,Q108&gt;=3,V108="Completed"),"Gold",IF(AND(P108&lt;50000,V108="Completed"),"Silver",""))))</f>
        <v/>
      </c>
      <c r="X108" t="str">
        <f>PROPER(TRIM(F108))</f>
        <v>Vikas Mehta</v>
      </c>
      <c r="Y108" t="str">
        <f>LEFT(F108,3)&amp;MID(B108,2,3)&amp;LEFT(I108,2)</f>
        <v>Vik005Be</v>
      </c>
      <c r="Z108" t="str">
        <f>IF(ISNUMBER(SEARCH("@",T108)),LOWER(TRIM(T108)),"invalid email")</f>
        <v>vikas.mehta@company.com</v>
      </c>
      <c r="AA108">
        <f ca="1">IF(H107="","",IFERROR(DATEDIF(IF(ISNUMBER(H107),H107,DATE(VALUE(RIGHT(H107,4)),VALUE(MID(H107,3,2)),VALUE(LEFT(H107,2)))),TODAY(),"Y"),""))</f>
        <v>33</v>
      </c>
      <c r="AB108">
        <f>IF(OR(D108="",E108=""),"",IFERROR(DATE(MID(E108,7,4),MID(E108,4,2),LEFT(E108,2))-DATE(MID(D108,7,4),MID(D108,4,2),LEFT(D108,2)),""))</f>
        <v>8</v>
      </c>
      <c r="AC108" t="str">
        <f>IF(E108="","Pending",IF(AB108&lt;=5,"On time","Delayed"))</f>
        <v>Delayed</v>
      </c>
      <c r="AD108" s="29" t="str">
        <f>IF(TRIM(S108)="","Not Assigned",S108)</f>
        <v>Neha</v>
      </c>
      <c r="AE108" t="str">
        <f>PROPER(TRIM(F108))</f>
        <v>Vikas Mehta</v>
      </c>
      <c r="AF108" t="str">
        <f>PROPER(TRIM(K108))</f>
        <v>Home Appliances</v>
      </c>
      <c r="AG108" t="str">
        <f>PROPER(TRIM(J108))</f>
        <v>South</v>
      </c>
      <c r="AH108" t="str">
        <f t="shared" si="2"/>
        <v>Home Appliances</v>
      </c>
      <c r="AI108" t="str">
        <f t="shared" si="3"/>
        <v>Home Appliances</v>
      </c>
      <c r="AK108">
        <f>IF(COUNTIF($A$2:A108,A108)=1,1,0)</f>
        <v>1</v>
      </c>
    </row>
    <row r="109" spans="1:37">
      <c r="A109" s="4" t="s">
        <v>530</v>
      </c>
      <c r="B109" s="5" t="s">
        <v>299</v>
      </c>
      <c r="C109" s="5" t="s">
        <v>267</v>
      </c>
      <c r="D109" s="5" t="s">
        <v>12</v>
      </c>
      <c r="E109" s="5" t="s">
        <v>77</v>
      </c>
      <c r="F109" s="5" t="s">
        <v>301</v>
      </c>
      <c r="G109" s="5" t="s">
        <v>269</v>
      </c>
      <c r="H109" s="6">
        <v>31361</v>
      </c>
      <c r="I109" s="5" t="s">
        <v>252</v>
      </c>
      <c r="J109" s="5" t="s">
        <v>242</v>
      </c>
      <c r="K109" s="5" t="s">
        <v>243</v>
      </c>
      <c r="L109" s="5" t="s">
        <v>271</v>
      </c>
      <c r="M109" s="5">
        <v>1</v>
      </c>
      <c r="N109" s="5">
        <v>1200</v>
      </c>
      <c r="O109" s="5">
        <v>20</v>
      </c>
      <c r="P109" s="5">
        <v>960</v>
      </c>
      <c r="Q109" s="5">
        <v>1</v>
      </c>
      <c r="R109" s="5" t="s">
        <v>277</v>
      </c>
      <c r="S109" s="5" t="s">
        <v>292</v>
      </c>
      <c r="T109" s="5" t="s">
        <v>302</v>
      </c>
      <c r="U109" s="5">
        <v>9489687402</v>
      </c>
      <c r="V109" s="8" t="s">
        <v>248</v>
      </c>
      <c r="W109" t="str">
        <f>IF(OR(Q109&lt;=2,V109="Cancelled"),"Blacklisted",IF(AND(P109&gt;100000,Q109&gt;=4,O109&lt;=10%,V109="Completed"),"Platinum",IF(AND(P109&gt;=50000,Q109&gt;=3,V109="Completed"),"Gold",IF(AND(P109&lt;50000,V109="Completed"),"Silver",""))))</f>
        <v>Blacklisted</v>
      </c>
      <c r="X109" t="str">
        <f>PROPER(TRIM(F109))</f>
        <v>Rohit Singh</v>
      </c>
      <c r="Y109" t="str">
        <f>LEFT(F109,3)&amp;MID(B109,2,3)&amp;LEFT(I109,2)</f>
        <v>Roh003Hy</v>
      </c>
      <c r="Z109" t="str">
        <f>IF(ISNUMBER(SEARCH("@",T109)),LOWER(TRIM(T109)),"invalid email")</f>
        <v>rohit.singh@company.com</v>
      </c>
      <c r="AA109" t="str">
        <f ca="1">IF(H108="","",IFERROR(DATEDIF(IF(ISNUMBER(H108),H108,DATE(VALUE(RIGHT(H108,4)),VALUE(MID(H108,3,2)),VALUE(LEFT(H108,2)))),TODAY(),"Y"),""))</f>
        <v/>
      </c>
      <c r="AB109">
        <f>IF(OR(D109="",E109=""),"",IFERROR(DATE(MID(E109,7,4),MID(E109,4,2),LEFT(E109,2))-DATE(MID(D109,7,4),MID(D109,4,2),LEFT(D109,2)),""))</f>
        <v>6</v>
      </c>
      <c r="AC109" t="str">
        <f>IF(E109="","Pending",IF(AB109&lt;=5,"On time","Delayed"))</f>
        <v>Delayed</v>
      </c>
      <c r="AD109" s="29" t="str">
        <f>IF(TRIM(S109)="","Not Assigned",S109)</f>
        <v>Neha</v>
      </c>
      <c r="AE109" t="str">
        <f>PROPER(TRIM(F109))</f>
        <v>Rohit Singh</v>
      </c>
      <c r="AF109" t="str">
        <f>PROPER(TRIM(K109))</f>
        <v>Electronics</v>
      </c>
      <c r="AG109" t="str">
        <f>PROPER(TRIM(J109))</f>
        <v>South</v>
      </c>
      <c r="AH109" t="str">
        <f t="shared" si="2"/>
        <v>Electronics</v>
      </c>
      <c r="AI109" t="str">
        <f t="shared" si="3"/>
        <v>Electronics</v>
      </c>
      <c r="AK109">
        <f>IF(COUNTIF($A$2:A109,A109)=1,1,0)</f>
        <v>1</v>
      </c>
    </row>
    <row r="110" spans="1:37">
      <c r="A110" s="9" t="s">
        <v>531</v>
      </c>
      <c r="B110" s="10" t="s">
        <v>299</v>
      </c>
      <c r="C110" s="10" t="s">
        <v>322</v>
      </c>
      <c r="D110" s="11">
        <v>45904</v>
      </c>
      <c r="E110" s="10" t="s">
        <v>67</v>
      </c>
      <c r="F110" s="10" t="s">
        <v>301</v>
      </c>
      <c r="G110" s="10" t="s">
        <v>269</v>
      </c>
      <c r="H110" s="11">
        <v>36932</v>
      </c>
      <c r="I110" s="10" t="s">
        <v>379</v>
      </c>
      <c r="J110" s="10" t="s">
        <v>21</v>
      </c>
      <c r="K110" s="10" t="s">
        <v>15</v>
      </c>
      <c r="L110" s="10" t="s">
        <v>325</v>
      </c>
      <c r="M110" s="10">
        <v>5</v>
      </c>
      <c r="N110" s="10">
        <v>8500</v>
      </c>
      <c r="O110" s="10">
        <v>10</v>
      </c>
      <c r="P110" s="10">
        <v>38250</v>
      </c>
      <c r="Q110" s="10">
        <v>1</v>
      </c>
      <c r="R110" s="10" t="s">
        <v>272</v>
      </c>
      <c r="S110" s="10" t="s">
        <v>246</v>
      </c>
      <c r="T110" s="10" t="s">
        <v>302</v>
      </c>
      <c r="U110" s="10">
        <v>9236963301</v>
      </c>
      <c r="V110" s="12" t="s">
        <v>257</v>
      </c>
      <c r="W110" t="str">
        <f>IF(OR(Q110&lt;=2,V110="Cancelled"),"Blacklisted",IF(AND(P110&gt;100000,Q110&gt;=4,O110&lt;=10%,V110="Completed"),"Platinum",IF(AND(P110&gt;=50000,Q110&gt;=3,V110="Completed"),"Gold",IF(AND(P110&lt;50000,V110="Completed"),"Silver",""))))</f>
        <v>Blacklisted</v>
      </c>
      <c r="X110" t="str">
        <f>PROPER(TRIM(F110))</f>
        <v>Rohit Singh</v>
      </c>
      <c r="Y110" t="str">
        <f>LEFT(F110,3)&amp;MID(B110,2,3)&amp;LEFT(I110,2)</f>
        <v>Roh003Ko</v>
      </c>
      <c r="Z110" t="str">
        <f>IF(ISNUMBER(SEARCH("@",T110)),LOWER(TRIM(T110)),"invalid email")</f>
        <v>rohit.singh@company.com</v>
      </c>
      <c r="AA110">
        <f ca="1">IF(H109="","",IFERROR(DATEDIF(IF(ISNUMBER(H109),H109,DATE(VALUE(RIGHT(H109,4)),VALUE(MID(H109,3,2)),VALUE(LEFT(H109,2)))),TODAY(),"Y"),""))</f>
        <v>40</v>
      </c>
      <c r="AB110" t="str">
        <f>IF(OR(D110="",E110=""),"",IFERROR(DATE(MID(E110,7,4),MID(E110,4,2),LEFT(E110,2))-DATE(MID(D110,7,4),MID(D110,4,2),LEFT(D110,2)),""))</f>
        <v/>
      </c>
      <c r="AC110" t="str">
        <f>IF(E110="","Pending",IF(AB110&lt;=5,"On time","Delayed"))</f>
        <v>Delayed</v>
      </c>
      <c r="AD110" s="29" t="str">
        <f>IF(TRIM(S110)="","Not Assigned",S110)</f>
        <v>Aisha</v>
      </c>
      <c r="AE110" t="str">
        <f>PROPER(TRIM(F110))</f>
        <v>Rohit Singh</v>
      </c>
      <c r="AF110" t="str">
        <f>PROPER(TRIM(K110))</f>
        <v>Home Appliances</v>
      </c>
      <c r="AG110" t="str">
        <f>PROPER(TRIM(J110))</f>
        <v>East</v>
      </c>
      <c r="AH110" t="str">
        <f t="shared" si="2"/>
        <v>Home Appliances</v>
      </c>
      <c r="AI110" t="str">
        <f t="shared" si="3"/>
        <v>Home Appliances</v>
      </c>
      <c r="AK110">
        <f>IF(COUNTIF($A$2:A110,A110)=1,1,0)</f>
        <v>1</v>
      </c>
    </row>
    <row r="111" spans="1:37">
      <c r="A111" s="4" t="s">
        <v>532</v>
      </c>
      <c r="B111" s="5" t="s">
        <v>235</v>
      </c>
      <c r="C111" s="5" t="s">
        <v>362</v>
      </c>
      <c r="D111" s="6">
        <v>46085</v>
      </c>
      <c r="E111" s="6">
        <v>46299</v>
      </c>
      <c r="F111" s="5" t="s">
        <v>318</v>
      </c>
      <c r="G111" s="5" t="s">
        <v>239</v>
      </c>
      <c r="H111" s="6">
        <v>31628</v>
      </c>
      <c r="I111" s="5" t="s">
        <v>252</v>
      </c>
      <c r="J111" s="5" t="s">
        <v>242</v>
      </c>
      <c r="K111" s="5" t="s">
        <v>295</v>
      </c>
      <c r="L111" s="5" t="s">
        <v>363</v>
      </c>
      <c r="M111" s="5">
        <v>12</v>
      </c>
      <c r="N111" s="5">
        <v>45</v>
      </c>
      <c r="O111" s="5">
        <v>5</v>
      </c>
      <c r="P111" s="5">
        <v>513</v>
      </c>
      <c r="Q111" s="5">
        <v>2</v>
      </c>
      <c r="R111" s="5" t="s">
        <v>245</v>
      </c>
      <c r="S111" s="5" t="s">
        <v>255</v>
      </c>
      <c r="T111" s="5" t="s">
        <v>247</v>
      </c>
      <c r="U111" s="5">
        <v>9653594592</v>
      </c>
      <c r="V111" s="8" t="s">
        <v>265</v>
      </c>
      <c r="W111" t="str">
        <f>IF(OR(Q111&lt;=2,V111="Cancelled"),"Blacklisted",IF(AND(P111&gt;100000,Q111&gt;=4,O111&lt;=10%,V111="Completed"),"Platinum",IF(AND(P111&gt;=50000,Q111&gt;=3,V111="Completed"),"Gold",IF(AND(P111&lt;50000,V111="Completed"),"Silver",""))))</f>
        <v>Blacklisted</v>
      </c>
      <c r="X111" t="str">
        <f>PROPER(TRIM(F111))</f>
        <v>Pooja Shah</v>
      </c>
      <c r="Y111" t="str">
        <f>LEFT(F111,3)&amp;MID(B111,2,3)&amp;LEFT(I111,2)</f>
        <v>Poo010Hy</v>
      </c>
      <c r="Z111" t="str">
        <f>IF(ISNUMBER(SEARCH("@",T111)),LOWER(TRIM(T111)),"invalid email")</f>
        <v>pooja.shah@company.com</v>
      </c>
      <c r="AA111">
        <f ca="1">IF(H110="","",IFERROR(DATEDIF(IF(ISNUMBER(H110),H110,DATE(VALUE(RIGHT(H110,4)),VALUE(MID(H110,3,2)),VALUE(LEFT(H110,2)))),TODAY(),"Y"),""))</f>
        <v>25</v>
      </c>
      <c r="AB111" t="str">
        <f>IF(OR(D111="",E111=""),"",IFERROR(DATE(MID(E111,7,4),MID(E111,4,2),LEFT(E111,2))-DATE(MID(D111,7,4),MID(D111,4,2),LEFT(D111,2)),""))</f>
        <v/>
      </c>
      <c r="AC111" t="str">
        <f>IF(E111="","Pending",IF(AB111&lt;=5,"On time","Delayed"))</f>
        <v>Delayed</v>
      </c>
      <c r="AD111" s="29" t="str">
        <f>IF(TRIM(S111)="","Not Assigned",S111)</f>
        <v>Ritika</v>
      </c>
      <c r="AE111" t="str">
        <f>PROPER(TRIM(F111))</f>
        <v>Pooja Shah</v>
      </c>
      <c r="AF111" t="str">
        <f>PROPER(TRIM(K111))</f>
        <v>Stationery</v>
      </c>
      <c r="AG111" t="str">
        <f>PROPER(TRIM(J111))</f>
        <v>South</v>
      </c>
      <c r="AH111" t="str">
        <f t="shared" si="2"/>
        <v>Stationery</v>
      </c>
      <c r="AI111" t="str">
        <f t="shared" si="3"/>
        <v>Stationery</v>
      </c>
      <c r="AK111">
        <f>IF(COUNTIF($A$2:A111,A111)=1,1,0)</f>
        <v>1</v>
      </c>
    </row>
    <row r="112" spans="1:37">
      <c r="A112" s="9" t="s">
        <v>533</v>
      </c>
      <c r="B112" s="10" t="s">
        <v>346</v>
      </c>
      <c r="C112" s="10" t="s">
        <v>294</v>
      </c>
      <c r="D112" s="10" t="s">
        <v>126</v>
      </c>
      <c r="E112" s="10" t="s">
        <v>182</v>
      </c>
      <c r="F112" s="10" t="s">
        <v>348</v>
      </c>
      <c r="G112" s="10" t="s">
        <v>269</v>
      </c>
      <c r="H112" s="10" t="s">
        <v>534</v>
      </c>
      <c r="I112" s="10" t="s">
        <v>291</v>
      </c>
      <c r="J112" s="10" t="s">
        <v>287</v>
      </c>
      <c r="K112" s="10" t="s">
        <v>295</v>
      </c>
      <c r="L112" s="10" t="s">
        <v>296</v>
      </c>
      <c r="M112" s="10">
        <v>5</v>
      </c>
      <c r="N112" s="10">
        <v>60</v>
      </c>
      <c r="O112" s="10">
        <v>5</v>
      </c>
      <c r="P112" s="10">
        <v>285</v>
      </c>
      <c r="Q112" s="10">
        <v>2</v>
      </c>
      <c r="R112" s="10" t="s">
        <v>254</v>
      </c>
      <c r="S112" s="10" t="s">
        <v>246</v>
      </c>
      <c r="T112" s="10" t="s">
        <v>350</v>
      </c>
      <c r="U112" s="10">
        <v>9781970426</v>
      </c>
      <c r="V112" s="12" t="s">
        <v>257</v>
      </c>
      <c r="W112" t="str">
        <f>IF(OR(Q112&lt;=2,V112="Cancelled"),"Blacklisted",IF(AND(P112&gt;100000,Q112&gt;=4,O112&lt;=10%,V112="Completed"),"Platinum",IF(AND(P112&gt;=50000,Q112&gt;=3,V112="Completed"),"Gold",IF(AND(P112&lt;50000,V112="Completed"),"Silver",""))))</f>
        <v>Blacklisted</v>
      </c>
      <c r="X112" t="str">
        <f>PROPER(TRIM(F112))</f>
        <v>Vikas Mehta</v>
      </c>
      <c r="Y112" t="str">
        <f>LEFT(F112,3)&amp;MID(B112,2,3)&amp;LEFT(I112,2)</f>
        <v>Vik005Pu</v>
      </c>
      <c r="Z112" t="str">
        <f>IF(ISNUMBER(SEARCH("@",T112)),LOWER(TRIM(T112)),"invalid email")</f>
        <v>vikas.mehta@company.com</v>
      </c>
      <c r="AA112">
        <f ca="1">IF(H111="","",IFERROR(DATEDIF(IF(ISNUMBER(H111),H111,DATE(VALUE(RIGHT(H111,4)),VALUE(MID(H111,3,2)),VALUE(LEFT(H111,2)))),TODAY(),"Y"),""))</f>
        <v>40</v>
      </c>
      <c r="AB112">
        <f>IF(OR(D112="",E112=""),"",IFERROR(DATE(MID(E112,7,4),MID(E112,4,2),LEFT(E112,2))-DATE(MID(D112,7,4),MID(D112,4,2),LEFT(D112,2)),""))</f>
        <v>5</v>
      </c>
      <c r="AC112" t="str">
        <f>IF(E112="","Pending",IF(AB112&lt;=5,"On time","Delayed"))</f>
        <v>On time</v>
      </c>
      <c r="AD112" s="29" t="str">
        <f>IF(TRIM(S112)="","Not Assigned",S112)</f>
        <v>Aisha</v>
      </c>
      <c r="AE112" t="str">
        <f>PROPER(TRIM(F112))</f>
        <v>Vikas Mehta</v>
      </c>
      <c r="AF112" t="str">
        <f>PROPER(TRIM(K112))</f>
        <v>Stationery</v>
      </c>
      <c r="AG112" t="str">
        <f>PROPER(TRIM(J112))</f>
        <v>West</v>
      </c>
      <c r="AH112" t="str">
        <f t="shared" si="2"/>
        <v>Stationery</v>
      </c>
      <c r="AI112" t="str">
        <f t="shared" si="3"/>
        <v>Stationery</v>
      </c>
      <c r="AK112">
        <f>IF(COUNTIF($A$2:A112,A112)=1,1,0)</f>
        <v>1</v>
      </c>
    </row>
    <row r="113" spans="1:37">
      <c r="A113" s="4" t="s">
        <v>535</v>
      </c>
      <c r="B113" s="5" t="s">
        <v>235</v>
      </c>
      <c r="C113" s="5" t="s">
        <v>330</v>
      </c>
      <c r="D113" s="6">
        <v>45720</v>
      </c>
      <c r="E113" s="5" t="s">
        <v>536</v>
      </c>
      <c r="F113" s="5" t="s">
        <v>318</v>
      </c>
      <c r="G113" s="5" t="s">
        <v>239</v>
      </c>
      <c r="H113" s="6">
        <v>34642</v>
      </c>
      <c r="I113" s="5" t="s">
        <v>379</v>
      </c>
      <c r="J113" s="5" t="s">
        <v>21</v>
      </c>
      <c r="K113" s="5" t="s">
        <v>243</v>
      </c>
      <c r="L113" s="5" t="s">
        <v>333</v>
      </c>
      <c r="M113" s="5">
        <v>3</v>
      </c>
      <c r="N113" s="5">
        <v>700</v>
      </c>
      <c r="O113" s="5">
        <v>0</v>
      </c>
      <c r="P113" s="5">
        <v>2100</v>
      </c>
      <c r="Q113" s="5">
        <v>4</v>
      </c>
      <c r="R113" s="5" t="s">
        <v>272</v>
      </c>
      <c r="S113" s="5" t="s">
        <v>246</v>
      </c>
      <c r="T113" s="5" t="s">
        <v>247</v>
      </c>
      <c r="U113" s="5">
        <v>9862165194</v>
      </c>
      <c r="V113" s="8" t="s">
        <v>257</v>
      </c>
      <c r="W113" t="str">
        <f>IF(OR(Q113&lt;=2,V113="Cancelled"),"Blacklisted",IF(AND(P113&gt;100000,Q113&gt;=4,O113&lt;=10%,V113="Completed"),"Platinum",IF(AND(P113&gt;=50000,Q113&gt;=3,V113="Completed"),"Gold",IF(AND(P113&lt;50000,V113="Completed"),"Silver",""))))</f>
        <v>Silver</v>
      </c>
      <c r="X113" t="str">
        <f>PROPER(TRIM(F113))</f>
        <v>Pooja Shah</v>
      </c>
      <c r="Y113" t="str">
        <f>LEFT(F113,3)&amp;MID(B113,2,3)&amp;LEFT(I113,2)</f>
        <v>Poo010Ko</v>
      </c>
      <c r="Z113" t="str">
        <f>IF(ISNUMBER(SEARCH("@",T113)),LOWER(TRIM(T113)),"invalid email")</f>
        <v>pooja.shah@company.com</v>
      </c>
      <c r="AA113" t="str">
        <f ca="1">IF(H112="","",IFERROR(DATEDIF(IF(ISNUMBER(H112),H112,DATE(VALUE(RIGHT(H112,4)),VALUE(MID(H112,3,2)),VALUE(LEFT(H112,2)))),TODAY(),"Y"),""))</f>
        <v/>
      </c>
      <c r="AB113" t="str">
        <f>IF(OR(D113="",E113=""),"",IFERROR(DATE(MID(E113,7,4),MID(E113,4,2),LEFT(E113,2))-DATE(MID(D113,7,4),MID(D113,4,2),LEFT(D113,2)),""))</f>
        <v/>
      </c>
      <c r="AC113" t="str">
        <f>IF(E113="","Pending",IF(AB113&lt;=5,"On time","Delayed"))</f>
        <v>Delayed</v>
      </c>
      <c r="AD113" s="29" t="str">
        <f>IF(TRIM(S113)="","Not Assigned",S113)</f>
        <v>Aisha</v>
      </c>
      <c r="AE113" t="str">
        <f>PROPER(TRIM(F113))</f>
        <v>Pooja Shah</v>
      </c>
      <c r="AF113" t="str">
        <f>PROPER(TRIM(K113))</f>
        <v>Electronics</v>
      </c>
      <c r="AG113" t="str">
        <f>PROPER(TRIM(J113))</f>
        <v>East</v>
      </c>
      <c r="AH113" t="str">
        <f t="shared" si="2"/>
        <v>Electronics</v>
      </c>
      <c r="AI113" t="str">
        <f t="shared" si="3"/>
        <v>Electronics</v>
      </c>
      <c r="AK113">
        <f>IF(COUNTIF($A$2:A113,A113)=1,1,0)</f>
        <v>1</v>
      </c>
    </row>
    <row r="114" spans="1:37">
      <c r="A114" s="9" t="s">
        <v>537</v>
      </c>
      <c r="B114" s="10" t="s">
        <v>321</v>
      </c>
      <c r="C114" s="10" t="s">
        <v>347</v>
      </c>
      <c r="D114" s="10" t="s">
        <v>141</v>
      </c>
      <c r="E114" s="10" t="s">
        <v>511</v>
      </c>
      <c r="F114" s="10" t="s">
        <v>408</v>
      </c>
      <c r="G114" s="10" t="s">
        <v>239</v>
      </c>
      <c r="H114" s="11">
        <v>33699</v>
      </c>
      <c r="I114" s="10" t="s">
        <v>260</v>
      </c>
      <c r="J114" s="10" t="s">
        <v>261</v>
      </c>
      <c r="K114" s="10" t="s">
        <v>295</v>
      </c>
      <c r="L114" s="10" t="s">
        <v>349</v>
      </c>
      <c r="M114" s="10">
        <v>6</v>
      </c>
      <c r="N114" s="10">
        <v>20</v>
      </c>
      <c r="O114" s="10">
        <v>15</v>
      </c>
      <c r="P114" s="10">
        <v>102</v>
      </c>
      <c r="Q114" s="10">
        <v>5</v>
      </c>
      <c r="R114" s="10" t="s">
        <v>272</v>
      </c>
      <c r="S114" s="10" t="s">
        <v>312</v>
      </c>
      <c r="T114" s="10" t="s">
        <v>326</v>
      </c>
      <c r="U114" s="10">
        <v>9661280388</v>
      </c>
      <c r="V114" s="12" t="s">
        <v>257</v>
      </c>
      <c r="W114" t="str">
        <f>IF(OR(Q114&lt;=2,V114="Cancelled"),"Blacklisted",IF(AND(P114&gt;100000,Q114&gt;=4,O114&lt;=10%,V114="Completed"),"Platinum",IF(AND(P114&gt;=50000,Q114&gt;=3,V114="Completed"),"Gold",IF(AND(P114&lt;50000,V114="Completed"),"Silver",""))))</f>
        <v>Silver</v>
      </c>
      <c r="X114" t="str">
        <f>PROPER(TRIM(F114))</f>
        <v>Anita Gupta</v>
      </c>
      <c r="Y114" t="str">
        <f>LEFT(F114,3)&amp;MID(B114,2,3)&amp;LEFT(I114,2)</f>
        <v>Ani004De</v>
      </c>
      <c r="Z114" t="str">
        <f>IF(ISNUMBER(SEARCH("@",T114)),LOWER(TRIM(T114)),"invalid email")</f>
        <v>anita.gupta@company.com</v>
      </c>
      <c r="AA114">
        <f ca="1">IF(H113="","",IFERROR(DATEDIF(IF(ISNUMBER(H113),H113,DATE(VALUE(RIGHT(H113,4)),VALUE(MID(H113,3,2)),VALUE(LEFT(H113,2)))),TODAY(),"Y"),""))</f>
        <v>31</v>
      </c>
      <c r="AB114">
        <f>IF(OR(D114="",E114=""),"",IFERROR(DATE(MID(E114,7,4),MID(E114,4,2),LEFT(E114,2))-DATE(MID(D114,7,4),MID(D114,4,2),LEFT(D114,2)),""))</f>
        <v>4</v>
      </c>
      <c r="AC114" t="str">
        <f>IF(E114="","Pending",IF(AB114&lt;=5,"On time","Delayed"))</f>
        <v>On time</v>
      </c>
      <c r="AD114" s="29" t="str">
        <f>IF(TRIM(S114)="","Not Assigned",S114)</f>
        <v>Karan</v>
      </c>
      <c r="AE114" t="str">
        <f>PROPER(TRIM(F114))</f>
        <v>Anita Gupta</v>
      </c>
      <c r="AF114" t="str">
        <f>PROPER(TRIM(K114))</f>
        <v>Stationery</v>
      </c>
      <c r="AG114" t="str">
        <f>PROPER(TRIM(J114))</f>
        <v>North</v>
      </c>
      <c r="AH114" t="str">
        <f t="shared" si="2"/>
        <v>Stationery</v>
      </c>
      <c r="AI114" t="str">
        <f t="shared" si="3"/>
        <v>Stationery</v>
      </c>
      <c r="AK114">
        <f>IF(COUNTIF($A$2:A114,A114)=1,1,0)</f>
        <v>1</v>
      </c>
    </row>
    <row r="115" spans="1:37">
      <c r="A115" s="4" t="s">
        <v>538</v>
      </c>
      <c r="B115" s="5" t="s">
        <v>284</v>
      </c>
      <c r="C115" s="5" t="s">
        <v>330</v>
      </c>
      <c r="D115" s="5" t="s">
        <v>135</v>
      </c>
      <c r="E115" s="5" t="s">
        <v>539</v>
      </c>
      <c r="F115" s="5" t="s">
        <v>285</v>
      </c>
      <c r="G115" s="5" t="s">
        <v>239</v>
      </c>
      <c r="H115" s="5" t="s">
        <v>540</v>
      </c>
      <c r="I115" s="5" t="s">
        <v>241</v>
      </c>
      <c r="J115" s="5" t="s">
        <v>242</v>
      </c>
      <c r="K115" s="5" t="s">
        <v>243</v>
      </c>
      <c r="L115" s="5" t="s">
        <v>333</v>
      </c>
      <c r="M115" s="5">
        <v>2</v>
      </c>
      <c r="N115" s="5">
        <v>700</v>
      </c>
      <c r="O115" s="5">
        <v>15</v>
      </c>
      <c r="P115" s="5">
        <v>1190</v>
      </c>
      <c r="Q115" s="5">
        <v>4</v>
      </c>
      <c r="R115" s="5" t="s">
        <v>254</v>
      </c>
      <c r="S115" s="5" t="s">
        <v>312</v>
      </c>
      <c r="T115" s="5" t="s">
        <v>308</v>
      </c>
      <c r="U115" s="5">
        <v>9896985355</v>
      </c>
      <c r="V115" s="8" t="s">
        <v>248</v>
      </c>
      <c r="W115" t="str">
        <f>IF(OR(Q115&lt;=2,V115="Cancelled"),"Blacklisted",IF(AND(P115&gt;100000,Q115&gt;=4,O115&lt;=10%,V115="Completed"),"Platinum",IF(AND(P115&gt;=50000,Q115&gt;=3,V115="Completed"),"Gold",IF(AND(P115&lt;50000,V115="Completed"),"Silver",""))))</f>
        <v/>
      </c>
      <c r="X115" t="str">
        <f>PROPER(TRIM(F115))</f>
        <v>Priya Patel</v>
      </c>
      <c r="Y115" t="str">
        <f>LEFT(F115,3)&amp;MID(B115,2,3)&amp;LEFT(I115,2)</f>
        <v>Pri002Be</v>
      </c>
      <c r="Z115" t="str">
        <f>IF(ISNUMBER(SEARCH("@",T115)),LOWER(TRIM(T115)),"invalid email")</f>
        <v>priya.patel@company.com</v>
      </c>
      <c r="AA115">
        <f ca="1">IF(H114="","",IFERROR(DATEDIF(IF(ISNUMBER(H114),H114,DATE(VALUE(RIGHT(H114,4)),VALUE(MID(H114,3,2)),VALUE(LEFT(H114,2)))),TODAY(),"Y"),""))</f>
        <v>34</v>
      </c>
      <c r="AB115">
        <f>IF(OR(D115="",E115=""),"",IFERROR(DATE(MID(E115,7,4),MID(E115,4,2),LEFT(E115,2))-DATE(MID(D115,7,4),MID(D115,4,2),LEFT(D115,2)),""))</f>
        <v>7</v>
      </c>
      <c r="AC115" t="str">
        <f>IF(E115="","Pending",IF(AB115&lt;=5,"On time","Delayed"))</f>
        <v>Delayed</v>
      </c>
      <c r="AD115" s="29" t="str">
        <f>IF(TRIM(S115)="","Not Assigned",S115)</f>
        <v>Karan</v>
      </c>
      <c r="AE115" t="str">
        <f>PROPER(TRIM(F115))</f>
        <v>Priya Patel</v>
      </c>
      <c r="AF115" t="str">
        <f>PROPER(TRIM(K115))</f>
        <v>Electronics</v>
      </c>
      <c r="AG115" t="str">
        <f>PROPER(TRIM(J115))</f>
        <v>South</v>
      </c>
      <c r="AH115" t="str">
        <f t="shared" si="2"/>
        <v>Electronics</v>
      </c>
      <c r="AI115" t="str">
        <f t="shared" si="3"/>
        <v>Electronics</v>
      </c>
      <c r="AK115">
        <f>IF(COUNTIF($A$2:A115,A115)=1,1,0)</f>
        <v>1</v>
      </c>
    </row>
    <row r="116" spans="1:37">
      <c r="A116" s="9" t="s">
        <v>541</v>
      </c>
      <c r="B116" s="10" t="s">
        <v>392</v>
      </c>
      <c r="C116" s="10" t="s">
        <v>362</v>
      </c>
      <c r="D116" s="10" t="s">
        <v>204</v>
      </c>
      <c r="E116" s="11">
        <v>45967</v>
      </c>
      <c r="F116" s="10" t="s">
        <v>323</v>
      </c>
      <c r="G116" s="10" t="s">
        <v>269</v>
      </c>
      <c r="H116" s="11">
        <v>34889</v>
      </c>
      <c r="I116" s="10" t="s">
        <v>291</v>
      </c>
      <c r="J116" s="10" t="s">
        <v>287</v>
      </c>
      <c r="K116" s="10" t="s">
        <v>295</v>
      </c>
      <c r="L116" s="10" t="s">
        <v>363</v>
      </c>
      <c r="M116" s="10">
        <v>16</v>
      </c>
      <c r="N116" s="10">
        <v>45</v>
      </c>
      <c r="O116" s="10">
        <v>0</v>
      </c>
      <c r="P116" s="10">
        <v>720</v>
      </c>
      <c r="Q116" s="10">
        <v>1</v>
      </c>
      <c r="R116" s="10" t="s">
        <v>245</v>
      </c>
      <c r="S116" s="10" t="s">
        <v>246</v>
      </c>
      <c r="T116" s="10" t="s">
        <v>395</v>
      </c>
      <c r="U116" s="10">
        <v>9807154421</v>
      </c>
      <c r="V116" s="12" t="s">
        <v>257</v>
      </c>
      <c r="W116" t="str">
        <f>IF(OR(Q116&lt;=2,V116="Cancelled"),"Blacklisted",IF(AND(P116&gt;100000,Q116&gt;=4,O116&lt;=10%,V116="Completed"),"Platinum",IF(AND(P116&gt;=50000,Q116&gt;=3,V116="Completed"),"Gold",IF(AND(P116&lt;50000,V116="Completed"),"Silver",""))))</f>
        <v>Blacklisted</v>
      </c>
      <c r="X116" t="str">
        <f>PROPER(TRIM(F116))</f>
        <v>Amit Sharma</v>
      </c>
      <c r="Y116" t="str">
        <f>LEFT(F116,3)&amp;MID(B116,2,3)&amp;LEFT(I116,2)</f>
        <v>Ami001Pu</v>
      </c>
      <c r="Z116" t="str">
        <f>IF(ISNUMBER(SEARCH("@",T116)),LOWER(TRIM(T116)),"invalid email")</f>
        <v>amit.sharma@company.com</v>
      </c>
      <c r="AA116" t="str">
        <f ca="1">IF(H115="","",IFERROR(DATEDIF(IF(ISNUMBER(H115),H115,DATE(VALUE(RIGHT(H115,4)),VALUE(MID(H115,3,2)),VALUE(LEFT(H115,2)))),TODAY(),"Y"),""))</f>
        <v/>
      </c>
      <c r="AB116" t="str">
        <f>IF(OR(D116="",E116=""),"",IFERROR(DATE(MID(E116,7,4),MID(E116,4,2),LEFT(E116,2))-DATE(MID(D116,7,4),MID(D116,4,2),LEFT(D116,2)),""))</f>
        <v/>
      </c>
      <c r="AC116" t="str">
        <f>IF(E116="","Pending",IF(AB116&lt;=5,"On time","Delayed"))</f>
        <v>Delayed</v>
      </c>
      <c r="AD116" s="29" t="str">
        <f>IF(TRIM(S116)="","Not Assigned",S116)</f>
        <v>Aisha</v>
      </c>
      <c r="AE116" t="str">
        <f>PROPER(TRIM(F116))</f>
        <v>Amit Sharma</v>
      </c>
      <c r="AF116" t="str">
        <f>PROPER(TRIM(K116))</f>
        <v>Stationery</v>
      </c>
      <c r="AG116" t="str">
        <f>PROPER(TRIM(J116))</f>
        <v>West</v>
      </c>
      <c r="AH116" t="str">
        <f t="shared" si="2"/>
        <v>Stationery</v>
      </c>
      <c r="AI116" t="str">
        <f t="shared" si="3"/>
        <v>Stationery</v>
      </c>
      <c r="AK116">
        <f>IF(COUNTIF($A$2:A116,A116)=1,1,0)</f>
        <v>1</v>
      </c>
    </row>
    <row r="117" spans="1:37">
      <c r="A117" s="4" t="s">
        <v>542</v>
      </c>
      <c r="B117" s="5" t="s">
        <v>266</v>
      </c>
      <c r="C117" s="5" t="s">
        <v>267</v>
      </c>
      <c r="D117" s="5" t="s">
        <v>197</v>
      </c>
      <c r="E117" s="6">
        <v>45694</v>
      </c>
      <c r="F117" s="5" t="s">
        <v>268</v>
      </c>
      <c r="G117" s="5" t="s">
        <v>269</v>
      </c>
      <c r="H117" s="6">
        <v>32358</v>
      </c>
      <c r="I117" s="5" t="s">
        <v>306</v>
      </c>
      <c r="J117" s="5" t="s">
        <v>287</v>
      </c>
      <c r="K117" s="5" t="s">
        <v>243</v>
      </c>
      <c r="L117" s="5" t="s">
        <v>271</v>
      </c>
      <c r="M117" s="5" t="s">
        <v>543</v>
      </c>
      <c r="N117" s="5">
        <v>1200</v>
      </c>
      <c r="O117" s="5">
        <v>15</v>
      </c>
      <c r="P117" s="5">
        <v>7140</v>
      </c>
      <c r="Q117" s="5">
        <v>4</v>
      </c>
      <c r="R117" s="5" t="s">
        <v>277</v>
      </c>
      <c r="S117" s="5" t="s">
        <v>312</v>
      </c>
      <c r="T117" s="5" t="s">
        <v>273</v>
      </c>
      <c r="U117" s="5">
        <v>9919834000</v>
      </c>
      <c r="V117" s="8" t="s">
        <v>248</v>
      </c>
      <c r="W117" t="str">
        <f>IF(OR(Q117&lt;=2,V117="Cancelled"),"Blacklisted",IF(AND(P117&gt;100000,Q117&gt;=4,O117&lt;=10%,V117="Completed"),"Platinum",IF(AND(P117&gt;=50000,Q117&gt;=3,V117="Completed"),"Gold",IF(AND(P117&lt;50000,V117="Completed"),"Silver",""))))</f>
        <v/>
      </c>
      <c r="X117" t="str">
        <f>PROPER(TRIM(F117))</f>
        <v>Mohit Verma</v>
      </c>
      <c r="Y117" t="str">
        <f>LEFT(F117,3)&amp;MID(B117,2,3)&amp;LEFT(I117,2)</f>
        <v>Moh009Ah</v>
      </c>
      <c r="Z117" t="str">
        <f>IF(ISNUMBER(SEARCH("@",T117)),LOWER(TRIM(T117)),"invalid email")</f>
        <v>mohit.verma@company.com</v>
      </c>
      <c r="AA117">
        <f ca="1">IF(H116="","",IFERROR(DATEDIF(IF(ISNUMBER(H116),H116,DATE(VALUE(RIGHT(H116,4)),VALUE(MID(H116,3,2)),VALUE(LEFT(H116,2)))),TODAY(),"Y"),""))</f>
        <v>31</v>
      </c>
      <c r="AB117" t="str">
        <f>IF(OR(D117="",E117=""),"",IFERROR(DATE(MID(E117,7,4),MID(E117,4,2),LEFT(E117,2))-DATE(MID(D117,7,4),MID(D117,4,2),LEFT(D117,2)),""))</f>
        <v/>
      </c>
      <c r="AC117" t="str">
        <f>IF(E117="","Pending",IF(AB117&lt;=5,"On time","Delayed"))</f>
        <v>Delayed</v>
      </c>
      <c r="AD117" s="29" t="str">
        <f>IF(TRIM(S117)="","Not Assigned",S117)</f>
        <v>Karan</v>
      </c>
      <c r="AE117" t="str">
        <f>PROPER(TRIM(F117))</f>
        <v>Mohit Verma</v>
      </c>
      <c r="AF117" t="str">
        <f>PROPER(TRIM(K117))</f>
        <v>Electronics</v>
      </c>
      <c r="AG117" t="str">
        <f>PROPER(TRIM(J117))</f>
        <v>West</v>
      </c>
      <c r="AH117" t="str">
        <f t="shared" si="2"/>
        <v>Electronics</v>
      </c>
      <c r="AI117" t="str">
        <f t="shared" si="3"/>
        <v>Electronics</v>
      </c>
      <c r="AK117">
        <f>IF(COUNTIF($A$2:A117,A117)=1,1,0)</f>
        <v>1</v>
      </c>
    </row>
    <row r="118" spans="1:37">
      <c r="A118" s="9" t="s">
        <v>544</v>
      </c>
      <c r="B118" s="10" t="s">
        <v>284</v>
      </c>
      <c r="C118" s="10" t="s">
        <v>258</v>
      </c>
      <c r="D118" s="10" t="s">
        <v>82</v>
      </c>
      <c r="E118" s="10" t="s">
        <v>199</v>
      </c>
      <c r="F118" s="10" t="s">
        <v>285</v>
      </c>
      <c r="G118" s="10" t="s">
        <v>239</v>
      </c>
      <c r="H118" s="11">
        <v>32696</v>
      </c>
      <c r="I118" s="10" t="s">
        <v>342</v>
      </c>
      <c r="J118" s="10" t="s">
        <v>261</v>
      </c>
      <c r="K118" s="10" t="s">
        <v>243</v>
      </c>
      <c r="L118" s="10" t="s">
        <v>262</v>
      </c>
      <c r="M118" s="10">
        <v>14</v>
      </c>
      <c r="N118" s="10">
        <v>12000</v>
      </c>
      <c r="O118" s="10">
        <v>15</v>
      </c>
      <c r="P118" s="10">
        <v>142800</v>
      </c>
      <c r="Q118" s="10">
        <v>2</v>
      </c>
      <c r="R118" s="10" t="s">
        <v>245</v>
      </c>
      <c r="S118" s="10" t="s">
        <v>246</v>
      </c>
      <c r="T118" s="10" t="s">
        <v>308</v>
      </c>
      <c r="U118" s="10">
        <v>9739798818</v>
      </c>
      <c r="V118" s="12" t="s">
        <v>248</v>
      </c>
      <c r="W118" t="str">
        <f>IF(OR(Q118&lt;=2,V118="Cancelled"),"Blacklisted",IF(AND(P118&gt;100000,Q118&gt;=4,O118&lt;=10%,V118="Completed"),"Platinum",IF(AND(P118&gt;=50000,Q118&gt;=3,V118="Completed"),"Gold",IF(AND(P118&lt;50000,V118="Completed"),"Silver",""))))</f>
        <v>Blacklisted</v>
      </c>
      <c r="X118" t="str">
        <f>PROPER(TRIM(F118))</f>
        <v>Priya Patel</v>
      </c>
      <c r="Y118" t="str">
        <f>LEFT(F118,3)&amp;MID(B118,2,3)&amp;LEFT(I118,2)</f>
        <v>Pri002Ja</v>
      </c>
      <c r="Z118" t="str">
        <f>IF(ISNUMBER(SEARCH("@",T118)),LOWER(TRIM(T118)),"invalid email")</f>
        <v>priya.patel@company.com</v>
      </c>
      <c r="AA118">
        <f ca="1">IF(H117="","",IFERROR(DATEDIF(IF(ISNUMBER(H117),H117,DATE(VALUE(RIGHT(H117,4)),VALUE(MID(H117,3,2)),VALUE(LEFT(H117,2)))),TODAY(),"Y"),""))</f>
        <v>38</v>
      </c>
      <c r="AB118">
        <f>IF(OR(D118="",E118=""),"",IFERROR(DATE(MID(E118,7,4),MID(E118,4,2),LEFT(E118,2))-DATE(MID(D118,7,4),MID(D118,4,2),LEFT(D118,2)),""))</f>
        <v>11</v>
      </c>
      <c r="AC118" t="str">
        <f>IF(E118="","Pending",IF(AB118&lt;=5,"On time","Delayed"))</f>
        <v>Delayed</v>
      </c>
      <c r="AD118" s="29" t="str">
        <f>IF(TRIM(S118)="","Not Assigned",S118)</f>
        <v>Aisha</v>
      </c>
      <c r="AE118" t="str">
        <f>PROPER(TRIM(F118))</f>
        <v>Priya Patel</v>
      </c>
      <c r="AF118" t="str">
        <f>PROPER(TRIM(K118))</f>
        <v>Electronics</v>
      </c>
      <c r="AG118" t="str">
        <f>PROPER(TRIM(J118))</f>
        <v>North</v>
      </c>
      <c r="AH118" t="str">
        <f t="shared" si="2"/>
        <v>Electronics</v>
      </c>
      <c r="AI118" t="str">
        <f t="shared" si="3"/>
        <v>Electronics</v>
      </c>
      <c r="AK118">
        <f>IF(COUNTIF($A$2:A118,A118)=1,1,0)</f>
        <v>1</v>
      </c>
    </row>
    <row r="119" spans="1:37">
      <c r="A119" s="4" t="s">
        <v>545</v>
      </c>
      <c r="B119" s="5" t="s">
        <v>299</v>
      </c>
      <c r="C119" s="5" t="s">
        <v>322</v>
      </c>
      <c r="D119" s="5" t="s">
        <v>30</v>
      </c>
      <c r="E119" s="5" t="s">
        <v>52</v>
      </c>
      <c r="F119" s="5" t="s">
        <v>301</v>
      </c>
      <c r="G119" s="5" t="s">
        <v>269</v>
      </c>
      <c r="H119" s="6">
        <v>34284</v>
      </c>
      <c r="I119" s="5" t="s">
        <v>291</v>
      </c>
      <c r="J119" s="5" t="s">
        <v>287</v>
      </c>
      <c r="K119" s="5" t="s">
        <v>15</v>
      </c>
      <c r="L119" s="5" t="s">
        <v>325</v>
      </c>
      <c r="M119" s="5">
        <v>8</v>
      </c>
      <c r="N119" s="5">
        <v>8500</v>
      </c>
      <c r="O119" s="5">
        <v>20</v>
      </c>
      <c r="P119" s="5">
        <v>54400</v>
      </c>
      <c r="Q119" s="5">
        <v>3</v>
      </c>
      <c r="R119" s="5" t="s">
        <v>272</v>
      </c>
      <c r="S119" s="5" t="s">
        <v>263</v>
      </c>
      <c r="T119" s="5" t="s">
        <v>302</v>
      </c>
      <c r="U119" s="5">
        <v>9208625306</v>
      </c>
      <c r="V119" s="8" t="s">
        <v>257</v>
      </c>
      <c r="W119" t="str">
        <f>IF(OR(Q119&lt;=2,V119="Cancelled"),"Blacklisted",IF(AND(P119&gt;100000,Q119&gt;=4,O119&lt;=10%,V119="Completed"),"Platinum",IF(AND(P119&gt;=50000,Q119&gt;=3,V119="Completed"),"Gold",IF(AND(P119&lt;50000,V119="Completed"),"Silver",""))))</f>
        <v>Gold</v>
      </c>
      <c r="X119" t="str">
        <f>PROPER(TRIM(F119))</f>
        <v>Rohit Singh</v>
      </c>
      <c r="Y119" t="str">
        <f>LEFT(F119,3)&amp;MID(B119,2,3)&amp;LEFT(I119,2)</f>
        <v>Roh003Pu</v>
      </c>
      <c r="Z119" t="str">
        <f>IF(ISNUMBER(SEARCH("@",T119)),LOWER(TRIM(T119)),"invalid email")</f>
        <v>rohit.singh@company.com</v>
      </c>
      <c r="AA119">
        <f ca="1">IF(H118="","",IFERROR(DATEDIF(IF(ISNUMBER(H118),H118,DATE(VALUE(RIGHT(H118,4)),VALUE(MID(H118,3,2)),VALUE(LEFT(H118,2)))),TODAY(),"Y"),""))</f>
        <v>37</v>
      </c>
      <c r="AB119">
        <f>IF(OR(D119="",E119=""),"",IFERROR(DATE(MID(E119,7,4),MID(E119,4,2),LEFT(E119,2))-DATE(MID(D119,7,4),MID(D119,4,2),LEFT(D119,2)),""))</f>
        <v>2</v>
      </c>
      <c r="AC119" t="str">
        <f>IF(E119="","Pending",IF(AB119&lt;=5,"On time","Delayed"))</f>
        <v>On time</v>
      </c>
      <c r="AD119" s="29" t="str">
        <f>IF(TRIM(S119)="","Not Assigned",S119)</f>
        <v>Rahul</v>
      </c>
      <c r="AE119" t="str">
        <f>PROPER(TRIM(F119))</f>
        <v>Rohit Singh</v>
      </c>
      <c r="AF119" t="str">
        <f>PROPER(TRIM(K119))</f>
        <v>Home Appliances</v>
      </c>
      <c r="AG119" t="str">
        <f>PROPER(TRIM(J119))</f>
        <v>West</v>
      </c>
      <c r="AH119" t="str">
        <f t="shared" si="2"/>
        <v>Home Appliances</v>
      </c>
      <c r="AI119" t="str">
        <f t="shared" si="3"/>
        <v>Home Appliances</v>
      </c>
      <c r="AK119">
        <f>IF(COUNTIF($A$2:A119,A119)=1,1,0)</f>
        <v>1</v>
      </c>
    </row>
    <row r="120" spans="1:37">
      <c r="A120" s="9" t="s">
        <v>546</v>
      </c>
      <c r="B120" s="10" t="s">
        <v>275</v>
      </c>
      <c r="C120" s="10" t="s">
        <v>362</v>
      </c>
      <c r="D120" s="10" t="s">
        <v>202</v>
      </c>
      <c r="E120" s="11">
        <v>46297</v>
      </c>
      <c r="F120" s="10" t="s">
        <v>328</v>
      </c>
      <c r="G120" s="10" t="s">
        <v>269</v>
      </c>
      <c r="H120" s="11">
        <v>36527</v>
      </c>
      <c r="I120" s="10" t="s">
        <v>241</v>
      </c>
      <c r="J120" s="10" t="s">
        <v>242</v>
      </c>
      <c r="K120" s="10" t="s">
        <v>295</v>
      </c>
      <c r="L120" s="10" t="s">
        <v>363</v>
      </c>
      <c r="M120" s="10">
        <v>3</v>
      </c>
      <c r="N120" s="10">
        <v>45</v>
      </c>
      <c r="O120" s="10">
        <v>0</v>
      </c>
      <c r="P120" s="10">
        <v>135</v>
      </c>
      <c r="Q120" s="10">
        <v>4</v>
      </c>
      <c r="R120" s="10" t="s">
        <v>277</v>
      </c>
      <c r="S120" s="10" t="s">
        <v>246</v>
      </c>
      <c r="T120" s="10" t="s">
        <v>278</v>
      </c>
      <c r="U120" s="10">
        <v>9970178536</v>
      </c>
      <c r="V120" s="12" t="s">
        <v>265</v>
      </c>
      <c r="W120" t="str">
        <f>IF(OR(Q120&lt;=2,V120="Cancelled"),"Blacklisted",IF(AND(P120&gt;100000,Q120&gt;=4,O120&lt;=10%,V120="Completed"),"Platinum",IF(AND(P120&gt;=50000,Q120&gt;=3,V120="Completed"),"Gold",IF(AND(P120&lt;50000,V120="Completed"),"Silver",""))))</f>
        <v>Blacklisted</v>
      </c>
      <c r="X120" t="str">
        <f>PROPER(TRIM(F120))</f>
        <v>Arjun Rao</v>
      </c>
      <c r="Y120" t="str">
        <f>LEFT(F120,3)&amp;MID(B120,2,3)&amp;LEFT(I120,2)</f>
        <v>Arj007Be</v>
      </c>
      <c r="Z120" t="str">
        <f>IF(ISNUMBER(SEARCH("@",T120)),LOWER(TRIM(T120)),"invalid email")</f>
        <v>arjun.rao@company.com</v>
      </c>
      <c r="AA120">
        <f ca="1">IF(H119="","",IFERROR(DATEDIF(IF(ISNUMBER(H119),H119,DATE(VALUE(RIGHT(H119,4)),VALUE(MID(H119,3,2)),VALUE(LEFT(H119,2)))),TODAY(),"Y"),""))</f>
        <v>32</v>
      </c>
      <c r="AB120" t="str">
        <f>IF(OR(D120="",E120=""),"",IFERROR(DATE(MID(E120,7,4),MID(E120,4,2),LEFT(E120,2))-DATE(MID(D120,7,4),MID(D120,4,2),LEFT(D120,2)),""))</f>
        <v/>
      </c>
      <c r="AC120" t="str">
        <f>IF(E120="","Pending",IF(AB120&lt;=5,"On time","Delayed"))</f>
        <v>Delayed</v>
      </c>
      <c r="AD120" s="29" t="str">
        <f>IF(TRIM(S120)="","Not Assigned",S120)</f>
        <v>Aisha</v>
      </c>
      <c r="AE120" t="str">
        <f>PROPER(TRIM(F120))</f>
        <v>Arjun Rao</v>
      </c>
      <c r="AF120" t="str">
        <f>PROPER(TRIM(K120))</f>
        <v>Stationery</v>
      </c>
      <c r="AG120" t="str">
        <f>PROPER(TRIM(J120))</f>
        <v>South</v>
      </c>
      <c r="AH120" t="str">
        <f t="shared" si="2"/>
        <v>Stationery</v>
      </c>
      <c r="AI120" t="str">
        <f t="shared" si="3"/>
        <v>Stationery</v>
      </c>
      <c r="AK120">
        <f>IF(COUNTIF($A$2:A120,A120)=1,1,0)</f>
        <v>1</v>
      </c>
    </row>
    <row r="121" spans="1:37">
      <c r="A121" s="4" t="s">
        <v>547</v>
      </c>
      <c r="B121" s="5" t="s">
        <v>392</v>
      </c>
      <c r="C121" s="5" t="s">
        <v>330</v>
      </c>
      <c r="D121" s="6">
        <v>46082</v>
      </c>
      <c r="E121" s="6">
        <v>46113</v>
      </c>
      <c r="F121" s="5" t="s">
        <v>323</v>
      </c>
      <c r="G121" s="5" t="s">
        <v>269</v>
      </c>
      <c r="H121" s="5" t="s">
        <v>548</v>
      </c>
      <c r="I121" s="5" t="s">
        <v>342</v>
      </c>
      <c r="J121" s="5" t="s">
        <v>261</v>
      </c>
      <c r="K121" s="5" t="s">
        <v>243</v>
      </c>
      <c r="L121" s="5" t="s">
        <v>333</v>
      </c>
      <c r="M121" s="5">
        <v>13</v>
      </c>
      <c r="N121" s="5">
        <v>700</v>
      </c>
      <c r="O121" s="5">
        <v>5</v>
      </c>
      <c r="P121" s="5">
        <v>8645</v>
      </c>
      <c r="Q121" s="5">
        <v>3</v>
      </c>
      <c r="R121" s="5" t="s">
        <v>272</v>
      </c>
      <c r="S121" s="5" t="s">
        <v>292</v>
      </c>
      <c r="T121" s="5" t="s">
        <v>395</v>
      </c>
      <c r="U121" s="5">
        <v>9633745195</v>
      </c>
      <c r="V121" s="8" t="s">
        <v>248</v>
      </c>
      <c r="W121" t="str">
        <f>IF(OR(Q121&lt;=2,V121="Cancelled"),"Blacklisted",IF(AND(P121&gt;100000,Q121&gt;=4,O121&lt;=10%,V121="Completed"),"Platinum",IF(AND(P121&gt;=50000,Q121&gt;=3,V121="Completed"),"Gold",IF(AND(P121&lt;50000,V121="Completed"),"Silver",""))))</f>
        <v/>
      </c>
      <c r="X121" t="str">
        <f>PROPER(TRIM(F121))</f>
        <v>Amit Sharma</v>
      </c>
      <c r="Y121" t="str">
        <f>LEFT(F121,3)&amp;MID(B121,2,3)&amp;LEFT(I121,2)</f>
        <v>Ami001Ja</v>
      </c>
      <c r="Z121" t="str">
        <f>IF(ISNUMBER(SEARCH("@",T121)),LOWER(TRIM(T121)),"invalid email")</f>
        <v>amit.sharma@company.com</v>
      </c>
      <c r="AA121">
        <f ca="1">IF(H120="","",IFERROR(DATEDIF(IF(ISNUMBER(H120),H120,DATE(VALUE(RIGHT(H120,4)),VALUE(MID(H120,3,2)),VALUE(LEFT(H120,2)))),TODAY(),"Y"),""))</f>
        <v>26</v>
      </c>
      <c r="AB121" t="str">
        <f>IF(OR(D121="",E121=""),"",IFERROR(DATE(MID(E121,7,4),MID(E121,4,2),LEFT(E121,2))-DATE(MID(D121,7,4),MID(D121,4,2),LEFT(D121,2)),""))</f>
        <v/>
      </c>
      <c r="AC121" t="str">
        <f>IF(E121="","Pending",IF(AB121&lt;=5,"On time","Delayed"))</f>
        <v>Delayed</v>
      </c>
      <c r="AD121" s="29" t="str">
        <f>IF(TRIM(S121)="","Not Assigned",S121)</f>
        <v>Neha</v>
      </c>
      <c r="AE121" t="str">
        <f>PROPER(TRIM(F121))</f>
        <v>Amit Sharma</v>
      </c>
      <c r="AF121" t="str">
        <f>PROPER(TRIM(K121))</f>
        <v>Electronics</v>
      </c>
      <c r="AG121" t="str">
        <f>PROPER(TRIM(J121))</f>
        <v>North</v>
      </c>
      <c r="AH121" t="str">
        <f t="shared" si="2"/>
        <v>Electronics</v>
      </c>
      <c r="AI121" t="str">
        <f t="shared" si="3"/>
        <v>Electronics</v>
      </c>
      <c r="AK121">
        <f>IF(COUNTIF($A$2:A121,A121)=1,1,0)</f>
        <v>1</v>
      </c>
    </row>
    <row r="122" spans="1:37">
      <c r="A122" s="9" t="s">
        <v>549</v>
      </c>
      <c r="B122" s="10" t="s">
        <v>321</v>
      </c>
      <c r="C122" s="10" t="s">
        <v>267</v>
      </c>
      <c r="D122" s="10" t="s">
        <v>95</v>
      </c>
      <c r="E122" s="10" t="s">
        <v>550</v>
      </c>
      <c r="F122" s="10" t="s">
        <v>408</v>
      </c>
      <c r="G122" s="10" t="s">
        <v>239</v>
      </c>
      <c r="H122" s="10" t="s">
        <v>551</v>
      </c>
      <c r="I122" s="10" t="s">
        <v>286</v>
      </c>
      <c r="J122" s="10" t="s">
        <v>287</v>
      </c>
      <c r="K122" s="10" t="s">
        <v>243</v>
      </c>
      <c r="L122" s="10" t="s">
        <v>271</v>
      </c>
      <c r="M122" s="10">
        <v>14</v>
      </c>
      <c r="N122" s="10">
        <v>1200</v>
      </c>
      <c r="O122" s="10">
        <v>20</v>
      </c>
      <c r="P122" s="10">
        <v>13440</v>
      </c>
      <c r="Q122" s="10">
        <v>5</v>
      </c>
      <c r="R122" s="10" t="s">
        <v>245</v>
      </c>
      <c r="S122" s="10" t="s">
        <v>246</v>
      </c>
      <c r="T122" s="10" t="s">
        <v>326</v>
      </c>
      <c r="U122" s="10">
        <v>9922102053</v>
      </c>
      <c r="V122" s="12" t="s">
        <v>257</v>
      </c>
      <c r="W122" t="str">
        <f>IF(OR(Q122&lt;=2,V122="Cancelled"),"Blacklisted",IF(AND(P122&gt;100000,Q122&gt;=4,O122&lt;=10%,V122="Completed"),"Platinum",IF(AND(P122&gt;=50000,Q122&gt;=3,V122="Completed"),"Gold",IF(AND(P122&lt;50000,V122="Completed"),"Silver",""))))</f>
        <v>Silver</v>
      </c>
      <c r="X122" t="str">
        <f>PROPER(TRIM(F122))</f>
        <v>Anita Gupta</v>
      </c>
      <c r="Y122" t="str">
        <f>LEFT(F122,3)&amp;MID(B122,2,3)&amp;LEFT(I122,2)</f>
        <v>Ani004Mu</v>
      </c>
      <c r="Z122" t="str">
        <f>IF(ISNUMBER(SEARCH("@",T122)),LOWER(TRIM(T122)),"invalid email")</f>
        <v>anita.gupta@company.com</v>
      </c>
      <c r="AA122" t="str">
        <f ca="1">IF(H121="","",IFERROR(DATEDIF(IF(ISNUMBER(H121),H121,DATE(VALUE(RIGHT(H121,4)),VALUE(MID(H121,3,2)),VALUE(LEFT(H121,2)))),TODAY(),"Y"),""))</f>
        <v/>
      </c>
      <c r="AB122">
        <f>IF(OR(D122="",E122=""),"",IFERROR(DATE(MID(E122,7,4),MID(E122,4,2),LEFT(E122,2))-DATE(MID(D122,7,4),MID(D122,4,2),LEFT(D122,2)),""))</f>
        <v>6</v>
      </c>
      <c r="AC122" t="str">
        <f>IF(E122="","Pending",IF(AB122&lt;=5,"On time","Delayed"))</f>
        <v>Delayed</v>
      </c>
      <c r="AD122" s="29" t="str">
        <f>IF(TRIM(S122)="","Not Assigned",S122)</f>
        <v>Aisha</v>
      </c>
      <c r="AE122" t="str">
        <f>PROPER(TRIM(F122))</f>
        <v>Anita Gupta</v>
      </c>
      <c r="AF122" t="str">
        <f>PROPER(TRIM(K122))</f>
        <v>Electronics</v>
      </c>
      <c r="AG122" t="str">
        <f>PROPER(TRIM(J122))</f>
        <v>West</v>
      </c>
      <c r="AH122" t="str">
        <f t="shared" si="2"/>
        <v>Electronics</v>
      </c>
      <c r="AI122" t="str">
        <f t="shared" si="3"/>
        <v>Electronics</v>
      </c>
      <c r="AK122">
        <f>IF(COUNTIF($A$2:A122,A122)=1,1,0)</f>
        <v>1</v>
      </c>
    </row>
    <row r="123" spans="1:37">
      <c r="A123" s="4" t="s">
        <v>552</v>
      </c>
      <c r="B123" s="5" t="s">
        <v>284</v>
      </c>
      <c r="C123" s="5" t="s">
        <v>362</v>
      </c>
      <c r="D123" s="6">
        <v>45966</v>
      </c>
      <c r="E123" s="5" t="s">
        <v>553</v>
      </c>
      <c r="F123" s="5" t="s">
        <v>285</v>
      </c>
      <c r="G123" s="5" t="s">
        <v>239</v>
      </c>
      <c r="H123" s="5" t="s">
        <v>554</v>
      </c>
      <c r="I123" s="5" t="s">
        <v>260</v>
      </c>
      <c r="J123" s="5" t="s">
        <v>261</v>
      </c>
      <c r="K123" s="5" t="s">
        <v>295</v>
      </c>
      <c r="L123" s="5" t="s">
        <v>363</v>
      </c>
      <c r="M123" s="5">
        <v>2</v>
      </c>
      <c r="N123" s="5">
        <v>45</v>
      </c>
      <c r="O123" s="5">
        <v>5</v>
      </c>
      <c r="P123" s="5">
        <v>85.5</v>
      </c>
      <c r="Q123" s="5">
        <v>3</v>
      </c>
      <c r="R123" s="5" t="s">
        <v>277</v>
      </c>
      <c r="S123" s="5" t="s">
        <v>255</v>
      </c>
      <c r="T123" s="5" t="s">
        <v>308</v>
      </c>
      <c r="U123" s="5">
        <v>9135963930</v>
      </c>
      <c r="V123" s="8" t="s">
        <v>265</v>
      </c>
      <c r="W123" t="str">
        <f>IF(OR(Q123&lt;=2,V123="Cancelled"),"Blacklisted",IF(AND(P123&gt;100000,Q123&gt;=4,O123&lt;=10%,V123="Completed"),"Platinum",IF(AND(P123&gt;=50000,Q123&gt;=3,V123="Completed"),"Gold",IF(AND(P123&lt;50000,V123="Completed"),"Silver",""))))</f>
        <v>Blacklisted</v>
      </c>
      <c r="X123" t="str">
        <f>PROPER(TRIM(F123))</f>
        <v>Priya Patel</v>
      </c>
      <c r="Y123" t="str">
        <f>LEFT(F123,3)&amp;MID(B123,2,3)&amp;LEFT(I123,2)</f>
        <v>Pri002De</v>
      </c>
      <c r="Z123" t="str">
        <f>IF(ISNUMBER(SEARCH("@",T123)),LOWER(TRIM(T123)),"invalid email")</f>
        <v>priya.patel@company.com</v>
      </c>
      <c r="AA123" t="str">
        <f ca="1">IF(H122="","",IFERROR(DATEDIF(IF(ISNUMBER(H122),H122,DATE(VALUE(RIGHT(H122,4)),VALUE(MID(H122,3,2)),VALUE(LEFT(H122,2)))),TODAY(),"Y"),""))</f>
        <v/>
      </c>
      <c r="AB123" t="str">
        <f>IF(OR(D123="",E123=""),"",IFERROR(DATE(MID(E123,7,4),MID(E123,4,2),LEFT(E123,2))-DATE(MID(D123,7,4),MID(D123,4,2),LEFT(D123,2)),""))</f>
        <v/>
      </c>
      <c r="AC123" t="str">
        <f>IF(E123="","Pending",IF(AB123&lt;=5,"On time","Delayed"))</f>
        <v>Delayed</v>
      </c>
      <c r="AD123" s="29" t="str">
        <f>IF(TRIM(S123)="","Not Assigned",S123)</f>
        <v>Ritika</v>
      </c>
      <c r="AE123" t="str">
        <f>PROPER(TRIM(F123))</f>
        <v>Priya Patel</v>
      </c>
      <c r="AF123" t="str">
        <f>PROPER(TRIM(K123))</f>
        <v>Stationery</v>
      </c>
      <c r="AG123" t="str">
        <f>PROPER(TRIM(J123))</f>
        <v>North</v>
      </c>
      <c r="AH123" t="str">
        <f t="shared" si="2"/>
        <v>Stationery</v>
      </c>
      <c r="AI123" t="str">
        <f t="shared" si="3"/>
        <v>Stationery</v>
      </c>
      <c r="AK123">
        <f>IF(COUNTIF($A$2:A123,A123)=1,1,0)</f>
        <v>1</v>
      </c>
    </row>
    <row r="124" spans="1:37">
      <c r="A124" s="9" t="s">
        <v>555</v>
      </c>
      <c r="B124" s="10" t="s">
        <v>321</v>
      </c>
      <c r="C124" s="10" t="s">
        <v>267</v>
      </c>
      <c r="D124" s="11">
        <v>46054</v>
      </c>
      <c r="E124" s="11">
        <v>46174</v>
      </c>
      <c r="F124" s="10" t="s">
        <v>408</v>
      </c>
      <c r="G124" s="10" t="s">
        <v>239</v>
      </c>
      <c r="H124" s="11">
        <v>29677</v>
      </c>
      <c r="I124" s="10" t="s">
        <v>241</v>
      </c>
      <c r="J124" s="10" t="s">
        <v>242</v>
      </c>
      <c r="K124" s="10" t="s">
        <v>243</v>
      </c>
      <c r="L124" s="10" t="s">
        <v>271</v>
      </c>
      <c r="M124" s="10">
        <v>2</v>
      </c>
      <c r="N124" s="10">
        <v>1200</v>
      </c>
      <c r="O124" s="10">
        <v>20</v>
      </c>
      <c r="P124" s="10">
        <v>1920</v>
      </c>
      <c r="Q124" s="10">
        <v>3</v>
      </c>
      <c r="R124" s="10" t="s">
        <v>272</v>
      </c>
      <c r="S124" s="10" t="s">
        <v>292</v>
      </c>
      <c r="T124" s="10" t="s">
        <v>326</v>
      </c>
      <c r="U124" s="10">
        <v>9429405275</v>
      </c>
      <c r="V124" s="12" t="s">
        <v>257</v>
      </c>
      <c r="W124" t="str">
        <f>IF(OR(Q124&lt;=2,V124="Cancelled"),"Blacklisted",IF(AND(P124&gt;100000,Q124&gt;=4,O124&lt;=10%,V124="Completed"),"Platinum",IF(AND(P124&gt;=50000,Q124&gt;=3,V124="Completed"),"Gold",IF(AND(P124&lt;50000,V124="Completed"),"Silver",""))))</f>
        <v>Silver</v>
      </c>
      <c r="X124" t="str">
        <f>PROPER(TRIM(F124))</f>
        <v>Anita Gupta</v>
      </c>
      <c r="Y124" t="str">
        <f>LEFT(F124,3)&amp;MID(B124,2,3)&amp;LEFT(I124,2)</f>
        <v>Ani004Be</v>
      </c>
      <c r="Z124" t="str">
        <f>IF(ISNUMBER(SEARCH("@",T124)),LOWER(TRIM(T124)),"invalid email")</f>
        <v>anita.gupta@company.com</v>
      </c>
      <c r="AA124" t="str">
        <f ca="1">IF(H123="","",IFERROR(DATEDIF(IF(ISNUMBER(H123),H123,DATE(VALUE(RIGHT(H123,4)),VALUE(MID(H123,3,2)),VALUE(LEFT(H123,2)))),TODAY(),"Y"),""))</f>
        <v/>
      </c>
      <c r="AB124" t="str">
        <f>IF(OR(D124="",E124=""),"",IFERROR(DATE(MID(E124,7,4),MID(E124,4,2),LEFT(E124,2))-DATE(MID(D124,7,4),MID(D124,4,2),LEFT(D124,2)),""))</f>
        <v/>
      </c>
      <c r="AC124" t="str">
        <f>IF(E124="","Pending",IF(AB124&lt;=5,"On time","Delayed"))</f>
        <v>Delayed</v>
      </c>
      <c r="AD124" s="29" t="str">
        <f>IF(TRIM(S124)="","Not Assigned",S124)</f>
        <v>Neha</v>
      </c>
      <c r="AE124" t="str">
        <f>PROPER(TRIM(F124))</f>
        <v>Anita Gupta</v>
      </c>
      <c r="AF124" t="str">
        <f>PROPER(TRIM(K124))</f>
        <v>Electronics</v>
      </c>
      <c r="AG124" t="str">
        <f>PROPER(TRIM(J124))</f>
        <v>South</v>
      </c>
      <c r="AH124" t="str">
        <f t="shared" si="2"/>
        <v>Electronics</v>
      </c>
      <c r="AI124" t="str">
        <f t="shared" si="3"/>
        <v>Electronics</v>
      </c>
      <c r="AK124">
        <f>IF(COUNTIF($A$2:A124,A124)=1,1,0)</f>
        <v>1</v>
      </c>
    </row>
    <row r="125" spans="1:37">
      <c r="A125" s="4" t="s">
        <v>556</v>
      </c>
      <c r="B125" s="5" t="s">
        <v>299</v>
      </c>
      <c r="C125" s="5" t="s">
        <v>236</v>
      </c>
      <c r="D125" s="5" t="s">
        <v>90</v>
      </c>
      <c r="E125" s="5" t="s">
        <v>154</v>
      </c>
      <c r="F125" s="5" t="s">
        <v>301</v>
      </c>
      <c r="G125" s="5" t="s">
        <v>269</v>
      </c>
      <c r="H125" s="6">
        <v>38331</v>
      </c>
      <c r="I125" s="5" t="s">
        <v>241</v>
      </c>
      <c r="J125" s="5" t="s">
        <v>242</v>
      </c>
      <c r="K125" s="5" t="s">
        <v>243</v>
      </c>
      <c r="L125" s="5" t="s">
        <v>244</v>
      </c>
      <c r="M125" s="5">
        <v>10</v>
      </c>
      <c r="N125" s="5">
        <v>55000</v>
      </c>
      <c r="O125" s="5">
        <v>5</v>
      </c>
      <c r="P125" s="5">
        <v>522500</v>
      </c>
      <c r="Q125" s="5">
        <v>5</v>
      </c>
      <c r="R125" s="5" t="s">
        <v>277</v>
      </c>
      <c r="S125" s="5" t="s">
        <v>246</v>
      </c>
      <c r="T125" s="5" t="s">
        <v>302</v>
      </c>
      <c r="U125" s="5">
        <v>9521757571</v>
      </c>
      <c r="V125" s="8" t="s">
        <v>248</v>
      </c>
      <c r="W125" t="str">
        <f>IF(OR(Q125&lt;=2,V125="Cancelled"),"Blacklisted",IF(AND(P125&gt;100000,Q125&gt;=4,O125&lt;=10%,V125="Completed"),"Platinum",IF(AND(P125&gt;=50000,Q125&gt;=3,V125="Completed"),"Gold",IF(AND(P125&lt;50000,V125="Completed"),"Silver",""))))</f>
        <v/>
      </c>
      <c r="X125" t="str">
        <f>PROPER(TRIM(F125))</f>
        <v>Rohit Singh</v>
      </c>
      <c r="Y125" t="str">
        <f>LEFT(F125,3)&amp;MID(B125,2,3)&amp;LEFT(I125,2)</f>
        <v>Roh003Be</v>
      </c>
      <c r="Z125" t="str">
        <f>IF(ISNUMBER(SEARCH("@",T125)),LOWER(TRIM(T125)),"invalid email")</f>
        <v>rohit.singh@company.com</v>
      </c>
      <c r="AA125">
        <f ca="1">IF(H124="","",IFERROR(DATEDIF(IF(ISNUMBER(H124),H124,DATE(VALUE(RIGHT(H124,4)),VALUE(MID(H124,3,2)),VALUE(LEFT(H124,2)))),TODAY(),"Y"),""))</f>
        <v>45</v>
      </c>
      <c r="AB125">
        <f>IF(OR(D125="",E125=""),"",IFERROR(DATE(MID(E125,7,4),MID(E125,4,2),LEFT(E125,2))-DATE(MID(D125,7,4),MID(D125,4,2),LEFT(D125,2)),""))</f>
        <v>6</v>
      </c>
      <c r="AC125" t="str">
        <f>IF(E125="","Pending",IF(AB125&lt;=5,"On time","Delayed"))</f>
        <v>Delayed</v>
      </c>
      <c r="AD125" s="29" t="str">
        <f>IF(TRIM(S125)="","Not Assigned",S125)</f>
        <v>Aisha</v>
      </c>
      <c r="AE125" t="str">
        <f>PROPER(TRIM(F125))</f>
        <v>Rohit Singh</v>
      </c>
      <c r="AF125" t="str">
        <f>PROPER(TRIM(K125))</f>
        <v>Electronics</v>
      </c>
      <c r="AG125" t="str">
        <f>PROPER(TRIM(J125))</f>
        <v>South</v>
      </c>
      <c r="AH125" t="str">
        <f t="shared" si="2"/>
        <v>Electronics</v>
      </c>
      <c r="AI125" t="str">
        <f t="shared" si="3"/>
        <v>Electronics</v>
      </c>
      <c r="AK125">
        <f>IF(COUNTIF($A$2:A125,A125)=1,1,0)</f>
        <v>1</v>
      </c>
    </row>
    <row r="126" spans="1:37">
      <c r="A126" s="9" t="s">
        <v>557</v>
      </c>
      <c r="B126" s="10" t="s">
        <v>358</v>
      </c>
      <c r="C126" s="10" t="s">
        <v>280</v>
      </c>
      <c r="D126" s="11">
        <v>45755</v>
      </c>
      <c r="E126" s="11">
        <v>45785</v>
      </c>
      <c r="F126" s="10" t="s">
        <v>359</v>
      </c>
      <c r="G126" s="10" t="s">
        <v>239</v>
      </c>
      <c r="H126" s="10" t="s">
        <v>558</v>
      </c>
      <c r="I126" s="10" t="s">
        <v>342</v>
      </c>
      <c r="J126" s="10" t="s">
        <v>261</v>
      </c>
      <c r="K126" s="10" t="s">
        <v>15</v>
      </c>
      <c r="L126" s="10" t="s">
        <v>282</v>
      </c>
      <c r="M126" s="10">
        <v>15</v>
      </c>
      <c r="N126" s="10">
        <v>3500</v>
      </c>
      <c r="O126" s="10">
        <v>10</v>
      </c>
      <c r="P126" s="10">
        <v>47250</v>
      </c>
      <c r="Q126" s="10">
        <v>3</v>
      </c>
      <c r="R126" s="10" t="s">
        <v>245</v>
      </c>
      <c r="S126" s="10" t="s">
        <v>292</v>
      </c>
      <c r="T126" s="10" t="s">
        <v>360</v>
      </c>
      <c r="U126" s="10">
        <v>9467375455</v>
      </c>
      <c r="V126" s="12" t="s">
        <v>257</v>
      </c>
      <c r="W126" t="str">
        <f>IF(OR(Q126&lt;=2,V126="Cancelled"),"Blacklisted",IF(AND(P126&gt;100000,Q126&gt;=4,O126&lt;=10%,V126="Completed"),"Platinum",IF(AND(P126&gt;=50000,Q126&gt;=3,V126="Completed"),"Gold",IF(AND(P126&lt;50000,V126="Completed"),"Silver",""))))</f>
        <v>Silver</v>
      </c>
      <c r="X126" t="str">
        <f>PROPER(TRIM(F126))</f>
        <v>Sneha Joshi</v>
      </c>
      <c r="Y126" t="str">
        <f>LEFT(F126,3)&amp;MID(B126,2,3)&amp;LEFT(I126,2)</f>
        <v>Sne006Ja</v>
      </c>
      <c r="Z126" t="str">
        <f>IF(ISNUMBER(SEARCH("@",T126)),LOWER(TRIM(T126)),"invalid email")</f>
        <v>sneha.joshi@company.com</v>
      </c>
      <c r="AA126">
        <f ca="1">IF(H125="","",IFERROR(DATEDIF(IF(ISNUMBER(H125),H125,DATE(VALUE(RIGHT(H125,4)),VALUE(MID(H125,3,2)),VALUE(LEFT(H125,2)))),TODAY(),"Y"),""))</f>
        <v>21</v>
      </c>
      <c r="AB126" t="str">
        <f>IF(OR(D126="",E126=""),"",IFERROR(DATE(MID(E126,7,4),MID(E126,4,2),LEFT(E126,2))-DATE(MID(D126,7,4),MID(D126,4,2),LEFT(D126,2)),""))</f>
        <v/>
      </c>
      <c r="AC126" t="str">
        <f>IF(E126="","Pending",IF(AB126&lt;=5,"On time","Delayed"))</f>
        <v>Delayed</v>
      </c>
      <c r="AD126" s="29" t="str">
        <f>IF(TRIM(S126)="","Not Assigned",S126)</f>
        <v>Neha</v>
      </c>
      <c r="AE126" t="str">
        <f>PROPER(TRIM(F126))</f>
        <v>Sneha Joshi</v>
      </c>
      <c r="AF126" t="str">
        <f>PROPER(TRIM(K126))</f>
        <v>Home Appliances</v>
      </c>
      <c r="AG126" t="str">
        <f>PROPER(TRIM(J126))</f>
        <v>North</v>
      </c>
      <c r="AH126" t="str">
        <f t="shared" si="2"/>
        <v>Home Appliances</v>
      </c>
      <c r="AI126" t="str">
        <f t="shared" si="3"/>
        <v>Home Appliances</v>
      </c>
      <c r="AK126">
        <f>IF(COUNTIF($A$2:A126,A126)=1,1,0)</f>
        <v>1</v>
      </c>
    </row>
    <row r="127" spans="1:37">
      <c r="A127" s="4" t="s">
        <v>559</v>
      </c>
      <c r="B127" s="5" t="s">
        <v>284</v>
      </c>
      <c r="C127" s="5" t="s">
        <v>250</v>
      </c>
      <c r="D127" s="5" t="s">
        <v>18</v>
      </c>
      <c r="E127" s="5" t="s">
        <v>560</v>
      </c>
      <c r="F127" s="5" t="s">
        <v>285</v>
      </c>
      <c r="G127" s="5" t="s">
        <v>239</v>
      </c>
      <c r="H127" s="6">
        <v>30203</v>
      </c>
      <c r="I127" s="5" t="s">
        <v>241</v>
      </c>
      <c r="J127" s="5" t="s">
        <v>242</v>
      </c>
      <c r="K127" s="5" t="s">
        <v>15</v>
      </c>
      <c r="L127" s="5" t="s">
        <v>253</v>
      </c>
      <c r="M127" s="5">
        <v>10</v>
      </c>
      <c r="N127" s="5">
        <v>2200</v>
      </c>
      <c r="O127" s="5">
        <v>15</v>
      </c>
      <c r="P127" s="5">
        <v>18700</v>
      </c>
      <c r="Q127" s="5">
        <v>4</v>
      </c>
      <c r="R127" s="5" t="s">
        <v>272</v>
      </c>
      <c r="S127" s="5" t="s">
        <v>263</v>
      </c>
      <c r="T127" s="5" t="s">
        <v>308</v>
      </c>
      <c r="U127" s="5">
        <v>9838809695</v>
      </c>
      <c r="V127" s="8" t="s">
        <v>248</v>
      </c>
      <c r="W127" t="str">
        <f>IF(OR(Q127&lt;=2,V127="Cancelled"),"Blacklisted",IF(AND(P127&gt;100000,Q127&gt;=4,O127&lt;=10%,V127="Completed"),"Platinum",IF(AND(P127&gt;=50000,Q127&gt;=3,V127="Completed"),"Gold",IF(AND(P127&lt;50000,V127="Completed"),"Silver",""))))</f>
        <v/>
      </c>
      <c r="X127" t="str">
        <f>PROPER(TRIM(F127))</f>
        <v>Priya Patel</v>
      </c>
      <c r="Y127" t="str">
        <f>LEFT(F127,3)&amp;MID(B127,2,3)&amp;LEFT(I127,2)</f>
        <v>Pri002Be</v>
      </c>
      <c r="Z127" t="str">
        <f>IF(ISNUMBER(SEARCH("@",T127)),LOWER(TRIM(T127)),"invalid email")</f>
        <v>priya.patel@company.com</v>
      </c>
      <c r="AA127" t="str">
        <f ca="1">IF(H126="","",IFERROR(DATEDIF(IF(ISNUMBER(H126),H126,DATE(VALUE(RIGHT(H126,4)),VALUE(MID(H126,3,2)),VALUE(LEFT(H126,2)))),TODAY(),"Y"),""))</f>
        <v/>
      </c>
      <c r="AB127">
        <f>IF(OR(D127="",E127=""),"",IFERROR(DATE(MID(E127,7,4),MID(E127,4,2),LEFT(E127,2))-DATE(MID(D127,7,4),MID(D127,4,2),LEFT(D127,2)),""))</f>
        <v>5</v>
      </c>
      <c r="AC127" t="str">
        <f>IF(E127="","Pending",IF(AB127&lt;=5,"On time","Delayed"))</f>
        <v>On time</v>
      </c>
      <c r="AD127" s="29" t="str">
        <f>IF(TRIM(S127)="","Not Assigned",S127)</f>
        <v>Rahul</v>
      </c>
      <c r="AE127" t="str">
        <f>PROPER(TRIM(F127))</f>
        <v>Priya Patel</v>
      </c>
      <c r="AF127" t="str">
        <f>PROPER(TRIM(K127))</f>
        <v>Home Appliances</v>
      </c>
      <c r="AG127" t="str">
        <f>PROPER(TRIM(J127))</f>
        <v>South</v>
      </c>
      <c r="AH127" t="str">
        <f t="shared" si="2"/>
        <v>Home Appliances</v>
      </c>
      <c r="AI127" t="str">
        <f t="shared" si="3"/>
        <v>Home Appliances</v>
      </c>
      <c r="AK127">
        <f>IF(COUNTIF($A$2:A127,A127)=1,1,0)</f>
        <v>1</v>
      </c>
    </row>
    <row r="128" spans="1:37">
      <c r="A128" s="9" t="s">
        <v>561</v>
      </c>
      <c r="B128" s="10" t="s">
        <v>358</v>
      </c>
      <c r="C128" s="10" t="s">
        <v>280</v>
      </c>
      <c r="D128" s="10" t="s">
        <v>48</v>
      </c>
      <c r="E128" s="10" t="s">
        <v>134</v>
      </c>
      <c r="F128" s="10" t="s">
        <v>359</v>
      </c>
      <c r="G128" s="10" t="s">
        <v>239</v>
      </c>
      <c r="H128" s="10" t="s">
        <v>562</v>
      </c>
      <c r="I128" s="10" t="s">
        <v>291</v>
      </c>
      <c r="J128" s="10" t="s">
        <v>287</v>
      </c>
      <c r="K128" s="10" t="s">
        <v>15</v>
      </c>
      <c r="L128" s="10" t="s">
        <v>282</v>
      </c>
      <c r="M128" s="10">
        <v>11</v>
      </c>
      <c r="N128" s="10">
        <v>3500</v>
      </c>
      <c r="O128" s="10">
        <v>5</v>
      </c>
      <c r="P128" s="10">
        <v>36575</v>
      </c>
      <c r="Q128" s="10">
        <v>5</v>
      </c>
      <c r="R128" s="10" t="s">
        <v>254</v>
      </c>
      <c r="S128" s="10" t="s">
        <v>255</v>
      </c>
      <c r="T128" s="10" t="s">
        <v>360</v>
      </c>
      <c r="U128" s="10">
        <v>9296609782</v>
      </c>
      <c r="V128" s="12" t="s">
        <v>265</v>
      </c>
      <c r="W128" t="str">
        <f>IF(OR(Q128&lt;=2,V128="Cancelled"),"Blacklisted",IF(AND(P128&gt;100000,Q128&gt;=4,O128&lt;=10%,V128="Completed"),"Platinum",IF(AND(P128&gt;=50000,Q128&gt;=3,V128="Completed"),"Gold",IF(AND(P128&lt;50000,V128="Completed"),"Silver",""))))</f>
        <v>Blacklisted</v>
      </c>
      <c r="X128" t="str">
        <f>PROPER(TRIM(F128))</f>
        <v>Sneha Joshi</v>
      </c>
      <c r="Y128" t="str">
        <f>LEFT(F128,3)&amp;MID(B128,2,3)&amp;LEFT(I128,2)</f>
        <v>Sne006Pu</v>
      </c>
      <c r="Z128" t="str">
        <f>IF(ISNUMBER(SEARCH("@",T128)),LOWER(TRIM(T128)),"invalid email")</f>
        <v>sneha.joshi@company.com</v>
      </c>
      <c r="AA128">
        <f ca="1">IF(H127="","",IFERROR(DATEDIF(IF(ISNUMBER(H127),H127,DATE(VALUE(RIGHT(H127,4)),VALUE(MID(H127,3,2)),VALUE(LEFT(H127,2)))),TODAY(),"Y"),""))</f>
        <v>44</v>
      </c>
      <c r="AB128">
        <f>IF(OR(D128="",E128=""),"",IFERROR(DATE(MID(E128,7,4),MID(E128,4,2),LEFT(E128,2))-DATE(MID(D128,7,4),MID(D128,4,2),LEFT(D128,2)),""))</f>
        <v>8</v>
      </c>
      <c r="AC128" t="str">
        <f>IF(E128="","Pending",IF(AB128&lt;=5,"On time","Delayed"))</f>
        <v>Delayed</v>
      </c>
      <c r="AD128" s="29" t="str">
        <f>IF(TRIM(S128)="","Not Assigned",S128)</f>
        <v>Ritika</v>
      </c>
      <c r="AE128" t="str">
        <f>PROPER(TRIM(F128))</f>
        <v>Sneha Joshi</v>
      </c>
      <c r="AF128" t="str">
        <f>PROPER(TRIM(K128))</f>
        <v>Home Appliances</v>
      </c>
      <c r="AG128" t="str">
        <f>PROPER(TRIM(J128))</f>
        <v>West</v>
      </c>
      <c r="AH128" t="str">
        <f t="shared" si="2"/>
        <v>Home Appliances</v>
      </c>
      <c r="AI128" t="str">
        <f t="shared" si="3"/>
        <v>Home Appliances</v>
      </c>
      <c r="AK128">
        <f>IF(COUNTIF($A$2:A128,A128)=1,1,0)</f>
        <v>1</v>
      </c>
    </row>
    <row r="129" spans="1:37">
      <c r="A129" s="4" t="s">
        <v>563</v>
      </c>
      <c r="B129" s="5" t="s">
        <v>321</v>
      </c>
      <c r="C129" s="5" t="s">
        <v>267</v>
      </c>
      <c r="D129" s="5" t="s">
        <v>166</v>
      </c>
      <c r="E129" s="5" t="s">
        <v>564</v>
      </c>
      <c r="F129" s="5" t="s">
        <v>408</v>
      </c>
      <c r="G129" s="5" t="s">
        <v>239</v>
      </c>
      <c r="H129" s="6">
        <v>37837</v>
      </c>
      <c r="I129" s="5" t="s">
        <v>241</v>
      </c>
      <c r="J129" s="5" t="s">
        <v>242</v>
      </c>
      <c r="K129" s="5" t="s">
        <v>243</v>
      </c>
      <c r="L129" s="5" t="s">
        <v>271</v>
      </c>
      <c r="M129" s="5">
        <v>14</v>
      </c>
      <c r="N129" s="5">
        <v>1200</v>
      </c>
      <c r="O129" s="5">
        <v>0</v>
      </c>
      <c r="P129" s="5">
        <v>16800</v>
      </c>
      <c r="Q129" s="5">
        <v>5</v>
      </c>
      <c r="R129" s="5" t="s">
        <v>254</v>
      </c>
      <c r="S129" s="5" t="s">
        <v>263</v>
      </c>
      <c r="T129" s="5" t="s">
        <v>326</v>
      </c>
      <c r="U129" s="5">
        <v>9848259992</v>
      </c>
      <c r="V129" s="8" t="s">
        <v>265</v>
      </c>
      <c r="W129" t="str">
        <f>IF(OR(Q129&lt;=2,V129="Cancelled"),"Blacklisted",IF(AND(P129&gt;100000,Q129&gt;=4,O129&lt;=10%,V129="Completed"),"Platinum",IF(AND(P129&gt;=50000,Q129&gt;=3,V129="Completed"),"Gold",IF(AND(P129&lt;50000,V129="Completed"),"Silver",""))))</f>
        <v>Blacklisted</v>
      </c>
      <c r="X129" t="str">
        <f>PROPER(TRIM(F129))</f>
        <v>Anita Gupta</v>
      </c>
      <c r="Y129" t="str">
        <f>LEFT(F129,3)&amp;MID(B129,2,3)&amp;LEFT(I129,2)</f>
        <v>Ani004Be</v>
      </c>
      <c r="Z129" t="str">
        <f>IF(ISNUMBER(SEARCH("@",T129)),LOWER(TRIM(T129)),"invalid email")</f>
        <v>anita.gupta@company.com</v>
      </c>
      <c r="AA129" t="str">
        <f ca="1">IF(H128="","",IFERROR(DATEDIF(IF(ISNUMBER(H128),H128,DATE(VALUE(RIGHT(H128,4)),VALUE(MID(H128,3,2)),VALUE(LEFT(H128,2)))),TODAY(),"Y"),""))</f>
        <v/>
      </c>
      <c r="AB129">
        <f>IF(OR(D129="",E129=""),"",IFERROR(DATE(MID(E129,7,4),MID(E129,4,2),LEFT(E129,2))-DATE(MID(D129,7,4),MID(D129,4,2),LEFT(D129,2)),""))</f>
        <v>3</v>
      </c>
      <c r="AC129" t="str">
        <f>IF(E129="","Pending",IF(AB129&lt;=5,"On time","Delayed"))</f>
        <v>On time</v>
      </c>
      <c r="AD129" s="29" t="str">
        <f>IF(TRIM(S129)="","Not Assigned",S129)</f>
        <v>Rahul</v>
      </c>
      <c r="AE129" t="str">
        <f>PROPER(TRIM(F129))</f>
        <v>Anita Gupta</v>
      </c>
      <c r="AF129" t="str">
        <f>PROPER(TRIM(K129))</f>
        <v>Electronics</v>
      </c>
      <c r="AG129" t="str">
        <f>PROPER(TRIM(J129))</f>
        <v>South</v>
      </c>
      <c r="AH129" t="str">
        <f t="shared" si="2"/>
        <v>Electronics</v>
      </c>
      <c r="AI129" t="str">
        <f t="shared" si="3"/>
        <v>Electronics</v>
      </c>
      <c r="AK129">
        <f>IF(COUNTIF($A$2:A129,A129)=1,1,0)</f>
        <v>1</v>
      </c>
    </row>
    <row r="130" spans="1:37">
      <c r="A130" s="9" t="s">
        <v>565</v>
      </c>
      <c r="B130" s="10" t="s">
        <v>284</v>
      </c>
      <c r="C130" s="10" t="s">
        <v>347</v>
      </c>
      <c r="D130" s="10" t="s">
        <v>56</v>
      </c>
      <c r="E130" s="10" t="s">
        <v>108</v>
      </c>
      <c r="F130" s="10" t="s">
        <v>285</v>
      </c>
      <c r="G130" s="10" t="s">
        <v>239</v>
      </c>
      <c r="H130" s="10" t="s">
        <v>566</v>
      </c>
      <c r="I130" s="10" t="s">
        <v>260</v>
      </c>
      <c r="J130" s="10" t="s">
        <v>261</v>
      </c>
      <c r="K130" s="10" t="s">
        <v>295</v>
      </c>
      <c r="L130" s="10" t="s">
        <v>349</v>
      </c>
      <c r="M130" s="10">
        <v>11</v>
      </c>
      <c r="N130" s="10">
        <v>20</v>
      </c>
      <c r="O130" s="10">
        <v>20</v>
      </c>
      <c r="P130" s="10">
        <v>176</v>
      </c>
      <c r="Q130" s="10">
        <v>4</v>
      </c>
      <c r="R130" s="10" t="s">
        <v>245</v>
      </c>
      <c r="S130" s="10" t="s">
        <v>255</v>
      </c>
      <c r="T130" s="10" t="s">
        <v>308</v>
      </c>
      <c r="U130" s="10">
        <v>9254082295</v>
      </c>
      <c r="V130" s="12" t="s">
        <v>257</v>
      </c>
      <c r="W130" t="str">
        <f>IF(OR(Q130&lt;=2,V130="Cancelled"),"Blacklisted",IF(AND(P130&gt;100000,Q130&gt;=4,O130&lt;=10%,V130="Completed"),"Platinum",IF(AND(P130&gt;=50000,Q130&gt;=3,V130="Completed"),"Gold",IF(AND(P130&lt;50000,V130="Completed"),"Silver",""))))</f>
        <v>Silver</v>
      </c>
      <c r="X130" t="str">
        <f>PROPER(TRIM(F130))</f>
        <v>Priya Patel</v>
      </c>
      <c r="Y130" t="str">
        <f>LEFT(F130,3)&amp;MID(B130,2,3)&amp;LEFT(I130,2)</f>
        <v>Pri002De</v>
      </c>
      <c r="Z130" t="str">
        <f>IF(ISNUMBER(SEARCH("@",T130)),LOWER(TRIM(T130)),"invalid email")</f>
        <v>priya.patel@company.com</v>
      </c>
      <c r="AA130">
        <f ca="1">IF(H129="","",IFERROR(DATEDIF(IF(ISNUMBER(H129),H129,DATE(VALUE(RIGHT(H129,4)),VALUE(MID(H129,3,2)),VALUE(LEFT(H129,2)))),TODAY(),"Y"),""))</f>
        <v>23</v>
      </c>
      <c r="AB130">
        <f>IF(OR(D130="",E130=""),"",IFERROR(DATE(MID(E130,7,4),MID(E130,4,2),LEFT(E130,2))-DATE(MID(D130,7,4),MID(D130,4,2),LEFT(D130,2)),""))</f>
        <v>5</v>
      </c>
      <c r="AC130" t="str">
        <f>IF(E130="","Pending",IF(AB130&lt;=5,"On time","Delayed"))</f>
        <v>On time</v>
      </c>
      <c r="AD130" s="29" t="str">
        <f>IF(TRIM(S130)="","Not Assigned",S130)</f>
        <v>Ritika</v>
      </c>
      <c r="AE130" t="str">
        <f>PROPER(TRIM(F130))</f>
        <v>Priya Patel</v>
      </c>
      <c r="AF130" t="str">
        <f>PROPER(TRIM(K130))</f>
        <v>Stationery</v>
      </c>
      <c r="AG130" t="str">
        <f>PROPER(TRIM(J130))</f>
        <v>North</v>
      </c>
      <c r="AH130" t="str">
        <f t="shared" si="2"/>
        <v>Stationery</v>
      </c>
      <c r="AI130" t="str">
        <f t="shared" si="3"/>
        <v>Stationery</v>
      </c>
      <c r="AK130">
        <f>IF(COUNTIF($A$2:A130,A130)=1,1,0)</f>
        <v>1</v>
      </c>
    </row>
    <row r="131" spans="1:37">
      <c r="A131" s="4" t="s">
        <v>567</v>
      </c>
      <c r="B131" s="5" t="s">
        <v>266</v>
      </c>
      <c r="C131" s="5" t="s">
        <v>258</v>
      </c>
      <c r="D131" s="6">
        <v>46116</v>
      </c>
      <c r="E131" s="6">
        <v>46299</v>
      </c>
      <c r="F131" s="5" t="s">
        <v>268</v>
      </c>
      <c r="G131" s="5" t="s">
        <v>269</v>
      </c>
      <c r="H131" s="5" t="s">
        <v>568</v>
      </c>
      <c r="I131" s="5" t="s">
        <v>291</v>
      </c>
      <c r="J131" s="5" t="s">
        <v>287</v>
      </c>
      <c r="K131" s="5" t="s">
        <v>243</v>
      </c>
      <c r="L131" s="5" t="s">
        <v>262</v>
      </c>
      <c r="M131" s="5">
        <v>6</v>
      </c>
      <c r="N131" s="5">
        <v>12000</v>
      </c>
      <c r="O131" s="5">
        <v>10</v>
      </c>
      <c r="P131" s="5">
        <v>64800</v>
      </c>
      <c r="Q131" s="5">
        <v>5</v>
      </c>
      <c r="R131" s="5" t="s">
        <v>277</v>
      </c>
      <c r="S131" s="5" t="s">
        <v>312</v>
      </c>
      <c r="T131" s="5" t="s">
        <v>273</v>
      </c>
      <c r="U131" s="5">
        <v>9687923860</v>
      </c>
      <c r="V131" s="8" t="s">
        <v>257</v>
      </c>
      <c r="W131" t="str">
        <f>IF(OR(Q131&lt;=2,V131="Cancelled"),"Blacklisted",IF(AND(P131&gt;100000,Q131&gt;=4,O131&lt;=10%,V131="Completed"),"Platinum",IF(AND(P131&gt;=50000,Q131&gt;=3,V131="Completed"),"Gold",IF(AND(P131&lt;50000,V131="Completed"),"Silver",""))))</f>
        <v>Gold</v>
      </c>
      <c r="X131" t="str">
        <f>PROPER(TRIM(F131))</f>
        <v>Mohit Verma</v>
      </c>
      <c r="Y131" t="str">
        <f>LEFT(F131,3)&amp;MID(B131,2,3)&amp;LEFT(I131,2)</f>
        <v>Moh009Pu</v>
      </c>
      <c r="Z131" t="str">
        <f>IF(ISNUMBER(SEARCH("@",T131)),LOWER(TRIM(T131)),"invalid email")</f>
        <v>mohit.verma@company.com</v>
      </c>
      <c r="AA131" t="str">
        <f ca="1">IF(H130="","",IFERROR(DATEDIF(IF(ISNUMBER(H130),H130,DATE(VALUE(RIGHT(H130,4)),VALUE(MID(H130,3,2)),VALUE(LEFT(H130,2)))),TODAY(),"Y"),""))</f>
        <v/>
      </c>
      <c r="AB131" t="str">
        <f>IF(OR(D131="",E131=""),"",IFERROR(DATE(MID(E131,7,4),MID(E131,4,2),LEFT(E131,2))-DATE(MID(D131,7,4),MID(D131,4,2),LEFT(D131,2)),""))</f>
        <v/>
      </c>
      <c r="AC131" t="str">
        <f>IF(E131="","Pending",IF(AB131&lt;=5,"On time","Delayed"))</f>
        <v>Delayed</v>
      </c>
      <c r="AD131" s="29" t="str">
        <f>IF(TRIM(S131)="","Not Assigned",S131)</f>
        <v>Karan</v>
      </c>
      <c r="AE131" t="str">
        <f>PROPER(TRIM(F131))</f>
        <v>Mohit Verma</v>
      </c>
      <c r="AF131" t="str">
        <f>PROPER(TRIM(K131))</f>
        <v>Electronics</v>
      </c>
      <c r="AG131" t="str">
        <f>PROPER(TRIM(J131))</f>
        <v>West</v>
      </c>
      <c r="AH131" t="str">
        <f t="shared" ref="AH131:AH194" si="4">PROPER(TRIM(K131))</f>
        <v>Electronics</v>
      </c>
      <c r="AI131" t="str">
        <f t="shared" ref="AI131:AI194" si="5">IF(OR(LOWER(TRIM(K131))="electronic",LOWER(TRIM(K131))="electronics"),"Electronics",PROPER(TRIM(K131)))</f>
        <v>Electronics</v>
      </c>
      <c r="AK131">
        <f>IF(COUNTIF($A$2:A131,A131)=1,1,0)</f>
        <v>1</v>
      </c>
    </row>
    <row r="132" spans="1:37">
      <c r="A132" s="9" t="s">
        <v>569</v>
      </c>
      <c r="B132" s="10" t="s">
        <v>266</v>
      </c>
      <c r="C132" s="10" t="s">
        <v>250</v>
      </c>
      <c r="D132" s="11">
        <v>45904</v>
      </c>
      <c r="E132" s="10" t="s">
        <v>67</v>
      </c>
      <c r="F132" s="10" t="s">
        <v>268</v>
      </c>
      <c r="G132" s="10" t="s">
        <v>269</v>
      </c>
      <c r="H132" s="11">
        <v>34519</v>
      </c>
      <c r="I132" s="10" t="s">
        <v>252</v>
      </c>
      <c r="J132" s="10" t="s">
        <v>242</v>
      </c>
      <c r="K132" s="10" t="s">
        <v>15</v>
      </c>
      <c r="L132" s="10" t="s">
        <v>253</v>
      </c>
      <c r="M132" s="10">
        <v>6</v>
      </c>
      <c r="N132" s="10">
        <v>2200</v>
      </c>
      <c r="O132" s="10">
        <v>5</v>
      </c>
      <c r="P132" s="10">
        <v>12540</v>
      </c>
      <c r="Q132" s="10">
        <v>4</v>
      </c>
      <c r="R132" s="10" t="s">
        <v>254</v>
      </c>
      <c r="S132" s="10" t="s">
        <v>263</v>
      </c>
      <c r="T132" s="10" t="s">
        <v>273</v>
      </c>
      <c r="U132" s="10">
        <v>9426459149</v>
      </c>
      <c r="V132" s="12" t="s">
        <v>257</v>
      </c>
      <c r="W132" t="str">
        <f>IF(OR(Q132&lt;=2,V132="Cancelled"),"Blacklisted",IF(AND(P132&gt;100000,Q132&gt;=4,O132&lt;=10%,V132="Completed"),"Platinum",IF(AND(P132&gt;=50000,Q132&gt;=3,V132="Completed"),"Gold",IF(AND(P132&lt;50000,V132="Completed"),"Silver",""))))</f>
        <v>Silver</v>
      </c>
      <c r="X132" t="str">
        <f>PROPER(TRIM(F132))</f>
        <v>Mohit Verma</v>
      </c>
      <c r="Y132" t="str">
        <f>LEFT(F132,3)&amp;MID(B132,2,3)&amp;LEFT(I132,2)</f>
        <v>Moh009Hy</v>
      </c>
      <c r="Z132" t="str">
        <f>IF(ISNUMBER(SEARCH("@",T132)),LOWER(TRIM(T132)),"invalid email")</f>
        <v>mohit.verma@company.com</v>
      </c>
      <c r="AA132" t="str">
        <f ca="1">IF(H131="","",IFERROR(DATEDIF(IF(ISNUMBER(H131),H131,DATE(VALUE(RIGHT(H131,4)),VALUE(MID(H131,3,2)),VALUE(LEFT(H131,2)))),TODAY(),"Y"),""))</f>
        <v/>
      </c>
      <c r="AB132" t="str">
        <f>IF(OR(D132="",E132=""),"",IFERROR(DATE(MID(E132,7,4),MID(E132,4,2),LEFT(E132,2))-DATE(MID(D132,7,4),MID(D132,4,2),LEFT(D132,2)),""))</f>
        <v/>
      </c>
      <c r="AC132" t="str">
        <f>IF(E132="","Pending",IF(AB132&lt;=5,"On time","Delayed"))</f>
        <v>Delayed</v>
      </c>
      <c r="AD132" s="29" t="str">
        <f>IF(TRIM(S132)="","Not Assigned",S132)</f>
        <v>Rahul</v>
      </c>
      <c r="AE132" t="str">
        <f>PROPER(TRIM(F132))</f>
        <v>Mohit Verma</v>
      </c>
      <c r="AF132" t="str">
        <f>PROPER(TRIM(K132))</f>
        <v>Home Appliances</v>
      </c>
      <c r="AG132" t="str">
        <f>PROPER(TRIM(J132))</f>
        <v>South</v>
      </c>
      <c r="AH132" t="str">
        <f t="shared" si="4"/>
        <v>Home Appliances</v>
      </c>
      <c r="AI132" t="str">
        <f t="shared" si="5"/>
        <v>Home Appliances</v>
      </c>
      <c r="AK132">
        <f>IF(COUNTIF($A$2:A132,A132)=1,1,0)</f>
        <v>1</v>
      </c>
    </row>
    <row r="133" spans="1:37">
      <c r="A133" s="4" t="s">
        <v>570</v>
      </c>
      <c r="B133" s="5" t="s">
        <v>235</v>
      </c>
      <c r="C133" s="5" t="s">
        <v>280</v>
      </c>
      <c r="D133" s="5" t="s">
        <v>35</v>
      </c>
      <c r="E133" s="5" t="s">
        <v>167</v>
      </c>
      <c r="F133" s="5" t="s">
        <v>318</v>
      </c>
      <c r="G133" s="5" t="s">
        <v>239</v>
      </c>
      <c r="H133" s="6">
        <v>37662</v>
      </c>
      <c r="I133" s="5" t="s">
        <v>260</v>
      </c>
      <c r="J133" s="5" t="s">
        <v>261</v>
      </c>
      <c r="K133" s="5" t="s">
        <v>15</v>
      </c>
      <c r="L133" s="5" t="s">
        <v>282</v>
      </c>
      <c r="M133" s="5">
        <v>3</v>
      </c>
      <c r="N133" s="5">
        <v>3500</v>
      </c>
      <c r="O133" s="5">
        <v>5</v>
      </c>
      <c r="P133" s="5">
        <v>9975</v>
      </c>
      <c r="Q133" s="5">
        <v>4</v>
      </c>
      <c r="R133" s="5" t="s">
        <v>245</v>
      </c>
      <c r="S133" s="5" t="s">
        <v>263</v>
      </c>
      <c r="T133" s="5" t="s">
        <v>247</v>
      </c>
      <c r="U133" s="5">
        <v>9155925975</v>
      </c>
      <c r="V133" s="8" t="s">
        <v>248</v>
      </c>
      <c r="W133" t="str">
        <f>IF(OR(Q133&lt;=2,V133="Cancelled"),"Blacklisted",IF(AND(P133&gt;100000,Q133&gt;=4,O133&lt;=10%,V133="Completed"),"Platinum",IF(AND(P133&gt;=50000,Q133&gt;=3,V133="Completed"),"Gold",IF(AND(P133&lt;50000,V133="Completed"),"Silver",""))))</f>
        <v/>
      </c>
      <c r="X133" t="str">
        <f>PROPER(TRIM(F133))</f>
        <v>Pooja Shah</v>
      </c>
      <c r="Y133" t="str">
        <f>LEFT(F133,3)&amp;MID(B133,2,3)&amp;LEFT(I133,2)</f>
        <v>Poo010De</v>
      </c>
      <c r="Z133" t="str">
        <f>IF(ISNUMBER(SEARCH("@",T133)),LOWER(TRIM(T133)),"invalid email")</f>
        <v>pooja.shah@company.com</v>
      </c>
      <c r="AA133">
        <f ca="1">IF(H132="","",IFERROR(DATEDIF(IF(ISNUMBER(H132),H132,DATE(VALUE(RIGHT(H132,4)),VALUE(MID(H132,3,2)),VALUE(LEFT(H132,2)))),TODAY(),"Y"),""))</f>
        <v>32</v>
      </c>
      <c r="AB133">
        <f>IF(OR(D133="",E133=""),"",IFERROR(DATE(MID(E133,7,4),MID(E133,4,2),LEFT(E133,2))-DATE(MID(D133,7,4),MID(D133,4,2),LEFT(D133,2)),""))</f>
        <v>12</v>
      </c>
      <c r="AC133" t="str">
        <f>IF(E133="","Pending",IF(AB133&lt;=5,"On time","Delayed"))</f>
        <v>Delayed</v>
      </c>
      <c r="AD133" s="29" t="str">
        <f>IF(TRIM(S133)="","Not Assigned",S133)</f>
        <v>Rahul</v>
      </c>
      <c r="AE133" t="str">
        <f>PROPER(TRIM(F133))</f>
        <v>Pooja Shah</v>
      </c>
      <c r="AF133" t="str">
        <f>PROPER(TRIM(K133))</f>
        <v>Home Appliances</v>
      </c>
      <c r="AG133" t="str">
        <f>PROPER(TRIM(J133))</f>
        <v>North</v>
      </c>
      <c r="AH133" t="str">
        <f t="shared" si="4"/>
        <v>Home Appliances</v>
      </c>
      <c r="AI133" t="str">
        <f t="shared" si="5"/>
        <v>Home Appliances</v>
      </c>
      <c r="AK133">
        <f>IF(COUNTIF($A$2:A133,A133)=1,1,0)</f>
        <v>1</v>
      </c>
    </row>
    <row r="134" spans="1:37">
      <c r="A134" s="9" t="s">
        <v>571</v>
      </c>
      <c r="B134" s="10" t="s">
        <v>266</v>
      </c>
      <c r="C134" s="10" t="s">
        <v>322</v>
      </c>
      <c r="D134" s="11">
        <v>45875</v>
      </c>
      <c r="E134" s="11">
        <v>45936</v>
      </c>
      <c r="F134" s="10" t="s">
        <v>268</v>
      </c>
      <c r="G134" s="10" t="s">
        <v>269</v>
      </c>
      <c r="H134" s="10" t="s">
        <v>572</v>
      </c>
      <c r="I134" s="10" t="s">
        <v>252</v>
      </c>
      <c r="J134" s="10" t="s">
        <v>242</v>
      </c>
      <c r="K134" s="10" t="s">
        <v>15</v>
      </c>
      <c r="L134" s="10" t="s">
        <v>325</v>
      </c>
      <c r="M134" s="10">
        <v>5</v>
      </c>
      <c r="N134" s="10">
        <v>8500</v>
      </c>
      <c r="O134" s="10">
        <v>20</v>
      </c>
      <c r="P134" s="10">
        <v>34000</v>
      </c>
      <c r="Q134" s="10">
        <v>5</v>
      </c>
      <c r="R134" s="10" t="s">
        <v>254</v>
      </c>
      <c r="S134" s="10" t="s">
        <v>246</v>
      </c>
      <c r="T134" s="10" t="s">
        <v>273</v>
      </c>
      <c r="U134" s="10">
        <v>9945247701</v>
      </c>
      <c r="V134" s="12" t="s">
        <v>248</v>
      </c>
      <c r="W134" t="str">
        <f>IF(OR(Q134&lt;=2,V134="Cancelled"),"Blacklisted",IF(AND(P134&gt;100000,Q134&gt;=4,O134&lt;=10%,V134="Completed"),"Platinum",IF(AND(P134&gt;=50000,Q134&gt;=3,V134="Completed"),"Gold",IF(AND(P134&lt;50000,V134="Completed"),"Silver",""))))</f>
        <v/>
      </c>
      <c r="X134" t="str">
        <f>PROPER(TRIM(F134))</f>
        <v>Mohit Verma</v>
      </c>
      <c r="Y134" t="str">
        <f>LEFT(F134,3)&amp;MID(B134,2,3)&amp;LEFT(I134,2)</f>
        <v>Moh009Hy</v>
      </c>
      <c r="Z134" t="str">
        <f>IF(ISNUMBER(SEARCH("@",T134)),LOWER(TRIM(T134)),"invalid email")</f>
        <v>mohit.verma@company.com</v>
      </c>
      <c r="AA134">
        <f ca="1">IF(H133="","",IFERROR(DATEDIF(IF(ISNUMBER(H133),H133,DATE(VALUE(RIGHT(H133,4)),VALUE(MID(H133,3,2)),VALUE(LEFT(H133,2)))),TODAY(),"Y"),""))</f>
        <v>23</v>
      </c>
      <c r="AB134" t="str">
        <f>IF(OR(D134="",E134=""),"",IFERROR(DATE(MID(E134,7,4),MID(E134,4,2),LEFT(E134,2))-DATE(MID(D134,7,4),MID(D134,4,2),LEFT(D134,2)),""))</f>
        <v/>
      </c>
      <c r="AC134" t="str">
        <f>IF(E134="","Pending",IF(AB134&lt;=5,"On time","Delayed"))</f>
        <v>Delayed</v>
      </c>
      <c r="AD134" s="29" t="str">
        <f>IF(TRIM(S134)="","Not Assigned",S134)</f>
        <v>Aisha</v>
      </c>
      <c r="AE134" t="str">
        <f>PROPER(TRIM(F134))</f>
        <v>Mohit Verma</v>
      </c>
      <c r="AF134" t="str">
        <f>PROPER(TRIM(K134))</f>
        <v>Home Appliances</v>
      </c>
      <c r="AG134" t="str">
        <f>PROPER(TRIM(J134))</f>
        <v>South</v>
      </c>
      <c r="AH134" t="str">
        <f t="shared" si="4"/>
        <v>Home Appliances</v>
      </c>
      <c r="AI134" t="str">
        <f t="shared" si="5"/>
        <v>Home Appliances</v>
      </c>
      <c r="AK134">
        <f>IF(COUNTIF($A$2:A134,A134)=1,1,0)</f>
        <v>1</v>
      </c>
    </row>
    <row r="135" spans="1:37">
      <c r="A135" s="4" t="s">
        <v>573</v>
      </c>
      <c r="B135" s="5" t="s">
        <v>249</v>
      </c>
      <c r="C135" s="5" t="s">
        <v>280</v>
      </c>
      <c r="D135" s="5" t="s">
        <v>145</v>
      </c>
      <c r="E135" s="6">
        <v>45665</v>
      </c>
      <c r="F135" s="5" t="s">
        <v>251</v>
      </c>
      <c r="G135" s="5" t="s">
        <v>239</v>
      </c>
      <c r="H135" s="6">
        <v>29106</v>
      </c>
      <c r="I135" s="5" t="s">
        <v>241</v>
      </c>
      <c r="J135" s="5" t="s">
        <v>242</v>
      </c>
      <c r="K135" s="5" t="s">
        <v>15</v>
      </c>
      <c r="L135" s="5" t="s">
        <v>282</v>
      </c>
      <c r="M135" s="5">
        <v>14</v>
      </c>
      <c r="N135" s="5">
        <v>3500</v>
      </c>
      <c r="O135" s="5">
        <v>10</v>
      </c>
      <c r="P135" s="5">
        <v>44100</v>
      </c>
      <c r="Q135" s="5">
        <v>4</v>
      </c>
      <c r="R135" s="5" t="s">
        <v>277</v>
      </c>
      <c r="S135" s="5" t="s">
        <v>255</v>
      </c>
      <c r="T135" s="5" t="s">
        <v>264</v>
      </c>
      <c r="U135" s="5">
        <v>9597378398</v>
      </c>
      <c r="V135" s="8" t="s">
        <v>265</v>
      </c>
      <c r="W135" t="str">
        <f>IF(OR(Q135&lt;=2,V135="Cancelled"),"Blacklisted",IF(AND(P135&gt;100000,Q135&gt;=4,O135&lt;=10%,V135="Completed"),"Platinum",IF(AND(P135&gt;=50000,Q135&gt;=3,V135="Completed"),"Gold",IF(AND(P135&lt;50000,V135="Completed"),"Silver",""))))</f>
        <v>Blacklisted</v>
      </c>
      <c r="X135" t="str">
        <f>PROPER(TRIM(F135))</f>
        <v>Kavya Nair</v>
      </c>
      <c r="Y135" t="str">
        <f>LEFT(F135,3)&amp;MID(B135,2,3)&amp;LEFT(I135,2)</f>
        <v>Kav008Be</v>
      </c>
      <c r="Z135" t="str">
        <f>IF(ISNUMBER(SEARCH("@",T135)),LOWER(TRIM(T135)),"invalid email")</f>
        <v>kavya.nair@company.com</v>
      </c>
      <c r="AA135" t="str">
        <f ca="1">IF(H134="","",IFERROR(DATEDIF(IF(ISNUMBER(H134),H134,DATE(VALUE(RIGHT(H134,4)),VALUE(MID(H134,3,2)),VALUE(LEFT(H134,2)))),TODAY(),"Y"),""))</f>
        <v/>
      </c>
      <c r="AB135" t="str">
        <f>IF(OR(D135="",E135=""),"",IFERROR(DATE(MID(E135,7,4),MID(E135,4,2),LEFT(E135,2))-DATE(MID(D135,7,4),MID(D135,4,2),LEFT(D135,2)),""))</f>
        <v/>
      </c>
      <c r="AC135" t="str">
        <f>IF(E135="","Pending",IF(AB135&lt;=5,"On time","Delayed"))</f>
        <v>Delayed</v>
      </c>
      <c r="AD135" s="29" t="str">
        <f>IF(TRIM(S135)="","Not Assigned",S135)</f>
        <v>Ritika</v>
      </c>
      <c r="AE135" t="str">
        <f>PROPER(TRIM(F135))</f>
        <v>Kavya Nair</v>
      </c>
      <c r="AF135" t="str">
        <f>PROPER(TRIM(K135))</f>
        <v>Home Appliances</v>
      </c>
      <c r="AG135" t="str">
        <f>PROPER(TRIM(J135))</f>
        <v>South</v>
      </c>
      <c r="AH135" t="str">
        <f t="shared" si="4"/>
        <v>Home Appliances</v>
      </c>
      <c r="AI135" t="str">
        <f t="shared" si="5"/>
        <v>Home Appliances</v>
      </c>
      <c r="AK135">
        <f>IF(COUNTIF($A$2:A135,A135)=1,1,0)</f>
        <v>1</v>
      </c>
    </row>
    <row r="136" spans="1:37">
      <c r="A136" s="9" t="s">
        <v>574</v>
      </c>
      <c r="B136" s="10" t="s">
        <v>392</v>
      </c>
      <c r="C136" s="10" t="s">
        <v>362</v>
      </c>
      <c r="D136" s="10" t="s">
        <v>40</v>
      </c>
      <c r="E136" s="10" t="s">
        <v>96</v>
      </c>
      <c r="F136" s="10" t="s">
        <v>323</v>
      </c>
      <c r="G136" s="10" t="s">
        <v>269</v>
      </c>
      <c r="H136" s="10" t="s">
        <v>575</v>
      </c>
      <c r="I136" s="10" t="s">
        <v>306</v>
      </c>
      <c r="J136" s="10" t="s">
        <v>287</v>
      </c>
      <c r="K136" s="10" t="s">
        <v>295</v>
      </c>
      <c r="L136" s="10" t="s">
        <v>363</v>
      </c>
      <c r="M136" s="10">
        <v>8</v>
      </c>
      <c r="N136" s="10">
        <v>45</v>
      </c>
      <c r="O136" s="10">
        <v>0</v>
      </c>
      <c r="P136" s="10">
        <v>360</v>
      </c>
      <c r="Q136" s="10">
        <v>1</v>
      </c>
      <c r="R136" s="10" t="s">
        <v>272</v>
      </c>
      <c r="S136" s="10" t="s">
        <v>312</v>
      </c>
      <c r="T136" s="10" t="s">
        <v>395</v>
      </c>
      <c r="U136" s="10">
        <v>9343963736</v>
      </c>
      <c r="V136" s="12" t="s">
        <v>265</v>
      </c>
      <c r="W136" t="str">
        <f>IF(OR(Q136&lt;=2,V136="Cancelled"),"Blacklisted",IF(AND(P136&gt;100000,Q136&gt;=4,O136&lt;=10%,V136="Completed"),"Platinum",IF(AND(P136&gt;=50000,Q136&gt;=3,V136="Completed"),"Gold",IF(AND(P136&lt;50000,V136="Completed"),"Silver",""))))</f>
        <v>Blacklisted</v>
      </c>
      <c r="X136" t="str">
        <f>PROPER(TRIM(F136))</f>
        <v>Amit Sharma</v>
      </c>
      <c r="Y136" t="str">
        <f>LEFT(F136,3)&amp;MID(B136,2,3)&amp;LEFT(I136,2)</f>
        <v>Ami001Ah</v>
      </c>
      <c r="Z136" t="str">
        <f>IF(ISNUMBER(SEARCH("@",T136)),LOWER(TRIM(T136)),"invalid email")</f>
        <v>amit.sharma@company.com</v>
      </c>
      <c r="AA136">
        <f ca="1">IF(H135="","",IFERROR(DATEDIF(IF(ISNUMBER(H135),H135,DATE(VALUE(RIGHT(H135,4)),VALUE(MID(H135,3,2)),VALUE(LEFT(H135,2)))),TODAY(),"Y"),""))</f>
        <v>47</v>
      </c>
      <c r="AB136">
        <f>IF(OR(D136="",E136=""),"",IFERROR(DATE(MID(E136,7,4),MID(E136,4,2),LEFT(E136,2))-DATE(MID(D136,7,4),MID(D136,4,2),LEFT(D136,2)),""))</f>
        <v>5</v>
      </c>
      <c r="AC136" t="str">
        <f>IF(E136="","Pending",IF(AB136&lt;=5,"On time","Delayed"))</f>
        <v>On time</v>
      </c>
      <c r="AD136" s="29" t="str">
        <f>IF(TRIM(S136)="","Not Assigned",S136)</f>
        <v>Karan</v>
      </c>
      <c r="AE136" t="str">
        <f>PROPER(TRIM(F136))</f>
        <v>Amit Sharma</v>
      </c>
      <c r="AF136" t="str">
        <f>PROPER(TRIM(K136))</f>
        <v>Stationery</v>
      </c>
      <c r="AG136" t="str">
        <f>PROPER(TRIM(J136))</f>
        <v>West</v>
      </c>
      <c r="AH136" t="str">
        <f t="shared" si="4"/>
        <v>Stationery</v>
      </c>
      <c r="AI136" t="str">
        <f t="shared" si="5"/>
        <v>Stationery</v>
      </c>
      <c r="AK136">
        <f>IF(COUNTIF($A$2:A136,A136)=1,1,0)</f>
        <v>1</v>
      </c>
    </row>
    <row r="137" spans="1:37">
      <c r="A137" s="4" t="s">
        <v>576</v>
      </c>
      <c r="B137" s="5" t="s">
        <v>346</v>
      </c>
      <c r="C137" s="5" t="s">
        <v>362</v>
      </c>
      <c r="D137" s="6">
        <v>45749</v>
      </c>
      <c r="E137" s="6">
        <v>45779</v>
      </c>
      <c r="F137" s="5" t="s">
        <v>348</v>
      </c>
      <c r="G137" s="5" t="s">
        <v>269</v>
      </c>
      <c r="H137" s="5" t="s">
        <v>577</v>
      </c>
      <c r="I137" s="5" t="s">
        <v>260</v>
      </c>
      <c r="J137" s="5" t="s">
        <v>261</v>
      </c>
      <c r="K137" s="5" t="s">
        <v>295</v>
      </c>
      <c r="L137" s="5" t="s">
        <v>363</v>
      </c>
      <c r="M137" s="5">
        <v>11</v>
      </c>
      <c r="N137" s="5">
        <v>45</v>
      </c>
      <c r="O137" s="5">
        <v>5</v>
      </c>
      <c r="P137" s="5">
        <v>470.25</v>
      </c>
      <c r="Q137" s="5">
        <v>3</v>
      </c>
      <c r="R137" s="5" t="s">
        <v>272</v>
      </c>
      <c r="S137" s="5" t="s">
        <v>263</v>
      </c>
      <c r="T137" s="5" t="s">
        <v>350</v>
      </c>
      <c r="U137" s="5">
        <v>9548742147</v>
      </c>
      <c r="V137" s="8" t="s">
        <v>257</v>
      </c>
      <c r="W137" t="str">
        <f>IF(OR(Q137&lt;=2,V137="Cancelled"),"Blacklisted",IF(AND(P137&gt;100000,Q137&gt;=4,O137&lt;=10%,V137="Completed"),"Platinum",IF(AND(P137&gt;=50000,Q137&gt;=3,V137="Completed"),"Gold",IF(AND(P137&lt;50000,V137="Completed"),"Silver",""))))</f>
        <v>Silver</v>
      </c>
      <c r="X137" t="str">
        <f>PROPER(TRIM(F137))</f>
        <v>Vikas Mehta</v>
      </c>
      <c r="Y137" t="str">
        <f>LEFT(F137,3)&amp;MID(B137,2,3)&amp;LEFT(I137,2)</f>
        <v>Vik005De</v>
      </c>
      <c r="Z137" t="str">
        <f>IF(ISNUMBER(SEARCH("@",T137)),LOWER(TRIM(T137)),"invalid email")</f>
        <v>vikas.mehta@company.com</v>
      </c>
      <c r="AA137" t="str">
        <f ca="1">IF(H136="","",IFERROR(DATEDIF(IF(ISNUMBER(H136),H136,DATE(VALUE(RIGHT(H136,4)),VALUE(MID(H136,3,2)),VALUE(LEFT(H136,2)))),TODAY(),"Y"),""))</f>
        <v/>
      </c>
      <c r="AB137" t="str">
        <f>IF(OR(D137="",E137=""),"",IFERROR(DATE(MID(E137,7,4),MID(E137,4,2),LEFT(E137,2))-DATE(MID(D137,7,4),MID(D137,4,2),LEFT(D137,2)),""))</f>
        <v/>
      </c>
      <c r="AC137" t="str">
        <f>IF(E137="","Pending",IF(AB137&lt;=5,"On time","Delayed"))</f>
        <v>Delayed</v>
      </c>
      <c r="AD137" s="29" t="str">
        <f>IF(TRIM(S137)="","Not Assigned",S137)</f>
        <v>Rahul</v>
      </c>
      <c r="AE137" t="str">
        <f>PROPER(TRIM(F137))</f>
        <v>Vikas Mehta</v>
      </c>
      <c r="AF137" t="str">
        <f>PROPER(TRIM(K137))</f>
        <v>Stationery</v>
      </c>
      <c r="AG137" t="str">
        <f>PROPER(TRIM(J137))</f>
        <v>North</v>
      </c>
      <c r="AH137" t="str">
        <f t="shared" si="4"/>
        <v>Stationery</v>
      </c>
      <c r="AI137" t="str">
        <f t="shared" si="5"/>
        <v>Stationery</v>
      </c>
      <c r="AK137">
        <f>IF(COUNTIF($A$2:A137,A137)=1,1,0)</f>
        <v>1</v>
      </c>
    </row>
    <row r="138" spans="1:37">
      <c r="A138" s="9" t="s">
        <v>578</v>
      </c>
      <c r="B138" s="10" t="s">
        <v>275</v>
      </c>
      <c r="C138" s="10" t="s">
        <v>236</v>
      </c>
      <c r="D138" s="10" t="s">
        <v>106</v>
      </c>
      <c r="E138" s="10" t="s">
        <v>579</v>
      </c>
      <c r="F138" s="10" t="s">
        <v>328</v>
      </c>
      <c r="G138" s="10" t="s">
        <v>269</v>
      </c>
      <c r="H138" s="10" t="s">
        <v>580</v>
      </c>
      <c r="I138" s="10" t="s">
        <v>306</v>
      </c>
      <c r="J138" s="10" t="s">
        <v>287</v>
      </c>
      <c r="K138" s="10" t="s">
        <v>243</v>
      </c>
      <c r="L138" s="10" t="s">
        <v>244</v>
      </c>
      <c r="M138" s="10">
        <v>19</v>
      </c>
      <c r="N138" s="10">
        <v>55000</v>
      </c>
      <c r="O138" s="10">
        <v>0</v>
      </c>
      <c r="P138" s="10">
        <v>1045000</v>
      </c>
      <c r="Q138" s="10">
        <v>2</v>
      </c>
      <c r="R138" s="10" t="s">
        <v>272</v>
      </c>
      <c r="S138" s="10" t="s">
        <v>255</v>
      </c>
      <c r="T138" s="10" t="s">
        <v>278</v>
      </c>
      <c r="U138" s="10">
        <v>9912945471</v>
      </c>
      <c r="V138" s="12" t="s">
        <v>265</v>
      </c>
      <c r="W138" t="str">
        <f>IF(OR(Q138&lt;=2,V138="Cancelled"),"Blacklisted",IF(AND(P138&gt;100000,Q138&gt;=4,O138&lt;=10%,V138="Completed"),"Platinum",IF(AND(P138&gt;=50000,Q138&gt;=3,V138="Completed"),"Gold",IF(AND(P138&lt;50000,V138="Completed"),"Silver",""))))</f>
        <v>Blacklisted</v>
      </c>
      <c r="X138" t="str">
        <f>PROPER(TRIM(F138))</f>
        <v>Arjun Rao</v>
      </c>
      <c r="Y138" t="str">
        <f>LEFT(F138,3)&amp;MID(B138,2,3)&amp;LEFT(I138,2)</f>
        <v>Arj007Ah</v>
      </c>
      <c r="Z138" t="str">
        <f>IF(ISNUMBER(SEARCH("@",T138)),LOWER(TRIM(T138)),"invalid email")</f>
        <v>arjun.rao@company.com</v>
      </c>
      <c r="AA138" t="str">
        <f ca="1">IF(H137="","",IFERROR(DATEDIF(IF(ISNUMBER(H137),H137,DATE(VALUE(RIGHT(H137,4)),VALUE(MID(H137,3,2)),VALUE(LEFT(H137,2)))),TODAY(),"Y"),""))</f>
        <v/>
      </c>
      <c r="AB138">
        <f>IF(OR(D138="",E138=""),"",IFERROR(DATE(MID(E138,7,4),MID(E138,4,2),LEFT(E138,2))-DATE(MID(D138,7,4),MID(D138,4,2),LEFT(D138,2)),""))</f>
        <v>8</v>
      </c>
      <c r="AC138" t="str">
        <f>IF(E138="","Pending",IF(AB138&lt;=5,"On time","Delayed"))</f>
        <v>Delayed</v>
      </c>
      <c r="AD138" s="29" t="str">
        <f>IF(TRIM(S138)="","Not Assigned",S138)</f>
        <v>Ritika</v>
      </c>
      <c r="AE138" t="str">
        <f>PROPER(TRIM(F138))</f>
        <v>Arjun Rao</v>
      </c>
      <c r="AF138" t="str">
        <f>PROPER(TRIM(K138))</f>
        <v>Electronics</v>
      </c>
      <c r="AG138" t="str">
        <f>PROPER(TRIM(J138))</f>
        <v>West</v>
      </c>
      <c r="AH138" t="str">
        <f t="shared" si="4"/>
        <v>Electronics</v>
      </c>
      <c r="AI138" t="str">
        <f t="shared" si="5"/>
        <v>Electronics</v>
      </c>
      <c r="AK138">
        <f>IF(COUNTIF($A$2:A138,A138)=1,1,0)</f>
        <v>1</v>
      </c>
    </row>
    <row r="139" spans="1:37">
      <c r="A139" s="4" t="s">
        <v>581</v>
      </c>
      <c r="B139" s="5" t="s">
        <v>235</v>
      </c>
      <c r="C139" s="5" t="s">
        <v>280</v>
      </c>
      <c r="D139" s="6">
        <v>45965</v>
      </c>
      <c r="E139" s="5" t="s">
        <v>67</v>
      </c>
      <c r="F139" s="5" t="s">
        <v>318</v>
      </c>
      <c r="G139" s="5" t="s">
        <v>239</v>
      </c>
      <c r="H139" s="6">
        <v>29099</v>
      </c>
      <c r="I139" s="5" t="s">
        <v>291</v>
      </c>
      <c r="J139" s="5" t="s">
        <v>287</v>
      </c>
      <c r="K139" s="5" t="s">
        <v>15</v>
      </c>
      <c r="L139" s="5" t="s">
        <v>282</v>
      </c>
      <c r="M139" s="5">
        <v>20</v>
      </c>
      <c r="N139" s="5">
        <v>3500</v>
      </c>
      <c r="O139" s="5">
        <v>20</v>
      </c>
      <c r="P139" s="5">
        <v>56000</v>
      </c>
      <c r="Q139" s="5">
        <v>4</v>
      </c>
      <c r="R139" s="5" t="s">
        <v>245</v>
      </c>
      <c r="S139" s="5" t="s">
        <v>263</v>
      </c>
      <c r="T139" s="5" t="s">
        <v>247</v>
      </c>
      <c r="U139" s="5">
        <v>9912630684</v>
      </c>
      <c r="V139" s="8" t="s">
        <v>257</v>
      </c>
      <c r="W139" t="str">
        <f>IF(OR(Q139&lt;=2,V139="Cancelled"),"Blacklisted",IF(AND(P139&gt;100000,Q139&gt;=4,O139&lt;=10%,V139="Completed"),"Platinum",IF(AND(P139&gt;=50000,Q139&gt;=3,V139="Completed"),"Gold",IF(AND(P139&lt;50000,V139="Completed"),"Silver",""))))</f>
        <v>Gold</v>
      </c>
      <c r="X139" t="str">
        <f>PROPER(TRIM(F139))</f>
        <v>Pooja Shah</v>
      </c>
      <c r="Y139" t="str">
        <f>LEFT(F139,3)&amp;MID(B139,2,3)&amp;LEFT(I139,2)</f>
        <v>Poo010Pu</v>
      </c>
      <c r="Z139" t="str">
        <f>IF(ISNUMBER(SEARCH("@",T139)),LOWER(TRIM(T139)),"invalid email")</f>
        <v>pooja.shah@company.com</v>
      </c>
      <c r="AA139" t="str">
        <f ca="1">IF(H138="","",IFERROR(DATEDIF(IF(ISNUMBER(H138),H138,DATE(VALUE(RIGHT(H138,4)),VALUE(MID(H138,3,2)),VALUE(LEFT(H138,2)))),TODAY(),"Y"),""))</f>
        <v/>
      </c>
      <c r="AB139" t="str">
        <f>IF(OR(D139="",E139=""),"",IFERROR(DATE(MID(E139,7,4),MID(E139,4,2),LEFT(E139,2))-DATE(MID(D139,7,4),MID(D139,4,2),LEFT(D139,2)),""))</f>
        <v/>
      </c>
      <c r="AC139" t="str">
        <f>IF(E139="","Pending",IF(AB139&lt;=5,"On time","Delayed"))</f>
        <v>Delayed</v>
      </c>
      <c r="AD139" s="29" t="str">
        <f>IF(TRIM(S139)="","Not Assigned",S139)</f>
        <v>Rahul</v>
      </c>
      <c r="AE139" t="str">
        <f>PROPER(TRIM(F139))</f>
        <v>Pooja Shah</v>
      </c>
      <c r="AF139" t="str">
        <f>PROPER(TRIM(K139))</f>
        <v>Home Appliances</v>
      </c>
      <c r="AG139" t="str">
        <f>PROPER(TRIM(J139))</f>
        <v>West</v>
      </c>
      <c r="AH139" t="str">
        <f t="shared" si="4"/>
        <v>Home Appliances</v>
      </c>
      <c r="AI139" t="str">
        <f t="shared" si="5"/>
        <v>Home Appliances</v>
      </c>
      <c r="AK139">
        <f>IF(COUNTIF($A$2:A139,A139)=1,1,0)</f>
        <v>1</v>
      </c>
    </row>
    <row r="140" spans="1:37">
      <c r="A140" s="9" t="s">
        <v>582</v>
      </c>
      <c r="B140" s="10" t="s">
        <v>275</v>
      </c>
      <c r="C140" s="10" t="s">
        <v>250</v>
      </c>
      <c r="D140" s="11">
        <v>45754</v>
      </c>
      <c r="E140" s="10" t="s">
        <v>29</v>
      </c>
      <c r="F140" s="10" t="s">
        <v>328</v>
      </c>
      <c r="G140" s="10" t="s">
        <v>269</v>
      </c>
      <c r="H140" s="10" t="s">
        <v>583</v>
      </c>
      <c r="I140" s="10" t="s">
        <v>291</v>
      </c>
      <c r="J140" s="10" t="s">
        <v>287</v>
      </c>
      <c r="K140" s="10" t="s">
        <v>15</v>
      </c>
      <c r="L140" s="10" t="s">
        <v>253</v>
      </c>
      <c r="M140" s="10">
        <v>17</v>
      </c>
      <c r="N140" s="10">
        <v>2200</v>
      </c>
      <c r="O140" s="10">
        <v>0</v>
      </c>
      <c r="P140" s="10">
        <v>37400</v>
      </c>
      <c r="Q140" s="10">
        <v>5</v>
      </c>
      <c r="R140" s="10" t="s">
        <v>245</v>
      </c>
      <c r="S140" s="10" t="s">
        <v>255</v>
      </c>
      <c r="T140" s="10" t="s">
        <v>278</v>
      </c>
      <c r="U140" s="10">
        <v>9114017237</v>
      </c>
      <c r="V140" s="12" t="s">
        <v>248</v>
      </c>
      <c r="W140" t="str">
        <f>IF(OR(Q140&lt;=2,V140="Cancelled"),"Blacklisted",IF(AND(P140&gt;100000,Q140&gt;=4,O140&lt;=10%,V140="Completed"),"Platinum",IF(AND(P140&gt;=50000,Q140&gt;=3,V140="Completed"),"Gold",IF(AND(P140&lt;50000,V140="Completed"),"Silver",""))))</f>
        <v/>
      </c>
      <c r="X140" t="str">
        <f>PROPER(TRIM(F140))</f>
        <v>Arjun Rao</v>
      </c>
      <c r="Y140" t="str">
        <f>LEFT(F140,3)&amp;MID(B140,2,3)&amp;LEFT(I140,2)</f>
        <v>Arj007Pu</v>
      </c>
      <c r="Z140" t="str">
        <f>IF(ISNUMBER(SEARCH("@",T140)),LOWER(TRIM(T140)),"invalid email")</f>
        <v>arjun.rao@company.com</v>
      </c>
      <c r="AA140">
        <f ca="1">IF(H139="","",IFERROR(DATEDIF(IF(ISNUMBER(H139),H139,DATE(VALUE(RIGHT(H139,4)),VALUE(MID(H139,3,2)),VALUE(LEFT(H139,2)))),TODAY(),"Y"),""))</f>
        <v>47</v>
      </c>
      <c r="AB140" t="str">
        <f>IF(OR(D140="",E140=""),"",IFERROR(DATE(MID(E140,7,4),MID(E140,4,2),LEFT(E140,2))-DATE(MID(D140,7,4),MID(D140,4,2),LEFT(D140,2)),""))</f>
        <v/>
      </c>
      <c r="AC140" t="str">
        <f>IF(E140="","Pending",IF(AB140&lt;=5,"On time","Delayed"))</f>
        <v>Delayed</v>
      </c>
      <c r="AD140" s="29" t="str">
        <f>IF(TRIM(S140)="","Not Assigned",S140)</f>
        <v>Ritika</v>
      </c>
      <c r="AE140" t="str">
        <f>PROPER(TRIM(F140))</f>
        <v>Arjun Rao</v>
      </c>
      <c r="AF140" t="str">
        <f>PROPER(TRIM(K140))</f>
        <v>Home Appliances</v>
      </c>
      <c r="AG140" t="str">
        <f>PROPER(TRIM(J140))</f>
        <v>West</v>
      </c>
      <c r="AH140" t="str">
        <f t="shared" si="4"/>
        <v>Home Appliances</v>
      </c>
      <c r="AI140" t="str">
        <f t="shared" si="5"/>
        <v>Home Appliances</v>
      </c>
      <c r="AK140">
        <f>IF(COUNTIF($A$2:A140,A140)=1,1,0)</f>
        <v>1</v>
      </c>
    </row>
    <row r="141" spans="1:37">
      <c r="A141" s="4" t="s">
        <v>584</v>
      </c>
      <c r="B141" s="5" t="s">
        <v>275</v>
      </c>
      <c r="C141" s="5" t="s">
        <v>267</v>
      </c>
      <c r="D141" s="5" t="s">
        <v>106</v>
      </c>
      <c r="E141" s="5" t="s">
        <v>585</v>
      </c>
      <c r="F141" s="5" t="s">
        <v>328</v>
      </c>
      <c r="G141" s="5" t="s">
        <v>269</v>
      </c>
      <c r="H141" s="6">
        <v>28129</v>
      </c>
      <c r="I141" s="5" t="s">
        <v>291</v>
      </c>
      <c r="J141" s="5" t="s">
        <v>287</v>
      </c>
      <c r="K141" s="5" t="s">
        <v>243</v>
      </c>
      <c r="L141" s="5" t="s">
        <v>271</v>
      </c>
      <c r="M141" s="5">
        <v>10</v>
      </c>
      <c r="N141" s="5">
        <v>1200</v>
      </c>
      <c r="O141" s="5">
        <v>5</v>
      </c>
      <c r="P141" s="5">
        <v>11400</v>
      </c>
      <c r="Q141" s="5">
        <v>2</v>
      </c>
      <c r="R141" s="5" t="s">
        <v>254</v>
      </c>
      <c r="S141" s="5" t="s">
        <v>263</v>
      </c>
      <c r="T141" s="5" t="s">
        <v>278</v>
      </c>
      <c r="U141" s="5">
        <v>9872471236</v>
      </c>
      <c r="V141" s="8" t="s">
        <v>265</v>
      </c>
      <c r="W141" t="str">
        <f>IF(OR(Q141&lt;=2,V141="Cancelled"),"Blacklisted",IF(AND(P141&gt;100000,Q141&gt;=4,O141&lt;=10%,V141="Completed"),"Platinum",IF(AND(P141&gt;=50000,Q141&gt;=3,V141="Completed"),"Gold",IF(AND(P141&lt;50000,V141="Completed"),"Silver",""))))</f>
        <v>Blacklisted</v>
      </c>
      <c r="X141" t="str">
        <f>PROPER(TRIM(F141))</f>
        <v>Arjun Rao</v>
      </c>
      <c r="Y141" t="str">
        <f>LEFT(F141,3)&amp;MID(B141,2,3)&amp;LEFT(I141,2)</f>
        <v>Arj007Pu</v>
      </c>
      <c r="Z141" t="str">
        <f>IF(ISNUMBER(SEARCH("@",T141)),LOWER(TRIM(T141)),"invalid email")</f>
        <v>arjun.rao@company.com</v>
      </c>
      <c r="AA141" t="str">
        <f ca="1">IF(H140="","",IFERROR(DATEDIF(IF(ISNUMBER(H140),H140,DATE(VALUE(RIGHT(H140,4)),VALUE(MID(H140,3,2)),VALUE(LEFT(H140,2)))),TODAY(),"Y"),""))</f>
        <v/>
      </c>
      <c r="AB141">
        <f>IF(OR(D141="",E141=""),"",IFERROR(DATE(MID(E141,7,4),MID(E141,4,2),LEFT(E141,2))-DATE(MID(D141,7,4),MID(D141,4,2),LEFT(D141,2)),""))</f>
        <v>7</v>
      </c>
      <c r="AC141" t="str">
        <f>IF(E141="","Pending",IF(AB141&lt;=5,"On time","Delayed"))</f>
        <v>Delayed</v>
      </c>
      <c r="AD141" s="29" t="str">
        <f>IF(TRIM(S141)="","Not Assigned",S141)</f>
        <v>Rahul</v>
      </c>
      <c r="AE141" t="str">
        <f>PROPER(TRIM(F141))</f>
        <v>Arjun Rao</v>
      </c>
      <c r="AF141" t="str">
        <f>PROPER(TRIM(K141))</f>
        <v>Electronics</v>
      </c>
      <c r="AG141" t="str">
        <f>PROPER(TRIM(J141))</f>
        <v>West</v>
      </c>
      <c r="AH141" t="str">
        <f t="shared" si="4"/>
        <v>Electronics</v>
      </c>
      <c r="AI141" t="str">
        <f t="shared" si="5"/>
        <v>Electronics</v>
      </c>
      <c r="AK141">
        <f>IF(COUNTIF($A$2:A141,A141)=1,1,0)</f>
        <v>1</v>
      </c>
    </row>
    <row r="142" spans="1:37">
      <c r="A142" s="9" t="s">
        <v>586</v>
      </c>
      <c r="B142" s="10" t="s">
        <v>346</v>
      </c>
      <c r="C142" s="10" t="s">
        <v>294</v>
      </c>
      <c r="D142" s="10" t="s">
        <v>62</v>
      </c>
      <c r="E142" s="10" t="s">
        <v>73</v>
      </c>
      <c r="F142" s="10" t="s">
        <v>348</v>
      </c>
      <c r="G142" s="10" t="s">
        <v>269</v>
      </c>
      <c r="H142" s="11">
        <v>30414</v>
      </c>
      <c r="I142" s="10" t="s">
        <v>252</v>
      </c>
      <c r="J142" s="10" t="s">
        <v>242</v>
      </c>
      <c r="K142" s="10" t="s">
        <v>295</v>
      </c>
      <c r="L142" s="10" t="s">
        <v>296</v>
      </c>
      <c r="M142" s="10">
        <v>3</v>
      </c>
      <c r="N142" s="10">
        <v>60</v>
      </c>
      <c r="O142" s="10">
        <v>0</v>
      </c>
      <c r="P142" s="10">
        <v>180</v>
      </c>
      <c r="Q142" s="10">
        <v>4</v>
      </c>
      <c r="R142" s="10" t="s">
        <v>245</v>
      </c>
      <c r="S142" s="10" t="s">
        <v>312</v>
      </c>
      <c r="T142" s="10" t="s">
        <v>350</v>
      </c>
      <c r="U142" s="10">
        <v>9461383824</v>
      </c>
      <c r="V142" s="12" t="s">
        <v>257</v>
      </c>
      <c r="W142" t="str">
        <f>IF(OR(Q142&lt;=2,V142="Cancelled"),"Blacklisted",IF(AND(P142&gt;100000,Q142&gt;=4,O142&lt;=10%,V142="Completed"),"Platinum",IF(AND(P142&gt;=50000,Q142&gt;=3,V142="Completed"),"Gold",IF(AND(P142&lt;50000,V142="Completed"),"Silver",""))))</f>
        <v>Silver</v>
      </c>
      <c r="X142" t="str">
        <f>PROPER(TRIM(F142))</f>
        <v>Vikas Mehta</v>
      </c>
      <c r="Y142" t="str">
        <f>LEFT(F142,3)&amp;MID(B142,2,3)&amp;LEFT(I142,2)</f>
        <v>Vik005Hy</v>
      </c>
      <c r="Z142" t="str">
        <f>IF(ISNUMBER(SEARCH("@",T142)),LOWER(TRIM(T142)),"invalid email")</f>
        <v>vikas.mehta@company.com</v>
      </c>
      <c r="AA142">
        <f ca="1">IF(H141="","",IFERROR(DATEDIF(IF(ISNUMBER(H141),H141,DATE(VALUE(RIGHT(H141,4)),VALUE(MID(H141,3,2)),VALUE(LEFT(H141,2)))),TODAY(),"Y"),""))</f>
        <v>49</v>
      </c>
      <c r="AB142">
        <f>IF(OR(D142="",E142=""),"",IFERROR(DATE(MID(E142,7,4),MID(E142,4,2),LEFT(E142,2))-DATE(MID(D142,7,4),MID(D142,4,2),LEFT(D142,2)),""))</f>
        <v>1</v>
      </c>
      <c r="AC142" t="str">
        <f>IF(E142="","Pending",IF(AB142&lt;=5,"On time","Delayed"))</f>
        <v>On time</v>
      </c>
      <c r="AD142" s="29" t="str">
        <f>IF(TRIM(S142)="","Not Assigned",S142)</f>
        <v>Karan</v>
      </c>
      <c r="AE142" t="str">
        <f>PROPER(TRIM(F142))</f>
        <v>Vikas Mehta</v>
      </c>
      <c r="AF142" t="str">
        <f>PROPER(TRIM(K142))</f>
        <v>Stationery</v>
      </c>
      <c r="AG142" t="str">
        <f>PROPER(TRIM(J142))</f>
        <v>South</v>
      </c>
      <c r="AH142" t="str">
        <f t="shared" si="4"/>
        <v>Stationery</v>
      </c>
      <c r="AI142" t="str">
        <f t="shared" si="5"/>
        <v>Stationery</v>
      </c>
      <c r="AK142">
        <f>IF(COUNTIF($A$2:A142,A142)=1,1,0)</f>
        <v>1</v>
      </c>
    </row>
    <row r="143" spans="1:37">
      <c r="A143" s="4" t="s">
        <v>587</v>
      </c>
      <c r="B143" s="5" t="s">
        <v>235</v>
      </c>
      <c r="C143" s="5" t="s">
        <v>250</v>
      </c>
      <c r="D143" s="6">
        <v>45940</v>
      </c>
      <c r="E143" s="5" t="s">
        <v>105</v>
      </c>
      <c r="F143" s="5" t="s">
        <v>318</v>
      </c>
      <c r="G143" s="5" t="s">
        <v>239</v>
      </c>
      <c r="H143" s="6">
        <v>28675</v>
      </c>
      <c r="I143" s="5" t="s">
        <v>286</v>
      </c>
      <c r="J143" s="5" t="s">
        <v>287</v>
      </c>
      <c r="K143" s="5" t="s">
        <v>15</v>
      </c>
      <c r="L143" s="5" t="s">
        <v>253</v>
      </c>
      <c r="M143" s="5">
        <v>18</v>
      </c>
      <c r="N143" s="5">
        <v>2200</v>
      </c>
      <c r="O143" s="5">
        <v>10</v>
      </c>
      <c r="P143" s="5">
        <v>35640</v>
      </c>
      <c r="Q143" s="5">
        <v>1</v>
      </c>
      <c r="R143" s="5" t="s">
        <v>272</v>
      </c>
      <c r="S143" s="5" t="s">
        <v>312</v>
      </c>
      <c r="T143" s="5" t="s">
        <v>247</v>
      </c>
      <c r="U143" s="5">
        <v>9243407457</v>
      </c>
      <c r="V143" s="8" t="s">
        <v>265</v>
      </c>
      <c r="W143" t="str">
        <f>IF(OR(Q143&lt;=2,V143="Cancelled"),"Blacklisted",IF(AND(P143&gt;100000,Q143&gt;=4,O143&lt;=10%,V143="Completed"),"Platinum",IF(AND(P143&gt;=50000,Q143&gt;=3,V143="Completed"),"Gold",IF(AND(P143&lt;50000,V143="Completed"),"Silver",""))))</f>
        <v>Blacklisted</v>
      </c>
      <c r="X143" t="str">
        <f>PROPER(TRIM(F143))</f>
        <v>Pooja Shah</v>
      </c>
      <c r="Y143" t="str">
        <f>LEFT(F143,3)&amp;MID(B143,2,3)&amp;LEFT(I143,2)</f>
        <v>Poo010Mu</v>
      </c>
      <c r="Z143" t="str">
        <f>IF(ISNUMBER(SEARCH("@",T143)),LOWER(TRIM(T143)),"invalid email")</f>
        <v>pooja.shah@company.com</v>
      </c>
      <c r="AA143">
        <f ca="1">IF(H142="","",IFERROR(DATEDIF(IF(ISNUMBER(H142),H142,DATE(VALUE(RIGHT(H142,4)),VALUE(MID(H142,3,2)),VALUE(LEFT(H142,2)))),TODAY(),"Y"),""))</f>
        <v>43</v>
      </c>
      <c r="AB143" t="str">
        <f>IF(OR(D143="",E143=""),"",IFERROR(DATE(MID(E143,7,4),MID(E143,4,2),LEFT(E143,2))-DATE(MID(D143,7,4),MID(D143,4,2),LEFT(D143,2)),""))</f>
        <v/>
      </c>
      <c r="AC143" t="str">
        <f>IF(E143="","Pending",IF(AB143&lt;=5,"On time","Delayed"))</f>
        <v>Delayed</v>
      </c>
      <c r="AD143" s="29" t="str">
        <f>IF(TRIM(S143)="","Not Assigned",S143)</f>
        <v>Karan</v>
      </c>
      <c r="AE143" t="str">
        <f>PROPER(TRIM(F143))</f>
        <v>Pooja Shah</v>
      </c>
      <c r="AF143" t="str">
        <f>PROPER(TRIM(K143))</f>
        <v>Home Appliances</v>
      </c>
      <c r="AG143" t="str">
        <f>PROPER(TRIM(J143))</f>
        <v>West</v>
      </c>
      <c r="AH143" t="str">
        <f t="shared" si="4"/>
        <v>Home Appliances</v>
      </c>
      <c r="AI143" t="str">
        <f t="shared" si="5"/>
        <v>Home Appliances</v>
      </c>
      <c r="AK143">
        <f>IF(COUNTIF($A$2:A143,A143)=1,1,0)</f>
        <v>1</v>
      </c>
    </row>
    <row r="144" spans="1:37">
      <c r="A144" s="9" t="s">
        <v>588</v>
      </c>
      <c r="B144" s="10" t="s">
        <v>266</v>
      </c>
      <c r="C144" s="10" t="s">
        <v>294</v>
      </c>
      <c r="D144" s="11">
        <v>46206</v>
      </c>
      <c r="E144" s="11">
        <v>46298</v>
      </c>
      <c r="F144" s="10" t="s">
        <v>268</v>
      </c>
      <c r="G144" s="10" t="s">
        <v>269</v>
      </c>
      <c r="H144" s="11">
        <v>30409</v>
      </c>
      <c r="I144" s="10" t="s">
        <v>260</v>
      </c>
      <c r="J144" s="10" t="s">
        <v>261</v>
      </c>
      <c r="K144" s="10" t="s">
        <v>295</v>
      </c>
      <c r="L144" s="10" t="s">
        <v>296</v>
      </c>
      <c r="M144" s="10">
        <v>18</v>
      </c>
      <c r="N144" s="10">
        <v>60</v>
      </c>
      <c r="O144" s="10">
        <v>5</v>
      </c>
      <c r="P144" s="10">
        <v>1026</v>
      </c>
      <c r="Q144" s="10">
        <v>3</v>
      </c>
      <c r="R144" s="10" t="s">
        <v>272</v>
      </c>
      <c r="S144" s="10" t="s">
        <v>263</v>
      </c>
      <c r="T144" s="10" t="s">
        <v>273</v>
      </c>
      <c r="U144" s="10">
        <v>9418672379</v>
      </c>
      <c r="V144" s="12" t="s">
        <v>248</v>
      </c>
      <c r="W144" t="str">
        <f>IF(OR(Q144&lt;=2,V144="Cancelled"),"Blacklisted",IF(AND(P144&gt;100000,Q144&gt;=4,O144&lt;=10%,V144="Completed"),"Platinum",IF(AND(P144&gt;=50000,Q144&gt;=3,V144="Completed"),"Gold",IF(AND(P144&lt;50000,V144="Completed"),"Silver",""))))</f>
        <v/>
      </c>
      <c r="X144" t="str">
        <f>PROPER(TRIM(F144))</f>
        <v>Mohit Verma</v>
      </c>
      <c r="Y144" t="str">
        <f>LEFT(F144,3)&amp;MID(B144,2,3)&amp;LEFT(I144,2)</f>
        <v>Moh009De</v>
      </c>
      <c r="Z144" t="str">
        <f>IF(ISNUMBER(SEARCH("@",T144)),LOWER(TRIM(T144)),"invalid email")</f>
        <v>mohit.verma@company.com</v>
      </c>
      <c r="AA144">
        <f ca="1">IF(H143="","",IFERROR(DATEDIF(IF(ISNUMBER(H143),H143,DATE(VALUE(RIGHT(H143,4)),VALUE(MID(H143,3,2)),VALUE(LEFT(H143,2)))),TODAY(),"Y"),""))</f>
        <v>48</v>
      </c>
      <c r="AB144" t="str">
        <f>IF(OR(D144="",E144=""),"",IFERROR(DATE(MID(E144,7,4),MID(E144,4,2),LEFT(E144,2))-DATE(MID(D144,7,4),MID(D144,4,2),LEFT(D144,2)),""))</f>
        <v/>
      </c>
      <c r="AC144" t="str">
        <f>IF(E144="","Pending",IF(AB144&lt;=5,"On time","Delayed"))</f>
        <v>Delayed</v>
      </c>
      <c r="AD144" s="29" t="str">
        <f>IF(TRIM(S144)="","Not Assigned",S144)</f>
        <v>Rahul</v>
      </c>
      <c r="AE144" t="str">
        <f>PROPER(TRIM(F144))</f>
        <v>Mohit Verma</v>
      </c>
      <c r="AF144" t="str">
        <f>PROPER(TRIM(K144))</f>
        <v>Stationery</v>
      </c>
      <c r="AG144" t="str">
        <f>PROPER(TRIM(J144))</f>
        <v>North</v>
      </c>
      <c r="AH144" t="str">
        <f t="shared" si="4"/>
        <v>Stationery</v>
      </c>
      <c r="AI144" t="str">
        <f t="shared" si="5"/>
        <v>Stationery</v>
      </c>
      <c r="AK144">
        <f>IF(COUNTIF($A$2:A144,A144)=1,1,0)</f>
        <v>1</v>
      </c>
    </row>
    <row r="145" spans="1:37">
      <c r="A145" s="4" t="s">
        <v>589</v>
      </c>
      <c r="B145" s="5" t="s">
        <v>299</v>
      </c>
      <c r="C145" s="5" t="s">
        <v>236</v>
      </c>
      <c r="D145" s="5" t="s">
        <v>49</v>
      </c>
      <c r="E145" s="5" t="s">
        <v>125</v>
      </c>
      <c r="F145" s="5" t="s">
        <v>301</v>
      </c>
      <c r="G145" s="5" t="s">
        <v>269</v>
      </c>
      <c r="H145" s="5" t="s">
        <v>590</v>
      </c>
      <c r="I145" s="5" t="s">
        <v>291</v>
      </c>
      <c r="J145" s="5" t="s">
        <v>287</v>
      </c>
      <c r="K145" s="5" t="s">
        <v>243</v>
      </c>
      <c r="L145" s="5" t="s">
        <v>244</v>
      </c>
      <c r="M145" s="5">
        <v>11</v>
      </c>
      <c r="N145" s="5">
        <v>55000</v>
      </c>
      <c r="O145" s="5">
        <v>15</v>
      </c>
      <c r="P145" s="5">
        <v>514250</v>
      </c>
      <c r="Q145" s="5">
        <v>4</v>
      </c>
      <c r="R145" s="5" t="s">
        <v>277</v>
      </c>
      <c r="S145" s="5" t="s">
        <v>292</v>
      </c>
      <c r="T145" s="5" t="s">
        <v>302</v>
      </c>
      <c r="U145" s="5">
        <v>9222733065</v>
      </c>
      <c r="V145" s="8" t="s">
        <v>265</v>
      </c>
      <c r="W145" t="str">
        <f>IF(OR(Q145&lt;=2,V145="Cancelled"),"Blacklisted",IF(AND(P145&gt;100000,Q145&gt;=4,O145&lt;=10%,V145="Completed"),"Platinum",IF(AND(P145&gt;=50000,Q145&gt;=3,V145="Completed"),"Gold",IF(AND(P145&lt;50000,V145="Completed"),"Silver",""))))</f>
        <v>Blacklisted</v>
      </c>
      <c r="X145" t="str">
        <f>PROPER(TRIM(F145))</f>
        <v>Rohit Singh</v>
      </c>
      <c r="Y145" t="str">
        <f>LEFT(F145,3)&amp;MID(B145,2,3)&amp;LEFT(I145,2)</f>
        <v>Roh003Pu</v>
      </c>
      <c r="Z145" t="str">
        <f>IF(ISNUMBER(SEARCH("@",T145)),LOWER(TRIM(T145)),"invalid email")</f>
        <v>rohit.singh@company.com</v>
      </c>
      <c r="AA145">
        <f ca="1">IF(H144="","",IFERROR(DATEDIF(IF(ISNUMBER(H144),H144,DATE(VALUE(RIGHT(H144,4)),VALUE(MID(H144,3,2)),VALUE(LEFT(H144,2)))),TODAY(),"Y"),""))</f>
        <v>43</v>
      </c>
      <c r="AB145">
        <f>IF(OR(D145="",E145=""),"",IFERROR(DATE(MID(E145,7,4),MID(E145,4,2),LEFT(E145,2))-DATE(MID(D145,7,4),MID(D145,4,2),LEFT(D145,2)),""))</f>
        <v>7</v>
      </c>
      <c r="AC145" t="str">
        <f>IF(E145="","Pending",IF(AB145&lt;=5,"On time","Delayed"))</f>
        <v>Delayed</v>
      </c>
      <c r="AD145" s="29" t="str">
        <f>IF(TRIM(S145)="","Not Assigned",S145)</f>
        <v>Neha</v>
      </c>
      <c r="AE145" t="str">
        <f>PROPER(TRIM(F145))</f>
        <v>Rohit Singh</v>
      </c>
      <c r="AF145" t="str">
        <f>PROPER(TRIM(K145))</f>
        <v>Electronics</v>
      </c>
      <c r="AG145" t="str">
        <f>PROPER(TRIM(J145))</f>
        <v>West</v>
      </c>
      <c r="AH145" t="str">
        <f t="shared" si="4"/>
        <v>Electronics</v>
      </c>
      <c r="AI145" t="str">
        <f t="shared" si="5"/>
        <v>Electronics</v>
      </c>
      <c r="AK145">
        <f>IF(COUNTIF($A$2:A145,A145)=1,1,0)</f>
        <v>1</v>
      </c>
    </row>
    <row r="146" spans="1:37">
      <c r="A146" s="9" t="s">
        <v>591</v>
      </c>
      <c r="B146" s="10" t="s">
        <v>358</v>
      </c>
      <c r="C146" s="10" t="s">
        <v>322</v>
      </c>
      <c r="D146" s="10" t="s">
        <v>127</v>
      </c>
      <c r="E146" s="11">
        <v>46082</v>
      </c>
      <c r="F146" s="10" t="s">
        <v>359</v>
      </c>
      <c r="G146" s="10" t="s">
        <v>239</v>
      </c>
      <c r="H146" s="10" t="s">
        <v>592</v>
      </c>
      <c r="I146" s="10" t="s">
        <v>379</v>
      </c>
      <c r="J146" s="10" t="s">
        <v>21</v>
      </c>
      <c r="K146" s="10" t="s">
        <v>15</v>
      </c>
      <c r="L146" s="10" t="s">
        <v>325</v>
      </c>
      <c r="M146" s="10">
        <v>5</v>
      </c>
      <c r="N146" s="10">
        <v>8500</v>
      </c>
      <c r="O146" s="10">
        <v>5</v>
      </c>
      <c r="P146" s="10">
        <v>40375</v>
      </c>
      <c r="Q146" s="10">
        <v>4</v>
      </c>
      <c r="R146" s="10" t="s">
        <v>254</v>
      </c>
      <c r="S146" s="10" t="s">
        <v>312</v>
      </c>
      <c r="T146" s="10" t="s">
        <v>360</v>
      </c>
      <c r="U146" s="10">
        <v>9684246902</v>
      </c>
      <c r="V146" s="12" t="s">
        <v>257</v>
      </c>
      <c r="W146" t="str">
        <f>IF(OR(Q146&lt;=2,V146="Cancelled"),"Blacklisted",IF(AND(P146&gt;100000,Q146&gt;=4,O146&lt;=10%,V146="Completed"),"Platinum",IF(AND(P146&gt;=50000,Q146&gt;=3,V146="Completed"),"Gold",IF(AND(P146&lt;50000,V146="Completed"),"Silver",""))))</f>
        <v>Silver</v>
      </c>
      <c r="X146" t="str">
        <f>PROPER(TRIM(F146))</f>
        <v>Sneha Joshi</v>
      </c>
      <c r="Y146" t="str">
        <f>LEFT(F146,3)&amp;MID(B146,2,3)&amp;LEFT(I146,2)</f>
        <v>Sne006Ko</v>
      </c>
      <c r="Z146" t="str">
        <f>IF(ISNUMBER(SEARCH("@",T146)),LOWER(TRIM(T146)),"invalid email")</f>
        <v>sneha.joshi@company.com</v>
      </c>
      <c r="AA146" t="str">
        <f ca="1">IF(H145="","",IFERROR(DATEDIF(IF(ISNUMBER(H145),H145,DATE(VALUE(RIGHT(H145,4)),VALUE(MID(H145,3,2)),VALUE(LEFT(H145,2)))),TODAY(),"Y"),""))</f>
        <v/>
      </c>
      <c r="AB146" t="str">
        <f>IF(OR(D146="",E146=""),"",IFERROR(DATE(MID(E146,7,4),MID(E146,4,2),LEFT(E146,2))-DATE(MID(D146,7,4),MID(D146,4,2),LEFT(D146,2)),""))</f>
        <v/>
      </c>
      <c r="AC146" t="str">
        <f>IF(E146="","Pending",IF(AB146&lt;=5,"On time","Delayed"))</f>
        <v>Delayed</v>
      </c>
      <c r="AD146" s="29" t="str">
        <f>IF(TRIM(S146)="","Not Assigned",S146)</f>
        <v>Karan</v>
      </c>
      <c r="AE146" t="str">
        <f>PROPER(TRIM(F146))</f>
        <v>Sneha Joshi</v>
      </c>
      <c r="AF146" t="str">
        <f>PROPER(TRIM(K146))</f>
        <v>Home Appliances</v>
      </c>
      <c r="AG146" t="str">
        <f>PROPER(TRIM(J146))</f>
        <v>East</v>
      </c>
      <c r="AH146" t="str">
        <f t="shared" si="4"/>
        <v>Home Appliances</v>
      </c>
      <c r="AI146" t="str">
        <f t="shared" si="5"/>
        <v>Home Appliances</v>
      </c>
      <c r="AK146">
        <f>IF(COUNTIF($A$2:A146,A146)=1,1,0)</f>
        <v>1</v>
      </c>
    </row>
    <row r="147" spans="1:37">
      <c r="A147" s="9" t="s">
        <v>594</v>
      </c>
      <c r="B147" s="10" t="s">
        <v>299</v>
      </c>
      <c r="C147" s="10" t="s">
        <v>330</v>
      </c>
      <c r="D147" s="11">
        <v>45845</v>
      </c>
      <c r="E147" s="10" t="s">
        <v>365</v>
      </c>
      <c r="F147" s="10" t="s">
        <v>301</v>
      </c>
      <c r="G147" s="10" t="s">
        <v>269</v>
      </c>
      <c r="H147" s="11">
        <v>27521</v>
      </c>
      <c r="I147" s="10" t="s">
        <v>291</v>
      </c>
      <c r="J147" s="10" t="s">
        <v>287</v>
      </c>
      <c r="K147" s="10" t="s">
        <v>243</v>
      </c>
      <c r="L147" s="10" t="s">
        <v>333</v>
      </c>
      <c r="M147" s="10">
        <v>6</v>
      </c>
      <c r="N147" s="10">
        <v>700</v>
      </c>
      <c r="O147" s="10">
        <v>10</v>
      </c>
      <c r="P147" s="10">
        <v>3780</v>
      </c>
      <c r="Q147" s="10">
        <v>4</v>
      </c>
      <c r="R147" s="10" t="s">
        <v>254</v>
      </c>
      <c r="S147" s="10" t="s">
        <v>263</v>
      </c>
      <c r="T147" s="10" t="s">
        <v>302</v>
      </c>
      <c r="U147" s="10">
        <v>9110269572</v>
      </c>
      <c r="V147" s="12" t="s">
        <v>265</v>
      </c>
      <c r="W147" t="str">
        <f>IF(OR(Q147&lt;=2,V147="Cancelled"),"Blacklisted",IF(AND(P147&gt;100000,Q147&gt;=4,O147&lt;=10%,V147="Completed"),"Platinum",IF(AND(P147&gt;=50000,Q147&gt;=3,V147="Completed"),"Gold",IF(AND(P147&lt;50000,V147="Completed"),"Silver",""))))</f>
        <v>Blacklisted</v>
      </c>
      <c r="X147" t="str">
        <f>PROPER(TRIM(F147))</f>
        <v>Rohit Singh</v>
      </c>
      <c r="Y147" t="str">
        <f>LEFT(F147,3)&amp;MID(B147,2,3)&amp;LEFT(I147,2)</f>
        <v>Roh003Pu</v>
      </c>
      <c r="Z147" t="str">
        <f>IF(ISNUMBER(SEARCH("@",T147)),LOWER(TRIM(T147)),"invalid email")</f>
        <v>rohit.singh@company.com</v>
      </c>
      <c r="AA147" t="str">
        <f ca="1">IF(H146="","",IFERROR(DATEDIF(IF(ISNUMBER(H146),H146,DATE(VALUE(RIGHT(H146,4)),VALUE(MID(H146,3,2)),VALUE(LEFT(H146,2)))),TODAY(),"Y"),""))</f>
        <v/>
      </c>
      <c r="AB147" t="str">
        <f>IF(OR(D147="",E147=""),"",IFERROR(DATE(MID(E147,7,4),MID(E147,4,2),LEFT(E147,2))-DATE(MID(D147,7,4),MID(D147,4,2),LEFT(D147,2)),""))</f>
        <v/>
      </c>
      <c r="AC147" t="str">
        <f>IF(E147="","Pending",IF(AB147&lt;=5,"On time","Delayed"))</f>
        <v>Delayed</v>
      </c>
      <c r="AD147" s="29" t="str">
        <f>IF(TRIM(S147)="","Not Assigned",S147)</f>
        <v>Rahul</v>
      </c>
      <c r="AE147" t="str">
        <f>PROPER(TRIM(F147))</f>
        <v>Rohit Singh</v>
      </c>
      <c r="AF147" t="str">
        <f>PROPER(TRIM(K147))</f>
        <v>Electronics</v>
      </c>
      <c r="AG147" t="str">
        <f>PROPER(TRIM(J147))</f>
        <v>West</v>
      </c>
      <c r="AH147" t="str">
        <f t="shared" si="4"/>
        <v>Electronics</v>
      </c>
      <c r="AI147" t="str">
        <f t="shared" si="5"/>
        <v>Electronics</v>
      </c>
      <c r="AK147">
        <f>IF(COUNTIF($A$2:A147,A147)=1,1,0)</f>
        <v>1</v>
      </c>
    </row>
    <row r="148" spans="1:37">
      <c r="A148" s="4" t="s">
        <v>595</v>
      </c>
      <c r="B148" s="5" t="s">
        <v>235</v>
      </c>
      <c r="C148" s="5" t="s">
        <v>280</v>
      </c>
      <c r="D148" s="6">
        <v>46086</v>
      </c>
      <c r="E148" s="5" t="s">
        <v>516</v>
      </c>
      <c r="F148" s="5" t="s">
        <v>318</v>
      </c>
      <c r="G148" s="5" t="s">
        <v>239</v>
      </c>
      <c r="H148" s="6">
        <v>33727</v>
      </c>
      <c r="I148" s="5" t="s">
        <v>260</v>
      </c>
      <c r="J148" s="5" t="s">
        <v>261</v>
      </c>
      <c r="K148" s="5" t="s">
        <v>15</v>
      </c>
      <c r="L148" s="5" t="s">
        <v>282</v>
      </c>
      <c r="M148" s="5">
        <v>20</v>
      </c>
      <c r="N148" s="5">
        <v>3500</v>
      </c>
      <c r="O148" s="5">
        <v>10</v>
      </c>
      <c r="P148" s="5">
        <v>63000</v>
      </c>
      <c r="Q148" s="5">
        <v>4</v>
      </c>
      <c r="R148" s="5" t="s">
        <v>277</v>
      </c>
      <c r="S148" s="5" t="s">
        <v>263</v>
      </c>
      <c r="T148" s="5" t="s">
        <v>247</v>
      </c>
      <c r="U148" s="5">
        <v>9745972422</v>
      </c>
      <c r="V148" s="8" t="s">
        <v>248</v>
      </c>
      <c r="W148" t="str">
        <f>IF(OR(Q148&lt;=2,V148="Cancelled"),"Blacklisted",IF(AND(P148&gt;100000,Q148&gt;=4,O148&lt;=10%,V148="Completed"),"Platinum",IF(AND(P148&gt;=50000,Q148&gt;=3,V148="Completed"),"Gold",IF(AND(P148&lt;50000,V148="Completed"),"Silver",""))))</f>
        <v/>
      </c>
      <c r="X148" t="str">
        <f>PROPER(TRIM(F148))</f>
        <v>Pooja Shah</v>
      </c>
      <c r="Y148" t="str">
        <f>LEFT(F148,3)&amp;MID(B148,2,3)&amp;LEFT(I148,2)</f>
        <v>Poo010De</v>
      </c>
      <c r="Z148" t="str">
        <f>IF(ISNUMBER(SEARCH("@",T148)),LOWER(TRIM(T148)),"invalid email")</f>
        <v>pooja.shah@company.com</v>
      </c>
      <c r="AA148">
        <f ca="1">IF(H147="","",IFERROR(DATEDIF(IF(ISNUMBER(H147),H147,DATE(VALUE(RIGHT(H147,4)),VALUE(MID(H147,3,2)),VALUE(LEFT(H147,2)))),TODAY(),"Y"),""))</f>
        <v>51</v>
      </c>
      <c r="AB148" t="str">
        <f>IF(OR(D148="",E148=""),"",IFERROR(DATE(MID(E148,7,4),MID(E148,4,2),LEFT(E148,2))-DATE(MID(D148,7,4),MID(D148,4,2),LEFT(D148,2)),""))</f>
        <v/>
      </c>
      <c r="AC148" t="str">
        <f>IF(E148="","Pending",IF(AB148&lt;=5,"On time","Delayed"))</f>
        <v>Delayed</v>
      </c>
      <c r="AD148" s="29" t="str">
        <f>IF(TRIM(S148)="","Not Assigned",S148)</f>
        <v>Rahul</v>
      </c>
      <c r="AE148" t="str">
        <f>PROPER(TRIM(F148))</f>
        <v>Pooja Shah</v>
      </c>
      <c r="AF148" t="str">
        <f>PROPER(TRIM(K148))</f>
        <v>Home Appliances</v>
      </c>
      <c r="AG148" t="str">
        <f>PROPER(TRIM(J148))</f>
        <v>North</v>
      </c>
      <c r="AH148" t="str">
        <f t="shared" si="4"/>
        <v>Home Appliances</v>
      </c>
      <c r="AI148" t="str">
        <f t="shared" si="5"/>
        <v>Home Appliances</v>
      </c>
      <c r="AK148">
        <f>IF(COUNTIF($A$2:A148,A148)=1,1,0)</f>
        <v>1</v>
      </c>
    </row>
    <row r="149" spans="1:37">
      <c r="A149" s="9" t="s">
        <v>596</v>
      </c>
      <c r="B149" s="10" t="s">
        <v>249</v>
      </c>
      <c r="C149" s="10" t="s">
        <v>347</v>
      </c>
      <c r="D149" s="10" t="s">
        <v>192</v>
      </c>
      <c r="E149" s="11">
        <v>45850</v>
      </c>
      <c r="F149" s="10" t="s">
        <v>251</v>
      </c>
      <c r="G149" s="10" t="s">
        <v>239</v>
      </c>
      <c r="H149" s="11">
        <v>35860</v>
      </c>
      <c r="I149" s="10" t="s">
        <v>241</v>
      </c>
      <c r="J149" s="10" t="s">
        <v>242</v>
      </c>
      <c r="K149" s="10" t="s">
        <v>295</v>
      </c>
      <c r="L149" s="10" t="s">
        <v>349</v>
      </c>
      <c r="M149" s="10">
        <v>2</v>
      </c>
      <c r="N149" s="10">
        <v>20</v>
      </c>
      <c r="O149" s="10">
        <v>10</v>
      </c>
      <c r="P149" s="10">
        <v>36</v>
      </c>
      <c r="Q149" s="10">
        <v>1</v>
      </c>
      <c r="R149" s="10" t="s">
        <v>245</v>
      </c>
      <c r="S149" s="10" t="s">
        <v>292</v>
      </c>
      <c r="T149" s="10" t="s">
        <v>264</v>
      </c>
      <c r="U149" s="10">
        <v>9123712257</v>
      </c>
      <c r="V149" s="12" t="s">
        <v>248</v>
      </c>
      <c r="W149" t="str">
        <f>IF(OR(Q149&lt;=2,V149="Cancelled"),"Blacklisted",IF(AND(P149&gt;100000,Q149&gt;=4,O149&lt;=10%,V149="Completed"),"Platinum",IF(AND(P149&gt;=50000,Q149&gt;=3,V149="Completed"),"Gold",IF(AND(P149&lt;50000,V149="Completed"),"Silver",""))))</f>
        <v>Blacklisted</v>
      </c>
      <c r="X149" t="str">
        <f>PROPER(TRIM(F149))</f>
        <v>Kavya Nair</v>
      </c>
      <c r="Y149" t="str">
        <f>LEFT(F149,3)&amp;MID(B149,2,3)&amp;LEFT(I149,2)</f>
        <v>Kav008Be</v>
      </c>
      <c r="Z149" t="str">
        <f>IF(ISNUMBER(SEARCH("@",T149)),LOWER(TRIM(T149)),"invalid email")</f>
        <v>kavya.nair@company.com</v>
      </c>
      <c r="AA149">
        <f ca="1">IF(H148="","",IFERROR(DATEDIF(IF(ISNUMBER(H148),H148,DATE(VALUE(RIGHT(H148,4)),VALUE(MID(H148,3,2)),VALUE(LEFT(H148,2)))),TODAY(),"Y"),""))</f>
        <v>34</v>
      </c>
      <c r="AB149" t="str">
        <f>IF(OR(D149="",E149=""),"",IFERROR(DATE(MID(E149,7,4),MID(E149,4,2),LEFT(E149,2))-DATE(MID(D149,7,4),MID(D149,4,2),LEFT(D149,2)),""))</f>
        <v/>
      </c>
      <c r="AC149" t="str">
        <f>IF(E149="","Pending",IF(AB149&lt;=5,"On time","Delayed"))</f>
        <v>Delayed</v>
      </c>
      <c r="AD149" s="29" t="str">
        <f>IF(TRIM(S149)="","Not Assigned",S149)</f>
        <v>Neha</v>
      </c>
      <c r="AE149" t="str">
        <f>PROPER(TRIM(F149))</f>
        <v>Kavya Nair</v>
      </c>
      <c r="AF149" t="str">
        <f>PROPER(TRIM(K149))</f>
        <v>Stationery</v>
      </c>
      <c r="AG149" t="str">
        <f>PROPER(TRIM(J149))</f>
        <v>South</v>
      </c>
      <c r="AH149" t="str">
        <f t="shared" si="4"/>
        <v>Stationery</v>
      </c>
      <c r="AI149" t="str">
        <f t="shared" si="5"/>
        <v>Stationery</v>
      </c>
      <c r="AK149">
        <f>IF(COUNTIF($A$2:A149,A149)=1,1,0)</f>
        <v>1</v>
      </c>
    </row>
    <row r="150" spans="1:37">
      <c r="A150" s="4" t="s">
        <v>597</v>
      </c>
      <c r="B150" s="5" t="s">
        <v>284</v>
      </c>
      <c r="C150" s="5" t="s">
        <v>250</v>
      </c>
      <c r="D150" s="5" t="s">
        <v>29</v>
      </c>
      <c r="E150" s="5" t="s">
        <v>81</v>
      </c>
      <c r="F150" s="5" t="s">
        <v>285</v>
      </c>
      <c r="G150" s="5" t="s">
        <v>239</v>
      </c>
      <c r="H150" s="5" t="s">
        <v>598</v>
      </c>
      <c r="I150" s="5" t="s">
        <v>291</v>
      </c>
      <c r="J150" s="5" t="s">
        <v>287</v>
      </c>
      <c r="K150" s="5" t="s">
        <v>15</v>
      </c>
      <c r="L150" s="5" t="s">
        <v>253</v>
      </c>
      <c r="M150" s="5">
        <v>16</v>
      </c>
      <c r="N150" s="5">
        <v>2200</v>
      </c>
      <c r="O150" s="5">
        <v>20</v>
      </c>
      <c r="P150" s="5">
        <v>28160</v>
      </c>
      <c r="Q150" s="5">
        <v>2</v>
      </c>
      <c r="R150" s="5" t="s">
        <v>277</v>
      </c>
      <c r="S150" s="5" t="s">
        <v>312</v>
      </c>
      <c r="T150" s="5" t="s">
        <v>308</v>
      </c>
      <c r="U150" s="5">
        <v>9665525431</v>
      </c>
      <c r="V150" s="8" t="s">
        <v>248</v>
      </c>
      <c r="W150" t="str">
        <f>IF(OR(Q150&lt;=2,V150="Cancelled"),"Blacklisted",IF(AND(P150&gt;100000,Q150&gt;=4,O150&lt;=10%,V150="Completed"),"Platinum",IF(AND(P150&gt;=50000,Q150&gt;=3,V150="Completed"),"Gold",IF(AND(P150&lt;50000,V150="Completed"),"Silver",""))))</f>
        <v>Blacklisted</v>
      </c>
      <c r="X150" t="str">
        <f>PROPER(TRIM(F150))</f>
        <v>Priya Patel</v>
      </c>
      <c r="Y150" t="str">
        <f>LEFT(F150,3)&amp;MID(B150,2,3)&amp;LEFT(I150,2)</f>
        <v>Pri002Pu</v>
      </c>
      <c r="Z150" t="str">
        <f>IF(ISNUMBER(SEARCH("@",T150)),LOWER(TRIM(T150)),"invalid email")</f>
        <v>priya.patel@company.com</v>
      </c>
      <c r="AA150">
        <f ca="1">IF(H149="","",IFERROR(DATEDIF(IF(ISNUMBER(H149),H149,DATE(VALUE(RIGHT(H149,4)),VALUE(MID(H149,3,2)),VALUE(LEFT(H149,2)))),TODAY(),"Y"),""))</f>
        <v>28</v>
      </c>
      <c r="AB150">
        <f>IF(OR(D150="",E150=""),"",IFERROR(DATE(MID(E150,7,4),MID(E150,4,2),LEFT(E150,2))-DATE(MID(D150,7,4),MID(D150,4,2),LEFT(D150,2)),""))</f>
        <v>5</v>
      </c>
      <c r="AC150" t="str">
        <f>IF(E150="","Pending",IF(AB150&lt;=5,"On time","Delayed"))</f>
        <v>On time</v>
      </c>
      <c r="AD150" s="29" t="str">
        <f>IF(TRIM(S150)="","Not Assigned",S150)</f>
        <v>Karan</v>
      </c>
      <c r="AE150" t="str">
        <f>PROPER(TRIM(F150))</f>
        <v>Priya Patel</v>
      </c>
      <c r="AF150" t="str">
        <f>PROPER(TRIM(K150))</f>
        <v>Home Appliances</v>
      </c>
      <c r="AG150" t="str">
        <f>PROPER(TRIM(J150))</f>
        <v>West</v>
      </c>
      <c r="AH150" t="str">
        <f t="shared" si="4"/>
        <v>Home Appliances</v>
      </c>
      <c r="AI150" t="str">
        <f t="shared" si="5"/>
        <v>Home Appliances</v>
      </c>
      <c r="AK150">
        <f>IF(COUNTIF($A$2:A150,A150)=1,1,0)</f>
        <v>1</v>
      </c>
    </row>
    <row r="151" spans="1:37">
      <c r="A151" s="9" t="s">
        <v>599</v>
      </c>
      <c r="B151" s="10" t="s">
        <v>346</v>
      </c>
      <c r="C151" s="10" t="s">
        <v>258</v>
      </c>
      <c r="D151" s="10" t="s">
        <v>10</v>
      </c>
      <c r="E151" s="10" t="s">
        <v>120</v>
      </c>
      <c r="F151" s="10" t="s">
        <v>348</v>
      </c>
      <c r="G151" s="10" t="s">
        <v>269</v>
      </c>
      <c r="H151" s="10" t="s">
        <v>600</v>
      </c>
      <c r="I151" s="10" t="s">
        <v>291</v>
      </c>
      <c r="J151" s="10" t="s">
        <v>287</v>
      </c>
      <c r="K151" s="10" t="s">
        <v>243</v>
      </c>
      <c r="L151" s="10" t="s">
        <v>262</v>
      </c>
      <c r="M151" s="10">
        <v>15</v>
      </c>
      <c r="N151" s="10">
        <v>12000</v>
      </c>
      <c r="O151" s="10">
        <v>0</v>
      </c>
      <c r="P151" s="10">
        <v>180000</v>
      </c>
      <c r="Q151" s="10">
        <v>1</v>
      </c>
      <c r="R151" s="10" t="s">
        <v>272</v>
      </c>
      <c r="S151" s="10" t="s">
        <v>246</v>
      </c>
      <c r="T151" s="10" t="s">
        <v>350</v>
      </c>
      <c r="U151" s="10">
        <v>9682415134</v>
      </c>
      <c r="V151" s="12" t="s">
        <v>248</v>
      </c>
      <c r="W151" t="str">
        <f>IF(OR(Q151&lt;=2,V151="Cancelled"),"Blacklisted",IF(AND(P151&gt;100000,Q151&gt;=4,O151&lt;=10%,V151="Completed"),"Platinum",IF(AND(P151&gt;=50000,Q151&gt;=3,V151="Completed"),"Gold",IF(AND(P151&lt;50000,V151="Completed"),"Silver",""))))</f>
        <v>Blacklisted</v>
      </c>
      <c r="X151" t="str">
        <f>PROPER(TRIM(F151))</f>
        <v>Vikas Mehta</v>
      </c>
      <c r="Y151" t="str">
        <f>LEFT(F151,3)&amp;MID(B151,2,3)&amp;LEFT(I151,2)</f>
        <v>Vik005Pu</v>
      </c>
      <c r="Z151" t="str">
        <f>IF(ISNUMBER(SEARCH("@",T151)),LOWER(TRIM(T151)),"invalid email")</f>
        <v>vikas.mehta@company.com</v>
      </c>
      <c r="AA151" t="str">
        <f ca="1">IF(H150="","",IFERROR(DATEDIF(IF(ISNUMBER(H150),H150,DATE(VALUE(RIGHT(H150,4)),VALUE(MID(H150,3,2)),VALUE(LEFT(H150,2)))),TODAY(),"Y"),""))</f>
        <v/>
      </c>
      <c r="AB151">
        <f>IF(OR(D151="",E151=""),"",IFERROR(DATE(MID(E151,7,4),MID(E151,4,2),LEFT(E151,2))-DATE(MID(D151,7,4),MID(D151,4,2),LEFT(D151,2)),""))</f>
        <v>10</v>
      </c>
      <c r="AC151" t="str">
        <f>IF(E151="","Pending",IF(AB151&lt;=5,"On time","Delayed"))</f>
        <v>Delayed</v>
      </c>
      <c r="AD151" s="29" t="str">
        <f>IF(TRIM(S151)="","Not Assigned",S151)</f>
        <v>Aisha</v>
      </c>
      <c r="AE151" t="str">
        <f>PROPER(TRIM(F151))</f>
        <v>Vikas Mehta</v>
      </c>
      <c r="AF151" t="str">
        <f>PROPER(TRIM(K151))</f>
        <v>Electronics</v>
      </c>
      <c r="AG151" t="str">
        <f>PROPER(TRIM(J151))</f>
        <v>West</v>
      </c>
      <c r="AH151" t="str">
        <f t="shared" si="4"/>
        <v>Electronics</v>
      </c>
      <c r="AI151" t="str">
        <f t="shared" si="5"/>
        <v>Electronics</v>
      </c>
      <c r="AK151">
        <f>IF(COUNTIF($A$2:A151,A151)=1,1,0)</f>
        <v>1</v>
      </c>
    </row>
    <row r="152" spans="1:37">
      <c r="A152" s="4" t="s">
        <v>601</v>
      </c>
      <c r="B152" s="5" t="s">
        <v>249</v>
      </c>
      <c r="C152" s="5" t="s">
        <v>294</v>
      </c>
      <c r="D152" s="5" t="s">
        <v>114</v>
      </c>
      <c r="E152" s="5" t="s">
        <v>124</v>
      </c>
      <c r="F152" s="5" t="s">
        <v>251</v>
      </c>
      <c r="G152" s="5" t="s">
        <v>239</v>
      </c>
      <c r="H152" s="5" t="s">
        <v>602</v>
      </c>
      <c r="I152" s="5" t="s">
        <v>260</v>
      </c>
      <c r="J152" s="5" t="s">
        <v>261</v>
      </c>
      <c r="K152" s="5" t="s">
        <v>295</v>
      </c>
      <c r="L152" s="5" t="s">
        <v>296</v>
      </c>
      <c r="M152" s="5">
        <v>14</v>
      </c>
      <c r="N152" s="5">
        <v>60</v>
      </c>
      <c r="O152" s="5">
        <v>15</v>
      </c>
      <c r="P152" s="5">
        <v>714</v>
      </c>
      <c r="Q152" s="5">
        <v>4</v>
      </c>
      <c r="R152" s="5" t="s">
        <v>277</v>
      </c>
      <c r="S152" s="5" t="s">
        <v>263</v>
      </c>
      <c r="T152" s="5" t="s">
        <v>264</v>
      </c>
      <c r="U152" s="5">
        <v>9808223872</v>
      </c>
      <c r="V152" s="8" t="s">
        <v>257</v>
      </c>
      <c r="W152" t="str">
        <f>IF(OR(Q152&lt;=2,V152="Cancelled"),"Blacklisted",IF(AND(P152&gt;100000,Q152&gt;=4,O152&lt;=10%,V152="Completed"),"Platinum",IF(AND(P152&gt;=50000,Q152&gt;=3,V152="Completed"),"Gold",IF(AND(P152&lt;50000,V152="Completed"),"Silver",""))))</f>
        <v>Silver</v>
      </c>
      <c r="X152" t="str">
        <f>PROPER(TRIM(F152))</f>
        <v>Kavya Nair</v>
      </c>
      <c r="Y152" t="str">
        <f>LEFT(F152,3)&amp;MID(B152,2,3)&amp;LEFT(I152,2)</f>
        <v>Kav008De</v>
      </c>
      <c r="Z152" t="str">
        <f>IF(ISNUMBER(SEARCH("@",T152)),LOWER(TRIM(T152)),"invalid email")</f>
        <v>kavya.nair@company.com</v>
      </c>
      <c r="AA152" t="str">
        <f ca="1">IF(H151="","",IFERROR(DATEDIF(IF(ISNUMBER(H151),H151,DATE(VALUE(RIGHT(H151,4)),VALUE(MID(H151,3,2)),VALUE(LEFT(H151,2)))),TODAY(),"Y"),""))</f>
        <v/>
      </c>
      <c r="AB152">
        <f>IF(OR(D152="",E152=""),"",IFERROR(DATE(MID(E152,7,4),MID(E152,4,2),LEFT(E152,2))-DATE(MID(D152,7,4),MID(D152,4,2),LEFT(D152,2)),""))</f>
        <v>1</v>
      </c>
      <c r="AC152" t="str">
        <f>IF(E152="","Pending",IF(AB152&lt;=5,"On time","Delayed"))</f>
        <v>On time</v>
      </c>
      <c r="AD152" s="29" t="str">
        <f>IF(TRIM(S152)="","Not Assigned",S152)</f>
        <v>Rahul</v>
      </c>
      <c r="AE152" t="str">
        <f>PROPER(TRIM(F152))</f>
        <v>Kavya Nair</v>
      </c>
      <c r="AF152" t="str">
        <f>PROPER(TRIM(K152))</f>
        <v>Stationery</v>
      </c>
      <c r="AG152" t="str">
        <f>PROPER(TRIM(J152))</f>
        <v>North</v>
      </c>
      <c r="AH152" t="str">
        <f t="shared" si="4"/>
        <v>Stationery</v>
      </c>
      <c r="AI152" t="str">
        <f t="shared" si="5"/>
        <v>Stationery</v>
      </c>
      <c r="AK152">
        <f>IF(COUNTIF($A$2:A152,A152)=1,1,0)</f>
        <v>1</v>
      </c>
    </row>
    <row r="153" spans="1:37">
      <c r="A153" s="9" t="s">
        <v>603</v>
      </c>
      <c r="B153" s="10" t="s">
        <v>235</v>
      </c>
      <c r="C153" s="10" t="s">
        <v>267</v>
      </c>
      <c r="D153" s="10" t="s">
        <v>103</v>
      </c>
      <c r="E153" s="10" t="s">
        <v>604</v>
      </c>
      <c r="F153" s="10" t="s">
        <v>318</v>
      </c>
      <c r="G153" s="10" t="s">
        <v>239</v>
      </c>
      <c r="H153" s="10" t="s">
        <v>605</v>
      </c>
      <c r="I153" s="10" t="s">
        <v>252</v>
      </c>
      <c r="J153" s="10" t="s">
        <v>242</v>
      </c>
      <c r="K153" s="10" t="s">
        <v>243</v>
      </c>
      <c r="L153" s="10" t="s">
        <v>271</v>
      </c>
      <c r="M153" s="10">
        <v>9</v>
      </c>
      <c r="N153" s="10">
        <v>1200</v>
      </c>
      <c r="O153" s="10">
        <v>5</v>
      </c>
      <c r="P153" s="10">
        <v>10260</v>
      </c>
      <c r="Q153" s="10">
        <v>5</v>
      </c>
      <c r="R153" s="10" t="s">
        <v>245</v>
      </c>
      <c r="S153" s="10" t="s">
        <v>246</v>
      </c>
      <c r="T153" s="10" t="s">
        <v>247</v>
      </c>
      <c r="U153" s="10">
        <v>9193549730</v>
      </c>
      <c r="V153" s="12" t="s">
        <v>248</v>
      </c>
      <c r="W153" t="str">
        <f>IF(OR(Q153&lt;=2,V153="Cancelled"),"Blacklisted",IF(AND(P153&gt;100000,Q153&gt;=4,O153&lt;=10%,V153="Completed"),"Platinum",IF(AND(P153&gt;=50000,Q153&gt;=3,V153="Completed"),"Gold",IF(AND(P153&lt;50000,V153="Completed"),"Silver",""))))</f>
        <v/>
      </c>
      <c r="X153" t="str">
        <f>PROPER(TRIM(F153))</f>
        <v>Pooja Shah</v>
      </c>
      <c r="Y153" t="str">
        <f>LEFT(F153,3)&amp;MID(B153,2,3)&amp;LEFT(I153,2)</f>
        <v>Poo010Hy</v>
      </c>
      <c r="Z153" t="str">
        <f>IF(ISNUMBER(SEARCH("@",T153)),LOWER(TRIM(T153)),"invalid email")</f>
        <v>pooja.shah@company.com</v>
      </c>
      <c r="AA153" t="str">
        <f ca="1">IF(H152="","",IFERROR(DATEDIF(IF(ISNUMBER(H152),H152,DATE(VALUE(RIGHT(H152,4)),VALUE(MID(H152,3,2)),VALUE(LEFT(H152,2)))),TODAY(),"Y"),""))</f>
        <v/>
      </c>
      <c r="AB153">
        <f>IF(OR(D153="",E153=""),"",IFERROR(DATE(MID(E153,7,4),MID(E153,4,2),LEFT(E153,2))-DATE(MID(D153,7,4),MID(D153,4,2),LEFT(D153,2)),""))</f>
        <v>3</v>
      </c>
      <c r="AC153" t="str">
        <f>IF(E153="","Pending",IF(AB153&lt;=5,"On time","Delayed"))</f>
        <v>On time</v>
      </c>
      <c r="AD153" s="29" t="str">
        <f>IF(TRIM(S153)="","Not Assigned",S153)</f>
        <v>Aisha</v>
      </c>
      <c r="AE153" t="str">
        <f>PROPER(TRIM(F153))</f>
        <v>Pooja Shah</v>
      </c>
      <c r="AF153" t="str">
        <f>PROPER(TRIM(K153))</f>
        <v>Electronics</v>
      </c>
      <c r="AG153" t="str">
        <f>PROPER(TRIM(J153))</f>
        <v>South</v>
      </c>
      <c r="AH153" t="str">
        <f t="shared" si="4"/>
        <v>Electronics</v>
      </c>
      <c r="AI153" t="str">
        <f t="shared" si="5"/>
        <v>Electronics</v>
      </c>
      <c r="AK153">
        <f>IF(COUNTIF($A$2:A153,A153)=1,1,0)</f>
        <v>1</v>
      </c>
    </row>
    <row r="154" spans="1:37">
      <c r="A154" s="4" t="s">
        <v>606</v>
      </c>
      <c r="B154" s="5" t="s">
        <v>346</v>
      </c>
      <c r="C154" s="5" t="s">
        <v>267</v>
      </c>
      <c r="D154" s="5" t="s">
        <v>81</v>
      </c>
      <c r="E154" s="5" t="s">
        <v>189</v>
      </c>
      <c r="F154" s="5" t="s">
        <v>348</v>
      </c>
      <c r="G154" s="5" t="s">
        <v>269</v>
      </c>
      <c r="H154" s="6">
        <v>35954</v>
      </c>
      <c r="I154" s="5" t="s">
        <v>379</v>
      </c>
      <c r="J154" s="5" t="s">
        <v>21</v>
      </c>
      <c r="K154" s="5" t="s">
        <v>243</v>
      </c>
      <c r="L154" s="5" t="s">
        <v>271</v>
      </c>
      <c r="M154" s="5">
        <v>3</v>
      </c>
      <c r="N154" s="5">
        <v>1200</v>
      </c>
      <c r="O154" s="5">
        <v>10</v>
      </c>
      <c r="P154" s="5">
        <v>3240</v>
      </c>
      <c r="Q154" s="5">
        <v>2</v>
      </c>
      <c r="R154" s="5" t="s">
        <v>272</v>
      </c>
      <c r="S154" s="5" t="s">
        <v>312</v>
      </c>
      <c r="T154" s="5" t="s">
        <v>350</v>
      </c>
      <c r="U154" s="5">
        <v>9520617130</v>
      </c>
      <c r="V154" s="8" t="s">
        <v>265</v>
      </c>
      <c r="W154" t="str">
        <f>IF(OR(Q154&lt;=2,V154="Cancelled"),"Blacklisted",IF(AND(P154&gt;100000,Q154&gt;=4,O154&lt;=10%,V154="Completed"),"Platinum",IF(AND(P154&gt;=50000,Q154&gt;=3,V154="Completed"),"Gold",IF(AND(P154&lt;50000,V154="Completed"),"Silver",""))))</f>
        <v>Blacklisted</v>
      </c>
      <c r="X154" t="str">
        <f>PROPER(TRIM(F154))</f>
        <v>Vikas Mehta</v>
      </c>
      <c r="Y154" t="str">
        <f>LEFT(F154,3)&amp;MID(B154,2,3)&amp;LEFT(I154,2)</f>
        <v>Vik005Ko</v>
      </c>
      <c r="Z154" t="str">
        <f>IF(ISNUMBER(SEARCH("@",T154)),LOWER(TRIM(T154)),"invalid email")</f>
        <v>vikas.mehta@company.com</v>
      </c>
      <c r="AA154" t="str">
        <f ca="1">IF(H153="","",IFERROR(DATEDIF(IF(ISNUMBER(H153),H153,DATE(VALUE(RIGHT(H153,4)),VALUE(MID(H153,3,2)),VALUE(LEFT(H153,2)))),TODAY(),"Y"),""))</f>
        <v/>
      </c>
      <c r="AB154">
        <f>IF(OR(D154="",E154=""),"",IFERROR(DATE(MID(E154,7,4),MID(E154,4,2),LEFT(E154,2))-DATE(MID(D154,7,4),MID(D154,4,2),LEFT(D154,2)),""))</f>
        <v>10</v>
      </c>
      <c r="AC154" t="str">
        <f>IF(E154="","Pending",IF(AB154&lt;=5,"On time","Delayed"))</f>
        <v>Delayed</v>
      </c>
      <c r="AD154" s="29" t="str">
        <f>IF(TRIM(S154)="","Not Assigned",S154)</f>
        <v>Karan</v>
      </c>
      <c r="AE154" t="str">
        <f>PROPER(TRIM(F154))</f>
        <v>Vikas Mehta</v>
      </c>
      <c r="AF154" t="str">
        <f>PROPER(TRIM(K154))</f>
        <v>Electronics</v>
      </c>
      <c r="AG154" t="str">
        <f>PROPER(TRIM(J154))</f>
        <v>East</v>
      </c>
      <c r="AH154" t="str">
        <f t="shared" si="4"/>
        <v>Electronics</v>
      </c>
      <c r="AI154" t="str">
        <f t="shared" si="5"/>
        <v>Electronics</v>
      </c>
      <c r="AK154">
        <f>IF(COUNTIF($A$2:A154,A154)=1,1,0)</f>
        <v>1</v>
      </c>
    </row>
    <row r="155" spans="1:37">
      <c r="A155" s="9" t="s">
        <v>607</v>
      </c>
      <c r="B155" s="10" t="s">
        <v>392</v>
      </c>
      <c r="C155" s="10" t="s">
        <v>294</v>
      </c>
      <c r="D155" s="11">
        <v>45934</v>
      </c>
      <c r="E155" s="11">
        <v>45995</v>
      </c>
      <c r="F155" s="10" t="s">
        <v>323</v>
      </c>
      <c r="G155" s="10" t="s">
        <v>269</v>
      </c>
      <c r="H155" s="10" t="s">
        <v>608</v>
      </c>
      <c r="I155" s="10" t="s">
        <v>252</v>
      </c>
      <c r="J155" s="10" t="s">
        <v>242</v>
      </c>
      <c r="K155" s="10" t="s">
        <v>295</v>
      </c>
      <c r="L155" s="10" t="s">
        <v>296</v>
      </c>
      <c r="M155" s="10">
        <v>2</v>
      </c>
      <c r="N155" s="10">
        <v>60</v>
      </c>
      <c r="O155" s="10">
        <v>10</v>
      </c>
      <c r="P155" s="10">
        <v>108</v>
      </c>
      <c r="Q155" s="10">
        <v>2</v>
      </c>
      <c r="R155" s="10" t="s">
        <v>277</v>
      </c>
      <c r="S155" s="10" t="s">
        <v>246</v>
      </c>
      <c r="T155" s="10" t="s">
        <v>395</v>
      </c>
      <c r="U155" s="10">
        <v>9264578122</v>
      </c>
      <c r="V155" s="12" t="s">
        <v>257</v>
      </c>
      <c r="W155" t="str">
        <f>IF(OR(Q155&lt;=2,V155="Cancelled"),"Blacklisted",IF(AND(P155&gt;100000,Q155&gt;=4,O155&lt;=10%,V155="Completed"),"Platinum",IF(AND(P155&gt;=50000,Q155&gt;=3,V155="Completed"),"Gold",IF(AND(P155&lt;50000,V155="Completed"),"Silver",""))))</f>
        <v>Blacklisted</v>
      </c>
      <c r="X155" t="str">
        <f>PROPER(TRIM(F155))</f>
        <v>Amit Sharma</v>
      </c>
      <c r="Y155" t="str">
        <f>LEFT(F155,3)&amp;MID(B155,2,3)&amp;LEFT(I155,2)</f>
        <v>Ami001Hy</v>
      </c>
      <c r="Z155" t="str">
        <f>IF(ISNUMBER(SEARCH("@",T155)),LOWER(TRIM(T155)),"invalid email")</f>
        <v>amit.sharma@company.com</v>
      </c>
      <c r="AA155">
        <f ca="1">IF(H154="","",IFERROR(DATEDIF(IF(ISNUMBER(H154),H154,DATE(VALUE(RIGHT(H154,4)),VALUE(MID(H154,3,2)),VALUE(LEFT(H154,2)))),TODAY(),"Y"),""))</f>
        <v>28</v>
      </c>
      <c r="AB155" t="str">
        <f>IF(OR(D155="",E155=""),"",IFERROR(DATE(MID(E155,7,4),MID(E155,4,2),LEFT(E155,2))-DATE(MID(D155,7,4),MID(D155,4,2),LEFT(D155,2)),""))</f>
        <v/>
      </c>
      <c r="AC155" t="str">
        <f>IF(E155="","Pending",IF(AB155&lt;=5,"On time","Delayed"))</f>
        <v>Delayed</v>
      </c>
      <c r="AD155" s="29" t="str">
        <f>IF(TRIM(S155)="","Not Assigned",S155)</f>
        <v>Aisha</v>
      </c>
      <c r="AE155" t="str">
        <f>PROPER(TRIM(F155))</f>
        <v>Amit Sharma</v>
      </c>
      <c r="AF155" t="str">
        <f>PROPER(TRIM(K155))</f>
        <v>Stationery</v>
      </c>
      <c r="AG155" t="str">
        <f>PROPER(TRIM(J155))</f>
        <v>South</v>
      </c>
      <c r="AH155" t="str">
        <f t="shared" si="4"/>
        <v>Stationery</v>
      </c>
      <c r="AI155" t="str">
        <f t="shared" si="5"/>
        <v>Stationery</v>
      </c>
      <c r="AK155">
        <f>IF(COUNTIF($A$2:A155,A155)=1,1,0)</f>
        <v>1</v>
      </c>
    </row>
    <row r="156" spans="1:37">
      <c r="A156" s="4" t="s">
        <v>609</v>
      </c>
      <c r="B156" s="5" t="s">
        <v>266</v>
      </c>
      <c r="C156" s="5" t="s">
        <v>280</v>
      </c>
      <c r="D156" s="5" t="s">
        <v>16</v>
      </c>
      <c r="E156" s="5" t="s">
        <v>610</v>
      </c>
      <c r="F156" s="5" t="s">
        <v>268</v>
      </c>
      <c r="G156" s="5" t="s">
        <v>269</v>
      </c>
      <c r="H156" s="6">
        <v>36473</v>
      </c>
      <c r="I156" s="5" t="s">
        <v>260</v>
      </c>
      <c r="J156" s="5" t="s">
        <v>261</v>
      </c>
      <c r="K156" s="5" t="s">
        <v>15</v>
      </c>
      <c r="L156" s="5" t="s">
        <v>282</v>
      </c>
      <c r="M156" s="5">
        <v>9</v>
      </c>
      <c r="N156" s="5">
        <v>3500</v>
      </c>
      <c r="O156" s="5">
        <v>20</v>
      </c>
      <c r="P156" s="5">
        <v>25200</v>
      </c>
      <c r="Q156" s="5">
        <v>1</v>
      </c>
      <c r="R156" s="5" t="s">
        <v>245</v>
      </c>
      <c r="S156" s="5" t="s">
        <v>255</v>
      </c>
      <c r="T156" s="5" t="s">
        <v>273</v>
      </c>
      <c r="U156" s="5">
        <v>9275071213</v>
      </c>
      <c r="V156" s="8" t="s">
        <v>257</v>
      </c>
      <c r="W156" t="str">
        <f>IF(OR(Q156&lt;=2,V156="Cancelled"),"Blacklisted",IF(AND(P156&gt;100000,Q156&gt;=4,O156&lt;=10%,V156="Completed"),"Platinum",IF(AND(P156&gt;=50000,Q156&gt;=3,V156="Completed"),"Gold",IF(AND(P156&lt;50000,V156="Completed"),"Silver",""))))</f>
        <v>Blacklisted</v>
      </c>
      <c r="X156" t="str">
        <f>PROPER(TRIM(F156))</f>
        <v>Mohit Verma</v>
      </c>
      <c r="Y156" t="str">
        <f>LEFT(F156,3)&amp;MID(B156,2,3)&amp;LEFT(I156,2)</f>
        <v>Moh009De</v>
      </c>
      <c r="Z156" t="str">
        <f>IF(ISNUMBER(SEARCH("@",T156)),LOWER(TRIM(T156)),"invalid email")</f>
        <v>mohit.verma@company.com</v>
      </c>
      <c r="AA156" t="str">
        <f ca="1">IF(H155="","",IFERROR(DATEDIF(IF(ISNUMBER(H155),H155,DATE(VALUE(RIGHT(H155,4)),VALUE(MID(H155,3,2)),VALUE(LEFT(H155,2)))),TODAY(),"Y"),""))</f>
        <v/>
      </c>
      <c r="AB156">
        <f>IF(OR(D156="",E156=""),"",IFERROR(DATE(MID(E156,7,4),MID(E156,4,2),LEFT(E156,2))-DATE(MID(D156,7,4),MID(D156,4,2),LEFT(D156,2)),""))</f>
        <v>10</v>
      </c>
      <c r="AC156" t="str">
        <f>IF(E156="","Pending",IF(AB156&lt;=5,"On time","Delayed"))</f>
        <v>Delayed</v>
      </c>
      <c r="AD156" s="29" t="str">
        <f>IF(TRIM(S156)="","Not Assigned",S156)</f>
        <v>Ritika</v>
      </c>
      <c r="AE156" t="str">
        <f>PROPER(TRIM(F156))</f>
        <v>Mohit Verma</v>
      </c>
      <c r="AF156" t="str">
        <f>PROPER(TRIM(K156))</f>
        <v>Home Appliances</v>
      </c>
      <c r="AG156" t="str">
        <f>PROPER(TRIM(J156))</f>
        <v>North</v>
      </c>
      <c r="AH156" t="str">
        <f t="shared" si="4"/>
        <v>Home Appliances</v>
      </c>
      <c r="AI156" t="str">
        <f t="shared" si="5"/>
        <v>Home Appliances</v>
      </c>
      <c r="AK156">
        <f>IF(COUNTIF($A$2:A156,A156)=1,1,0)</f>
        <v>1</v>
      </c>
    </row>
    <row r="157" spans="1:37">
      <c r="A157" s="9" t="s">
        <v>611</v>
      </c>
      <c r="B157" s="10" t="s">
        <v>346</v>
      </c>
      <c r="C157" s="10" t="s">
        <v>236</v>
      </c>
      <c r="D157" s="10" t="s">
        <v>11</v>
      </c>
      <c r="E157" s="10" t="s">
        <v>44</v>
      </c>
      <c r="F157" s="10" t="s">
        <v>348</v>
      </c>
      <c r="G157" s="10" t="s">
        <v>269</v>
      </c>
      <c r="H157" s="11">
        <v>34892</v>
      </c>
      <c r="I157" s="10" t="s">
        <v>342</v>
      </c>
      <c r="J157" s="10" t="s">
        <v>261</v>
      </c>
      <c r="K157" s="10" t="s">
        <v>243</v>
      </c>
      <c r="L157" s="10" t="s">
        <v>244</v>
      </c>
      <c r="M157" s="10">
        <v>4</v>
      </c>
      <c r="N157" s="10">
        <v>55000</v>
      </c>
      <c r="O157" s="10">
        <v>5</v>
      </c>
      <c r="P157" s="10">
        <v>209000</v>
      </c>
      <c r="Q157" s="10">
        <v>2</v>
      </c>
      <c r="R157" s="10" t="s">
        <v>254</v>
      </c>
      <c r="S157" s="10" t="s">
        <v>312</v>
      </c>
      <c r="T157" s="10" t="s">
        <v>350</v>
      </c>
      <c r="U157" s="10">
        <v>9715222543</v>
      </c>
      <c r="V157" s="12" t="s">
        <v>248</v>
      </c>
      <c r="W157" t="str">
        <f>IF(OR(Q157&lt;=2,V157="Cancelled"),"Blacklisted",IF(AND(P157&gt;100000,Q157&gt;=4,O157&lt;=10%,V157="Completed"),"Platinum",IF(AND(P157&gt;=50000,Q157&gt;=3,V157="Completed"),"Gold",IF(AND(P157&lt;50000,V157="Completed"),"Silver",""))))</f>
        <v>Blacklisted</v>
      </c>
      <c r="X157" t="str">
        <f>PROPER(TRIM(F157))</f>
        <v>Vikas Mehta</v>
      </c>
      <c r="Y157" t="str">
        <f>LEFT(F157,3)&amp;MID(B157,2,3)&amp;LEFT(I157,2)</f>
        <v>Vik005Ja</v>
      </c>
      <c r="Z157" t="str">
        <f>IF(ISNUMBER(SEARCH("@",T157)),LOWER(TRIM(T157)),"invalid email")</f>
        <v>vikas.mehta@company.com</v>
      </c>
      <c r="AA157">
        <f ca="1">IF(H156="","",IFERROR(DATEDIF(IF(ISNUMBER(H156),H156,DATE(VALUE(RIGHT(H156,4)),VALUE(MID(H156,3,2)),VALUE(LEFT(H156,2)))),TODAY(),"Y"),""))</f>
        <v>26</v>
      </c>
      <c r="AB157">
        <f>IF(OR(D157="",E157=""),"",IFERROR(DATE(MID(E157,7,4),MID(E157,4,2),LEFT(E157,2))-DATE(MID(D157,7,4),MID(D157,4,2),LEFT(D157,2)),""))</f>
        <v>3</v>
      </c>
      <c r="AC157" t="str">
        <f>IF(E157="","Pending",IF(AB157&lt;=5,"On time","Delayed"))</f>
        <v>On time</v>
      </c>
      <c r="AD157" s="29" t="str">
        <f>IF(TRIM(S157)="","Not Assigned",S157)</f>
        <v>Karan</v>
      </c>
      <c r="AE157" t="str">
        <f>PROPER(TRIM(F157))</f>
        <v>Vikas Mehta</v>
      </c>
      <c r="AF157" t="str">
        <f>PROPER(TRIM(K157))</f>
        <v>Electronics</v>
      </c>
      <c r="AG157" t="str">
        <f>PROPER(TRIM(J157))</f>
        <v>North</v>
      </c>
      <c r="AH157" t="str">
        <f t="shared" si="4"/>
        <v>Electronics</v>
      </c>
      <c r="AI157" t="str">
        <f t="shared" si="5"/>
        <v>Electronics</v>
      </c>
      <c r="AK157">
        <f>IF(COUNTIF($A$2:A157,A157)=1,1,0)</f>
        <v>1</v>
      </c>
    </row>
    <row r="158" spans="1:37">
      <c r="A158" s="4" t="s">
        <v>612</v>
      </c>
      <c r="B158" s="5" t="s">
        <v>392</v>
      </c>
      <c r="C158" s="5" t="s">
        <v>330</v>
      </c>
      <c r="D158" s="5" t="s">
        <v>167</v>
      </c>
      <c r="E158" s="6">
        <v>45664</v>
      </c>
      <c r="F158" s="5" t="s">
        <v>323</v>
      </c>
      <c r="G158" s="5" t="s">
        <v>269</v>
      </c>
      <c r="H158" s="5" t="s">
        <v>613</v>
      </c>
      <c r="I158" s="5" t="s">
        <v>260</v>
      </c>
      <c r="J158" s="5" t="s">
        <v>261</v>
      </c>
      <c r="K158" s="5" t="s">
        <v>243</v>
      </c>
      <c r="L158" s="5" t="s">
        <v>333</v>
      </c>
      <c r="M158" s="5">
        <v>11</v>
      </c>
      <c r="N158" s="5">
        <v>700</v>
      </c>
      <c r="O158" s="5">
        <v>20</v>
      </c>
      <c r="P158" s="5">
        <v>6160</v>
      </c>
      <c r="Q158" s="5">
        <v>4</v>
      </c>
      <c r="R158" s="5" t="s">
        <v>254</v>
      </c>
      <c r="S158" s="5" t="s">
        <v>312</v>
      </c>
      <c r="T158" s="5" t="s">
        <v>395</v>
      </c>
      <c r="U158" s="5">
        <v>9942010833</v>
      </c>
      <c r="V158" s="8" t="s">
        <v>265</v>
      </c>
      <c r="W158" t="str">
        <f>IF(OR(Q158&lt;=2,V158="Cancelled"),"Blacklisted",IF(AND(P158&gt;100000,Q158&gt;=4,O158&lt;=10%,V158="Completed"),"Platinum",IF(AND(P158&gt;=50000,Q158&gt;=3,V158="Completed"),"Gold",IF(AND(P158&lt;50000,V158="Completed"),"Silver",""))))</f>
        <v>Blacklisted</v>
      </c>
      <c r="X158" t="str">
        <f>PROPER(TRIM(F158))</f>
        <v>Amit Sharma</v>
      </c>
      <c r="Y158" t="str">
        <f>LEFT(F158,3)&amp;MID(B158,2,3)&amp;LEFT(I158,2)</f>
        <v>Ami001De</v>
      </c>
      <c r="Z158" t="str">
        <f>IF(ISNUMBER(SEARCH("@",T158)),LOWER(TRIM(T158)),"invalid email")</f>
        <v>amit.sharma@company.com</v>
      </c>
      <c r="AA158">
        <f ca="1">IF(H157="","",IFERROR(DATEDIF(IF(ISNUMBER(H157),H157,DATE(VALUE(RIGHT(H157,4)),VALUE(MID(H157,3,2)),VALUE(LEFT(H157,2)))),TODAY(),"Y"),""))</f>
        <v>31</v>
      </c>
      <c r="AB158" t="str">
        <f>IF(OR(D158="",E158=""),"",IFERROR(DATE(MID(E158,7,4),MID(E158,4,2),LEFT(E158,2))-DATE(MID(D158,7,4),MID(D158,4,2),LEFT(D158,2)),""))</f>
        <v/>
      </c>
      <c r="AC158" t="str">
        <f>IF(E158="","Pending",IF(AB158&lt;=5,"On time","Delayed"))</f>
        <v>Delayed</v>
      </c>
      <c r="AD158" s="29" t="str">
        <f>IF(TRIM(S158)="","Not Assigned",S158)</f>
        <v>Karan</v>
      </c>
      <c r="AE158" t="str">
        <f>PROPER(TRIM(F158))</f>
        <v>Amit Sharma</v>
      </c>
      <c r="AF158" t="str">
        <f>PROPER(TRIM(K158))</f>
        <v>Electronics</v>
      </c>
      <c r="AG158" t="str">
        <f>PROPER(TRIM(J158))</f>
        <v>North</v>
      </c>
      <c r="AH158" t="str">
        <f t="shared" si="4"/>
        <v>Electronics</v>
      </c>
      <c r="AI158" t="str">
        <f t="shared" si="5"/>
        <v>Electronics</v>
      </c>
      <c r="AK158">
        <f>IF(COUNTIF($A$2:A158,A158)=1,1,0)</f>
        <v>1</v>
      </c>
    </row>
    <row r="159" spans="1:37">
      <c r="A159" s="9" t="s">
        <v>614</v>
      </c>
      <c r="B159" s="10" t="s">
        <v>321</v>
      </c>
      <c r="C159" s="10" t="s">
        <v>267</v>
      </c>
      <c r="D159" s="10" t="s">
        <v>85</v>
      </c>
      <c r="E159" s="10" t="s">
        <v>192</v>
      </c>
      <c r="F159" s="10" t="s">
        <v>408</v>
      </c>
      <c r="G159" s="10" t="s">
        <v>239</v>
      </c>
      <c r="H159" s="10" t="s">
        <v>615</v>
      </c>
      <c r="I159" s="10" t="s">
        <v>379</v>
      </c>
      <c r="J159" s="10" t="s">
        <v>21</v>
      </c>
      <c r="K159" s="10" t="s">
        <v>243</v>
      </c>
      <c r="L159" s="10" t="s">
        <v>271</v>
      </c>
      <c r="M159" s="10">
        <v>16</v>
      </c>
      <c r="N159" s="10">
        <v>1200</v>
      </c>
      <c r="O159" s="10">
        <v>5</v>
      </c>
      <c r="P159" s="10">
        <v>18240</v>
      </c>
      <c r="Q159" s="10">
        <v>1</v>
      </c>
      <c r="R159" s="10" t="s">
        <v>272</v>
      </c>
      <c r="S159" s="10" t="s">
        <v>255</v>
      </c>
      <c r="T159" s="10" t="s">
        <v>326</v>
      </c>
      <c r="U159" s="10">
        <v>9347718932</v>
      </c>
      <c r="V159" s="12" t="s">
        <v>248</v>
      </c>
      <c r="W159" t="str">
        <f>IF(OR(Q159&lt;=2,V159="Cancelled"),"Blacklisted",IF(AND(P159&gt;100000,Q159&gt;=4,O159&lt;=10%,V159="Completed"),"Platinum",IF(AND(P159&gt;=50000,Q159&gt;=3,V159="Completed"),"Gold",IF(AND(P159&lt;50000,V159="Completed"),"Silver",""))))</f>
        <v>Blacklisted</v>
      </c>
      <c r="X159" t="str">
        <f>PROPER(TRIM(F159))</f>
        <v>Anita Gupta</v>
      </c>
      <c r="Y159" t="str">
        <f>LEFT(F159,3)&amp;MID(B159,2,3)&amp;LEFT(I159,2)</f>
        <v>Ani004Ko</v>
      </c>
      <c r="Z159" t="str">
        <f>IF(ISNUMBER(SEARCH("@",T159)),LOWER(TRIM(T159)),"invalid email")</f>
        <v>anita.gupta@company.com</v>
      </c>
      <c r="AA159" t="str">
        <f ca="1">IF(H158="","",IFERROR(DATEDIF(IF(ISNUMBER(H158),H158,DATE(VALUE(RIGHT(H158,4)),VALUE(MID(H158,3,2)),VALUE(LEFT(H158,2)))),TODAY(),"Y"),""))</f>
        <v/>
      </c>
      <c r="AB159">
        <f>IF(OR(D159="",E159=""),"",IFERROR(DATE(MID(E159,7,4),MID(E159,4,2),LEFT(E159,2))-DATE(MID(D159,7,4),MID(D159,4,2),LEFT(D159,2)),""))</f>
        <v>10</v>
      </c>
      <c r="AC159" t="str">
        <f>IF(E159="","Pending",IF(AB159&lt;=5,"On time","Delayed"))</f>
        <v>Delayed</v>
      </c>
      <c r="AD159" s="29" t="str">
        <f>IF(TRIM(S159)="","Not Assigned",S159)</f>
        <v>Ritika</v>
      </c>
      <c r="AE159" t="str">
        <f>PROPER(TRIM(F159))</f>
        <v>Anita Gupta</v>
      </c>
      <c r="AF159" t="str">
        <f>PROPER(TRIM(K159))</f>
        <v>Electronics</v>
      </c>
      <c r="AG159" t="str">
        <f>PROPER(TRIM(J159))</f>
        <v>East</v>
      </c>
      <c r="AH159" t="str">
        <f t="shared" si="4"/>
        <v>Electronics</v>
      </c>
      <c r="AI159" t="str">
        <f t="shared" si="5"/>
        <v>Electronics</v>
      </c>
      <c r="AK159">
        <f>IF(COUNTIF($A$2:A159,A159)=1,1,0)</f>
        <v>1</v>
      </c>
    </row>
    <row r="160" spans="1:37">
      <c r="A160" s="4" t="s">
        <v>616</v>
      </c>
      <c r="B160" s="5" t="s">
        <v>321</v>
      </c>
      <c r="C160" s="5" t="s">
        <v>267</v>
      </c>
      <c r="D160" s="5" t="s">
        <v>36</v>
      </c>
      <c r="E160" s="5" t="s">
        <v>61</v>
      </c>
      <c r="F160" s="5" t="s">
        <v>408</v>
      </c>
      <c r="G160" s="5" t="s">
        <v>239</v>
      </c>
      <c r="H160" s="5" t="s">
        <v>617</v>
      </c>
      <c r="I160" s="5" t="s">
        <v>291</v>
      </c>
      <c r="J160" s="5" t="s">
        <v>287</v>
      </c>
      <c r="K160" s="5" t="s">
        <v>243</v>
      </c>
      <c r="L160" s="5" t="s">
        <v>271</v>
      </c>
      <c r="M160" s="5">
        <v>1</v>
      </c>
      <c r="N160" s="5">
        <v>1200</v>
      </c>
      <c r="O160" s="5">
        <v>5</v>
      </c>
      <c r="P160" s="5">
        <v>1140</v>
      </c>
      <c r="Q160" s="5">
        <v>4</v>
      </c>
      <c r="R160" s="5" t="s">
        <v>272</v>
      </c>
      <c r="S160" s="5" t="s">
        <v>255</v>
      </c>
      <c r="T160" s="5" t="s">
        <v>326</v>
      </c>
      <c r="U160" s="5">
        <v>9274808844</v>
      </c>
      <c r="V160" s="8" t="s">
        <v>257</v>
      </c>
      <c r="W160" t="str">
        <f>IF(OR(Q160&lt;=2,V160="Cancelled"),"Blacklisted",IF(AND(P160&gt;100000,Q160&gt;=4,O160&lt;=10%,V160="Completed"),"Platinum",IF(AND(P160&gt;=50000,Q160&gt;=3,V160="Completed"),"Gold",IF(AND(P160&lt;50000,V160="Completed"),"Silver",""))))</f>
        <v>Silver</v>
      </c>
      <c r="X160" t="str">
        <f>PROPER(TRIM(F160))</f>
        <v>Anita Gupta</v>
      </c>
      <c r="Y160" t="str">
        <f>LEFT(F160,3)&amp;MID(B160,2,3)&amp;LEFT(I160,2)</f>
        <v>Ani004Pu</v>
      </c>
      <c r="Z160" t="str">
        <f>IF(ISNUMBER(SEARCH("@",T160)),LOWER(TRIM(T160)),"invalid email")</f>
        <v>anita.gupta@company.com</v>
      </c>
      <c r="AA160" t="str">
        <f ca="1">IF(H159="","",IFERROR(DATEDIF(IF(ISNUMBER(H159),H159,DATE(VALUE(RIGHT(H159,4)),VALUE(MID(H159,3,2)),VALUE(LEFT(H159,2)))),TODAY(),"Y"),""))</f>
        <v/>
      </c>
      <c r="AB160">
        <f>IF(OR(D160="",E160=""),"",IFERROR(DATE(MID(E160,7,4),MID(E160,4,2),LEFT(E160,2))-DATE(MID(D160,7,4),MID(D160,4,2),LEFT(D160,2)),""))</f>
        <v>2</v>
      </c>
      <c r="AC160" t="str">
        <f>IF(E160="","Pending",IF(AB160&lt;=5,"On time","Delayed"))</f>
        <v>On time</v>
      </c>
      <c r="AD160" s="29" t="str">
        <f>IF(TRIM(S160)="","Not Assigned",S160)</f>
        <v>Ritika</v>
      </c>
      <c r="AE160" t="str">
        <f>PROPER(TRIM(F160))</f>
        <v>Anita Gupta</v>
      </c>
      <c r="AF160" t="str">
        <f>PROPER(TRIM(K160))</f>
        <v>Electronics</v>
      </c>
      <c r="AG160" t="str">
        <f>PROPER(TRIM(J160))</f>
        <v>West</v>
      </c>
      <c r="AH160" t="str">
        <f t="shared" si="4"/>
        <v>Electronics</v>
      </c>
      <c r="AI160" t="str">
        <f t="shared" si="5"/>
        <v>Electronics</v>
      </c>
      <c r="AK160">
        <f>IF(COUNTIF($A$2:A160,A160)=1,1,0)</f>
        <v>1</v>
      </c>
    </row>
    <row r="161" spans="1:37">
      <c r="A161" s="9" t="s">
        <v>618</v>
      </c>
      <c r="B161" s="10" t="s">
        <v>392</v>
      </c>
      <c r="C161" s="10" t="s">
        <v>294</v>
      </c>
      <c r="D161" s="11">
        <v>45758</v>
      </c>
      <c r="E161" s="10" t="s">
        <v>619</v>
      </c>
      <c r="F161" s="10" t="s">
        <v>323</v>
      </c>
      <c r="G161" s="10" t="s">
        <v>269</v>
      </c>
      <c r="H161" s="10" t="s">
        <v>620</v>
      </c>
      <c r="I161" s="10" t="s">
        <v>342</v>
      </c>
      <c r="J161" s="10" t="s">
        <v>261</v>
      </c>
      <c r="K161" s="10" t="s">
        <v>295</v>
      </c>
      <c r="L161" s="10" t="s">
        <v>296</v>
      </c>
      <c r="M161" s="10">
        <v>7</v>
      </c>
      <c r="N161" s="10">
        <v>60</v>
      </c>
      <c r="O161" s="10">
        <v>0</v>
      </c>
      <c r="P161" s="10">
        <v>420</v>
      </c>
      <c r="Q161" s="10">
        <v>2</v>
      </c>
      <c r="R161" s="10" t="s">
        <v>277</v>
      </c>
      <c r="S161" s="10" t="s">
        <v>312</v>
      </c>
      <c r="T161" s="10" t="s">
        <v>395</v>
      </c>
      <c r="U161" s="10">
        <v>9798996063</v>
      </c>
      <c r="V161" s="12" t="s">
        <v>257</v>
      </c>
      <c r="W161" t="str">
        <f>IF(OR(Q161&lt;=2,V161="Cancelled"),"Blacklisted",IF(AND(P161&gt;100000,Q161&gt;=4,O161&lt;=10%,V161="Completed"),"Platinum",IF(AND(P161&gt;=50000,Q161&gt;=3,V161="Completed"),"Gold",IF(AND(P161&lt;50000,V161="Completed"),"Silver",""))))</f>
        <v>Blacklisted</v>
      </c>
      <c r="X161" t="str">
        <f>PROPER(TRIM(F161))</f>
        <v>Amit Sharma</v>
      </c>
      <c r="Y161" t="str">
        <f>LEFT(F161,3)&amp;MID(B161,2,3)&amp;LEFT(I161,2)</f>
        <v>Ami001Ja</v>
      </c>
      <c r="Z161" t="str">
        <f>IF(ISNUMBER(SEARCH("@",T161)),LOWER(TRIM(T161)),"invalid email")</f>
        <v>amit.sharma@company.com</v>
      </c>
      <c r="AA161" t="str">
        <f ca="1">IF(H160="","",IFERROR(DATEDIF(IF(ISNUMBER(H160),H160,DATE(VALUE(RIGHT(H160,4)),VALUE(MID(H160,3,2)),VALUE(LEFT(H160,2)))),TODAY(),"Y"),""))</f>
        <v/>
      </c>
      <c r="AB161" t="str">
        <f>IF(OR(D161="",E161=""),"",IFERROR(DATE(MID(E161,7,4),MID(E161,4,2),LEFT(E161,2))-DATE(MID(D161,7,4),MID(D161,4,2),LEFT(D161,2)),""))</f>
        <v/>
      </c>
      <c r="AC161" t="str">
        <f>IF(E161="","Pending",IF(AB161&lt;=5,"On time","Delayed"))</f>
        <v>Delayed</v>
      </c>
      <c r="AD161" s="29" t="str">
        <f>IF(TRIM(S161)="","Not Assigned",S161)</f>
        <v>Karan</v>
      </c>
      <c r="AE161" t="str">
        <f>PROPER(TRIM(F161))</f>
        <v>Amit Sharma</v>
      </c>
      <c r="AF161" t="str">
        <f>PROPER(TRIM(K161))</f>
        <v>Stationery</v>
      </c>
      <c r="AG161" t="str">
        <f>PROPER(TRIM(J161))</f>
        <v>North</v>
      </c>
      <c r="AH161" t="str">
        <f t="shared" si="4"/>
        <v>Stationery</v>
      </c>
      <c r="AI161" t="str">
        <f t="shared" si="5"/>
        <v>Stationery</v>
      </c>
      <c r="AK161">
        <f>IF(COUNTIF($A$2:A161,A161)=1,1,0)</f>
        <v>1</v>
      </c>
    </row>
    <row r="162" spans="1:37">
      <c r="A162" s="4" t="s">
        <v>621</v>
      </c>
      <c r="B162" s="5" t="s">
        <v>321</v>
      </c>
      <c r="C162" s="5" t="s">
        <v>250</v>
      </c>
      <c r="D162" s="6">
        <v>45717</v>
      </c>
      <c r="E162" s="6">
        <v>45839</v>
      </c>
      <c r="F162" s="5" t="s">
        <v>408</v>
      </c>
      <c r="G162" s="5" t="s">
        <v>239</v>
      </c>
      <c r="H162" s="5" t="s">
        <v>622</v>
      </c>
      <c r="I162" s="5" t="s">
        <v>291</v>
      </c>
      <c r="J162" s="5" t="s">
        <v>287</v>
      </c>
      <c r="K162" s="5" t="s">
        <v>15</v>
      </c>
      <c r="L162" s="5" t="s">
        <v>253</v>
      </c>
      <c r="M162" s="5">
        <v>14</v>
      </c>
      <c r="N162" s="5">
        <v>2200</v>
      </c>
      <c r="O162" s="5">
        <v>0</v>
      </c>
      <c r="P162" s="5">
        <v>30800</v>
      </c>
      <c r="Q162" s="5">
        <v>2</v>
      </c>
      <c r="R162" s="5" t="s">
        <v>277</v>
      </c>
      <c r="S162" s="5" t="s">
        <v>255</v>
      </c>
      <c r="T162" s="5" t="s">
        <v>326</v>
      </c>
      <c r="U162" s="5">
        <v>9145200936</v>
      </c>
      <c r="V162" s="8" t="s">
        <v>265</v>
      </c>
      <c r="W162" t="str">
        <f>IF(OR(Q162&lt;=2,V162="Cancelled"),"Blacklisted",IF(AND(P162&gt;100000,Q162&gt;=4,O162&lt;=10%,V162="Completed"),"Platinum",IF(AND(P162&gt;=50000,Q162&gt;=3,V162="Completed"),"Gold",IF(AND(P162&lt;50000,V162="Completed"),"Silver",""))))</f>
        <v>Blacklisted</v>
      </c>
      <c r="X162" t="str">
        <f>PROPER(TRIM(F162))</f>
        <v>Anita Gupta</v>
      </c>
      <c r="Y162" t="str">
        <f>LEFT(F162,3)&amp;MID(B162,2,3)&amp;LEFT(I162,2)</f>
        <v>Ani004Pu</v>
      </c>
      <c r="Z162" t="str">
        <f>IF(ISNUMBER(SEARCH("@",T162)),LOWER(TRIM(T162)),"invalid email")</f>
        <v>anita.gupta@company.com</v>
      </c>
      <c r="AA162" t="str">
        <f ca="1">IF(H161="","",IFERROR(DATEDIF(IF(ISNUMBER(H161),H161,DATE(VALUE(RIGHT(H161,4)),VALUE(MID(H161,3,2)),VALUE(LEFT(H161,2)))),TODAY(),"Y"),""))</f>
        <v/>
      </c>
      <c r="AB162" t="str">
        <f>IF(OR(D162="",E162=""),"",IFERROR(DATE(MID(E162,7,4),MID(E162,4,2),LEFT(E162,2))-DATE(MID(D162,7,4),MID(D162,4,2),LEFT(D162,2)),""))</f>
        <v/>
      </c>
      <c r="AC162" t="str">
        <f>IF(E162="","Pending",IF(AB162&lt;=5,"On time","Delayed"))</f>
        <v>Delayed</v>
      </c>
      <c r="AD162" s="29" t="str">
        <f>IF(TRIM(S162)="","Not Assigned",S162)</f>
        <v>Ritika</v>
      </c>
      <c r="AE162" t="str">
        <f>PROPER(TRIM(F162))</f>
        <v>Anita Gupta</v>
      </c>
      <c r="AF162" t="str">
        <f>PROPER(TRIM(K162))</f>
        <v>Home Appliances</v>
      </c>
      <c r="AG162" t="str">
        <f>PROPER(TRIM(J162))</f>
        <v>West</v>
      </c>
      <c r="AH162" t="str">
        <f t="shared" si="4"/>
        <v>Home Appliances</v>
      </c>
      <c r="AI162" t="str">
        <f t="shared" si="5"/>
        <v>Home Appliances</v>
      </c>
      <c r="AK162">
        <f>IF(COUNTIF($A$2:A162,A162)=1,1,0)</f>
        <v>1</v>
      </c>
    </row>
    <row r="163" spans="1:37">
      <c r="A163" s="9" t="s">
        <v>623</v>
      </c>
      <c r="B163" s="10" t="s">
        <v>321</v>
      </c>
      <c r="C163" s="10" t="s">
        <v>280</v>
      </c>
      <c r="D163" s="10" t="s">
        <v>80</v>
      </c>
      <c r="E163" s="10" t="s">
        <v>167</v>
      </c>
      <c r="F163" s="10" t="s">
        <v>408</v>
      </c>
      <c r="G163" s="10" t="s">
        <v>239</v>
      </c>
      <c r="H163" s="10" t="s">
        <v>624</v>
      </c>
      <c r="I163" s="10" t="s">
        <v>306</v>
      </c>
      <c r="J163" s="10" t="s">
        <v>287</v>
      </c>
      <c r="K163" s="10" t="s">
        <v>15</v>
      </c>
      <c r="L163" s="10" t="s">
        <v>282</v>
      </c>
      <c r="M163" s="10">
        <v>15</v>
      </c>
      <c r="N163" s="10">
        <v>3500</v>
      </c>
      <c r="O163" s="10">
        <v>15</v>
      </c>
      <c r="P163" s="10">
        <v>44625</v>
      </c>
      <c r="Q163" s="10">
        <v>2</v>
      </c>
      <c r="R163" s="10" t="s">
        <v>277</v>
      </c>
      <c r="S163" s="10" t="s">
        <v>246</v>
      </c>
      <c r="T163" s="10" t="s">
        <v>326</v>
      </c>
      <c r="U163" s="10">
        <v>9697654418</v>
      </c>
      <c r="V163" s="12" t="s">
        <v>248</v>
      </c>
      <c r="W163" t="str">
        <f>IF(OR(Q163&lt;=2,V163="Cancelled"),"Blacklisted",IF(AND(P163&gt;100000,Q163&gt;=4,O163&lt;=10%,V163="Completed"),"Platinum",IF(AND(P163&gt;=50000,Q163&gt;=3,V163="Completed"),"Gold",IF(AND(P163&lt;50000,V163="Completed"),"Silver",""))))</f>
        <v>Blacklisted</v>
      </c>
      <c r="X163" t="str">
        <f>PROPER(TRIM(F163))</f>
        <v>Anita Gupta</v>
      </c>
      <c r="Y163" t="str">
        <f>LEFT(F163,3)&amp;MID(B163,2,3)&amp;LEFT(I163,2)</f>
        <v>Ani004Ah</v>
      </c>
      <c r="Z163" t="str">
        <f>IF(ISNUMBER(SEARCH("@",T163)),LOWER(TRIM(T163)),"invalid email")</f>
        <v>anita.gupta@company.com</v>
      </c>
      <c r="AA163" t="str">
        <f ca="1">IF(H162="","",IFERROR(DATEDIF(IF(ISNUMBER(H162),H162,DATE(VALUE(RIGHT(H162,4)),VALUE(MID(H162,3,2)),VALUE(LEFT(H162,2)))),TODAY(),"Y"),""))</f>
        <v/>
      </c>
      <c r="AB163">
        <f>IF(OR(D163="",E163=""),"",IFERROR(DATE(MID(E163,7,4),MID(E163,4,2),LEFT(E163,2))-DATE(MID(D163,7,4),MID(D163,4,2),LEFT(D163,2)),""))</f>
        <v>8</v>
      </c>
      <c r="AC163" t="str">
        <f>IF(E163="","Pending",IF(AB163&lt;=5,"On time","Delayed"))</f>
        <v>Delayed</v>
      </c>
      <c r="AD163" s="29" t="str">
        <f>IF(TRIM(S163)="","Not Assigned",S163)</f>
        <v>Aisha</v>
      </c>
      <c r="AE163" t="str">
        <f>PROPER(TRIM(F163))</f>
        <v>Anita Gupta</v>
      </c>
      <c r="AF163" t="str">
        <f>PROPER(TRIM(K163))</f>
        <v>Home Appliances</v>
      </c>
      <c r="AG163" t="str">
        <f>PROPER(TRIM(J163))</f>
        <v>West</v>
      </c>
      <c r="AH163" t="str">
        <f t="shared" si="4"/>
        <v>Home Appliances</v>
      </c>
      <c r="AI163" t="str">
        <f t="shared" si="5"/>
        <v>Home Appliances</v>
      </c>
      <c r="AK163">
        <f>IF(COUNTIF($A$2:A163,A163)=1,1,0)</f>
        <v>1</v>
      </c>
    </row>
    <row r="164" spans="1:37">
      <c r="A164" s="4" t="s">
        <v>625</v>
      </c>
      <c r="B164" s="5" t="s">
        <v>299</v>
      </c>
      <c r="C164" s="5" t="s">
        <v>280</v>
      </c>
      <c r="D164" s="5" t="s">
        <v>151</v>
      </c>
      <c r="E164" s="6">
        <v>45812</v>
      </c>
      <c r="F164" s="5" t="s">
        <v>301</v>
      </c>
      <c r="G164" s="5" t="s">
        <v>269</v>
      </c>
      <c r="H164" s="6">
        <v>31721</v>
      </c>
      <c r="I164" s="5" t="s">
        <v>379</v>
      </c>
      <c r="J164" s="5" t="s">
        <v>21</v>
      </c>
      <c r="K164" s="5" t="s">
        <v>15</v>
      </c>
      <c r="L164" s="5" t="s">
        <v>282</v>
      </c>
      <c r="M164" s="5">
        <v>19</v>
      </c>
      <c r="N164" s="5">
        <v>3500</v>
      </c>
      <c r="O164" s="5">
        <v>5</v>
      </c>
      <c r="P164" s="5">
        <v>63175</v>
      </c>
      <c r="Q164" s="5">
        <v>2</v>
      </c>
      <c r="R164" s="5" t="s">
        <v>254</v>
      </c>
      <c r="S164" s="5" t="s">
        <v>292</v>
      </c>
      <c r="T164" s="5" t="s">
        <v>302</v>
      </c>
      <c r="U164" s="5">
        <v>9457923119</v>
      </c>
      <c r="V164" s="8" t="s">
        <v>265</v>
      </c>
      <c r="W164" t="str">
        <f>IF(OR(Q164&lt;=2,V164="Cancelled"),"Blacklisted",IF(AND(P164&gt;100000,Q164&gt;=4,O164&lt;=10%,V164="Completed"),"Platinum",IF(AND(P164&gt;=50000,Q164&gt;=3,V164="Completed"),"Gold",IF(AND(P164&lt;50000,V164="Completed"),"Silver",""))))</f>
        <v>Blacklisted</v>
      </c>
      <c r="X164" t="str">
        <f>PROPER(TRIM(F164))</f>
        <v>Rohit Singh</v>
      </c>
      <c r="Y164" t="str">
        <f>LEFT(F164,3)&amp;MID(B164,2,3)&amp;LEFT(I164,2)</f>
        <v>Roh003Ko</v>
      </c>
      <c r="Z164" t="str">
        <f>IF(ISNUMBER(SEARCH("@",T164)),LOWER(TRIM(T164)),"invalid email")</f>
        <v>rohit.singh@company.com</v>
      </c>
      <c r="AA164" t="str">
        <f ca="1">IF(H163="","",IFERROR(DATEDIF(IF(ISNUMBER(H163),H163,DATE(VALUE(RIGHT(H163,4)),VALUE(MID(H163,3,2)),VALUE(LEFT(H163,2)))),TODAY(),"Y"),""))</f>
        <v/>
      </c>
      <c r="AB164" t="str">
        <f>IF(OR(D164="",E164=""),"",IFERROR(DATE(MID(E164,7,4),MID(E164,4,2),LEFT(E164,2))-DATE(MID(D164,7,4),MID(D164,4,2),LEFT(D164,2)),""))</f>
        <v/>
      </c>
      <c r="AC164" t="str">
        <f>IF(E164="","Pending",IF(AB164&lt;=5,"On time","Delayed"))</f>
        <v>Delayed</v>
      </c>
      <c r="AD164" s="29" t="str">
        <f>IF(TRIM(S164)="","Not Assigned",S164)</f>
        <v>Neha</v>
      </c>
      <c r="AE164" t="str">
        <f>PROPER(TRIM(F164))</f>
        <v>Rohit Singh</v>
      </c>
      <c r="AF164" t="str">
        <f>PROPER(TRIM(K164))</f>
        <v>Home Appliances</v>
      </c>
      <c r="AG164" t="str">
        <f>PROPER(TRIM(J164))</f>
        <v>East</v>
      </c>
      <c r="AH164" t="str">
        <f t="shared" si="4"/>
        <v>Home Appliances</v>
      </c>
      <c r="AI164" t="str">
        <f t="shared" si="5"/>
        <v>Home Appliances</v>
      </c>
      <c r="AK164">
        <f>IF(COUNTIF($A$2:A164,A164)=1,1,0)</f>
        <v>1</v>
      </c>
    </row>
    <row r="165" spans="1:37">
      <c r="A165" s="9" t="s">
        <v>626</v>
      </c>
      <c r="B165" s="10" t="s">
        <v>392</v>
      </c>
      <c r="C165" s="10" t="s">
        <v>236</v>
      </c>
      <c r="D165" s="11">
        <v>45815</v>
      </c>
      <c r="E165" s="11">
        <v>45937</v>
      </c>
      <c r="F165" s="10" t="s">
        <v>323</v>
      </c>
      <c r="G165" s="10" t="s">
        <v>269</v>
      </c>
      <c r="H165" s="10" t="s">
        <v>627</v>
      </c>
      <c r="I165" s="10" t="s">
        <v>241</v>
      </c>
      <c r="J165" s="10" t="s">
        <v>242</v>
      </c>
      <c r="K165" s="10" t="s">
        <v>243</v>
      </c>
      <c r="L165" s="10" t="s">
        <v>244</v>
      </c>
      <c r="M165" s="10">
        <v>12</v>
      </c>
      <c r="N165" s="10">
        <v>55000</v>
      </c>
      <c r="O165" s="10">
        <v>5</v>
      </c>
      <c r="P165" s="10">
        <v>627000</v>
      </c>
      <c r="Q165" s="10">
        <v>4</v>
      </c>
      <c r="R165" s="10" t="s">
        <v>272</v>
      </c>
      <c r="S165" s="10" t="s">
        <v>246</v>
      </c>
      <c r="T165" s="10" t="s">
        <v>395</v>
      </c>
      <c r="U165" s="10">
        <v>9236111271</v>
      </c>
      <c r="V165" s="12" t="s">
        <v>265</v>
      </c>
      <c r="W165" t="str">
        <f>IF(OR(Q165&lt;=2,V165="Cancelled"),"Blacklisted",IF(AND(P165&gt;100000,Q165&gt;=4,O165&lt;=10%,V165="Completed"),"Platinum",IF(AND(P165&gt;=50000,Q165&gt;=3,V165="Completed"),"Gold",IF(AND(P165&lt;50000,V165="Completed"),"Silver",""))))</f>
        <v>Blacklisted</v>
      </c>
      <c r="X165" t="str">
        <f>PROPER(TRIM(F165))</f>
        <v>Amit Sharma</v>
      </c>
      <c r="Y165" t="str">
        <f>LEFT(F165,3)&amp;MID(B165,2,3)&amp;LEFT(I165,2)</f>
        <v>Ami001Be</v>
      </c>
      <c r="Z165" t="str">
        <f>IF(ISNUMBER(SEARCH("@",T165)),LOWER(TRIM(T165)),"invalid email")</f>
        <v>amit.sharma@company.com</v>
      </c>
      <c r="AA165">
        <f ca="1">IF(H164="","",IFERROR(DATEDIF(IF(ISNUMBER(H164),H164,DATE(VALUE(RIGHT(H164,4)),VALUE(MID(H164,3,2)),VALUE(LEFT(H164,2)))),TODAY(),"Y"),""))</f>
        <v>39</v>
      </c>
      <c r="AB165" t="str">
        <f>IF(OR(D165="",E165=""),"",IFERROR(DATE(MID(E165,7,4),MID(E165,4,2),LEFT(E165,2))-DATE(MID(D165,7,4),MID(D165,4,2),LEFT(D165,2)),""))</f>
        <v/>
      </c>
      <c r="AC165" t="str">
        <f>IF(E165="","Pending",IF(AB165&lt;=5,"On time","Delayed"))</f>
        <v>Delayed</v>
      </c>
      <c r="AD165" s="29" t="str">
        <f>IF(TRIM(S165)="","Not Assigned",S165)</f>
        <v>Aisha</v>
      </c>
      <c r="AE165" t="str">
        <f>PROPER(TRIM(F165))</f>
        <v>Amit Sharma</v>
      </c>
      <c r="AF165" t="str">
        <f>PROPER(TRIM(K165))</f>
        <v>Electronics</v>
      </c>
      <c r="AG165" t="str">
        <f>PROPER(TRIM(J165))</f>
        <v>South</v>
      </c>
      <c r="AH165" t="str">
        <f t="shared" si="4"/>
        <v>Electronics</v>
      </c>
      <c r="AI165" t="str">
        <f t="shared" si="5"/>
        <v>Electronics</v>
      </c>
      <c r="AK165">
        <f>IF(COUNTIF($A$2:A165,A165)=1,1,0)</f>
        <v>1</v>
      </c>
    </row>
    <row r="166" spans="1:37">
      <c r="A166" s="4" t="s">
        <v>628</v>
      </c>
      <c r="B166" s="5" t="s">
        <v>235</v>
      </c>
      <c r="C166" s="5" t="s">
        <v>267</v>
      </c>
      <c r="D166" s="5" t="s">
        <v>63</v>
      </c>
      <c r="E166" s="5" t="s">
        <v>149</v>
      </c>
      <c r="F166" s="5" t="s">
        <v>318</v>
      </c>
      <c r="G166" s="5" t="s">
        <v>239</v>
      </c>
      <c r="H166" s="5" t="s">
        <v>629</v>
      </c>
      <c r="I166" s="5" t="s">
        <v>286</v>
      </c>
      <c r="J166" s="5" t="s">
        <v>287</v>
      </c>
      <c r="K166" s="5" t="s">
        <v>243</v>
      </c>
      <c r="L166" s="5" t="s">
        <v>271</v>
      </c>
      <c r="M166" s="5">
        <v>6</v>
      </c>
      <c r="N166" s="5">
        <v>1200</v>
      </c>
      <c r="O166" s="5">
        <v>10</v>
      </c>
      <c r="P166" s="5">
        <v>6480</v>
      </c>
      <c r="Q166" s="5">
        <v>5</v>
      </c>
      <c r="R166" s="5" t="s">
        <v>245</v>
      </c>
      <c r="S166" s="5" t="s">
        <v>292</v>
      </c>
      <c r="T166" s="5" t="s">
        <v>247</v>
      </c>
      <c r="U166" s="5">
        <v>9402569141</v>
      </c>
      <c r="V166" s="8" t="s">
        <v>265</v>
      </c>
      <c r="W166" t="str">
        <f>IF(OR(Q166&lt;=2,V166="Cancelled"),"Blacklisted",IF(AND(P166&gt;100000,Q166&gt;=4,O166&lt;=10%,V166="Completed"),"Platinum",IF(AND(P166&gt;=50000,Q166&gt;=3,V166="Completed"),"Gold",IF(AND(P166&lt;50000,V166="Completed"),"Silver",""))))</f>
        <v>Blacklisted</v>
      </c>
      <c r="X166" t="str">
        <f>PROPER(TRIM(F166))</f>
        <v>Pooja Shah</v>
      </c>
      <c r="Y166" t="str">
        <f>LEFT(F166,3)&amp;MID(B166,2,3)&amp;LEFT(I166,2)</f>
        <v>Poo010Mu</v>
      </c>
      <c r="Z166" t="str">
        <f>IF(ISNUMBER(SEARCH("@",T166)),LOWER(TRIM(T166)),"invalid email")</f>
        <v>pooja.shah@company.com</v>
      </c>
      <c r="AA166" t="str">
        <f ca="1">IF(H165="","",IFERROR(DATEDIF(IF(ISNUMBER(H165),H165,DATE(VALUE(RIGHT(H165,4)),VALUE(MID(H165,3,2)),VALUE(LEFT(H165,2)))),TODAY(),"Y"),""))</f>
        <v/>
      </c>
      <c r="AB166">
        <f>IF(OR(D166="",E166=""),"",IFERROR(DATE(MID(E166,7,4),MID(E166,4,2),LEFT(E166,2))-DATE(MID(D166,7,4),MID(D166,4,2),LEFT(D166,2)),""))</f>
        <v>8</v>
      </c>
      <c r="AC166" t="str">
        <f>IF(E166="","Pending",IF(AB166&lt;=5,"On time","Delayed"))</f>
        <v>Delayed</v>
      </c>
      <c r="AD166" s="29" t="str">
        <f>IF(TRIM(S166)="","Not Assigned",S166)</f>
        <v>Neha</v>
      </c>
      <c r="AE166" t="str">
        <f>PROPER(TRIM(F166))</f>
        <v>Pooja Shah</v>
      </c>
      <c r="AF166" t="str">
        <f>PROPER(TRIM(K166))</f>
        <v>Electronics</v>
      </c>
      <c r="AG166" t="str">
        <f>PROPER(TRIM(J166))</f>
        <v>West</v>
      </c>
      <c r="AH166" t="str">
        <f t="shared" si="4"/>
        <v>Electronics</v>
      </c>
      <c r="AI166" t="str">
        <f t="shared" si="5"/>
        <v>Electronics</v>
      </c>
      <c r="AK166">
        <f>IF(COUNTIF($A$2:A166,A166)=1,1,0)</f>
        <v>1</v>
      </c>
    </row>
    <row r="167" spans="1:37">
      <c r="A167" s="9" t="s">
        <v>630</v>
      </c>
      <c r="B167" s="10" t="s">
        <v>358</v>
      </c>
      <c r="C167" s="10" t="s">
        <v>322</v>
      </c>
      <c r="D167" s="10" t="s">
        <v>83</v>
      </c>
      <c r="E167" s="10" t="s">
        <v>356</v>
      </c>
      <c r="F167" s="10" t="s">
        <v>359</v>
      </c>
      <c r="G167" s="10" t="s">
        <v>239</v>
      </c>
      <c r="H167" s="10" t="s">
        <v>631</v>
      </c>
      <c r="I167" s="10" t="s">
        <v>252</v>
      </c>
      <c r="J167" s="10" t="s">
        <v>242</v>
      </c>
      <c r="K167" s="10" t="s">
        <v>15</v>
      </c>
      <c r="L167" s="10" t="s">
        <v>325</v>
      </c>
      <c r="M167" s="10">
        <v>1</v>
      </c>
      <c r="N167" s="10">
        <v>8500</v>
      </c>
      <c r="O167" s="10">
        <v>0</v>
      </c>
      <c r="P167" s="10">
        <v>8500</v>
      </c>
      <c r="Q167" s="10">
        <v>1</v>
      </c>
      <c r="R167" s="10" t="s">
        <v>277</v>
      </c>
      <c r="S167" s="10" t="s">
        <v>312</v>
      </c>
      <c r="T167" s="10" t="s">
        <v>360</v>
      </c>
      <c r="U167" s="10">
        <v>9138184056</v>
      </c>
      <c r="V167" s="12" t="s">
        <v>265</v>
      </c>
      <c r="W167" t="str">
        <f>IF(OR(Q167&lt;=2,V167="Cancelled"),"Blacklisted",IF(AND(P167&gt;100000,Q167&gt;=4,O167&lt;=10%,V167="Completed"),"Platinum",IF(AND(P167&gt;=50000,Q167&gt;=3,V167="Completed"),"Gold",IF(AND(P167&lt;50000,V167="Completed"),"Silver",""))))</f>
        <v>Blacklisted</v>
      </c>
      <c r="X167" t="str">
        <f>PROPER(TRIM(F167))</f>
        <v>Sneha Joshi</v>
      </c>
      <c r="Y167" t="str">
        <f>LEFT(F167,3)&amp;MID(B167,2,3)&amp;LEFT(I167,2)</f>
        <v>Sne006Hy</v>
      </c>
      <c r="Z167" t="str">
        <f>IF(ISNUMBER(SEARCH("@",T167)),LOWER(TRIM(T167)),"invalid email")</f>
        <v>sneha.joshi@company.com</v>
      </c>
      <c r="AA167" t="str">
        <f ca="1">IF(H166="","",IFERROR(DATEDIF(IF(ISNUMBER(H166),H166,DATE(VALUE(RIGHT(H166,4)),VALUE(MID(H166,3,2)),VALUE(LEFT(H166,2)))),TODAY(),"Y"),""))</f>
        <v/>
      </c>
      <c r="AB167">
        <f>IF(OR(D167="",E167=""),"",IFERROR(DATE(MID(E167,7,4),MID(E167,4,2),LEFT(E167,2))-DATE(MID(D167,7,4),MID(D167,4,2),LEFT(D167,2)),""))</f>
        <v>1</v>
      </c>
      <c r="AC167" t="str">
        <f>IF(E167="","Pending",IF(AB167&lt;=5,"On time","Delayed"))</f>
        <v>On time</v>
      </c>
      <c r="AD167" s="29" t="str">
        <f>IF(TRIM(S167)="","Not Assigned",S167)</f>
        <v>Karan</v>
      </c>
      <c r="AE167" t="str">
        <f>PROPER(TRIM(F167))</f>
        <v>Sneha Joshi</v>
      </c>
      <c r="AF167" t="str">
        <f>PROPER(TRIM(K167))</f>
        <v>Home Appliances</v>
      </c>
      <c r="AG167" t="str">
        <f>PROPER(TRIM(J167))</f>
        <v>South</v>
      </c>
      <c r="AH167" t="str">
        <f t="shared" si="4"/>
        <v>Home Appliances</v>
      </c>
      <c r="AI167" t="str">
        <f t="shared" si="5"/>
        <v>Home Appliances</v>
      </c>
      <c r="AK167">
        <f>IF(COUNTIF($A$2:A167,A167)=1,1,0)</f>
        <v>1</v>
      </c>
    </row>
    <row r="168" spans="1:37">
      <c r="A168" s="4" t="s">
        <v>632</v>
      </c>
      <c r="B168" s="5" t="s">
        <v>299</v>
      </c>
      <c r="C168" s="5" t="s">
        <v>236</v>
      </c>
      <c r="D168" s="6">
        <v>46026</v>
      </c>
      <c r="E168" s="6">
        <v>46207</v>
      </c>
      <c r="F168" s="5" t="s">
        <v>301</v>
      </c>
      <c r="G168" s="5" t="s">
        <v>269</v>
      </c>
      <c r="H168" s="6">
        <v>31841</v>
      </c>
      <c r="I168" s="5" t="s">
        <v>306</v>
      </c>
      <c r="J168" s="5" t="s">
        <v>287</v>
      </c>
      <c r="K168" s="5" t="s">
        <v>243</v>
      </c>
      <c r="L168" s="5" t="s">
        <v>244</v>
      </c>
      <c r="M168" s="5">
        <v>20</v>
      </c>
      <c r="N168" s="5">
        <v>55000</v>
      </c>
      <c r="O168" s="5">
        <v>10</v>
      </c>
      <c r="P168" s="5">
        <v>990000</v>
      </c>
      <c r="Q168" s="5">
        <v>5</v>
      </c>
      <c r="R168" s="5" t="s">
        <v>245</v>
      </c>
      <c r="S168" s="5" t="s">
        <v>312</v>
      </c>
      <c r="T168" s="5" t="s">
        <v>302</v>
      </c>
      <c r="U168" s="5">
        <v>9609598700</v>
      </c>
      <c r="V168" s="8" t="s">
        <v>257</v>
      </c>
      <c r="W168" t="str">
        <f>IF(OR(Q168&lt;=2,V168="Cancelled"),"Blacklisted",IF(AND(P168&gt;100000,Q168&gt;=4,O168&lt;=10%,V168="Completed"),"Platinum",IF(AND(P168&gt;=50000,Q168&gt;=3,V168="Completed"),"Gold",IF(AND(P168&lt;50000,V168="Completed"),"Silver",""))))</f>
        <v>Gold</v>
      </c>
      <c r="X168" t="str">
        <f>PROPER(TRIM(F168))</f>
        <v>Rohit Singh</v>
      </c>
      <c r="Y168" t="str">
        <f>LEFT(F168,3)&amp;MID(B168,2,3)&amp;LEFT(I168,2)</f>
        <v>Roh003Ah</v>
      </c>
      <c r="Z168" t="str">
        <f>IF(ISNUMBER(SEARCH("@",T168)),LOWER(TRIM(T168)),"invalid email")</f>
        <v>rohit.singh@company.com</v>
      </c>
      <c r="AA168" t="str">
        <f ca="1">IF(H167="","",IFERROR(DATEDIF(IF(ISNUMBER(H167),H167,DATE(VALUE(RIGHT(H167,4)),VALUE(MID(H167,3,2)),VALUE(LEFT(H167,2)))),TODAY(),"Y"),""))</f>
        <v/>
      </c>
      <c r="AB168" t="str">
        <f>IF(OR(D168="",E168=""),"",IFERROR(DATE(MID(E168,7,4),MID(E168,4,2),LEFT(E168,2))-DATE(MID(D168,7,4),MID(D168,4,2),LEFT(D168,2)),""))</f>
        <v/>
      </c>
      <c r="AC168" t="str">
        <f>IF(E168="","Pending",IF(AB168&lt;=5,"On time","Delayed"))</f>
        <v>Delayed</v>
      </c>
      <c r="AD168" s="29" t="str">
        <f>IF(TRIM(S168)="","Not Assigned",S168)</f>
        <v>Karan</v>
      </c>
      <c r="AE168" t="str">
        <f>PROPER(TRIM(F168))</f>
        <v>Rohit Singh</v>
      </c>
      <c r="AF168" t="str">
        <f>PROPER(TRIM(K168))</f>
        <v>Electronics</v>
      </c>
      <c r="AG168" t="str">
        <f>PROPER(TRIM(J168))</f>
        <v>West</v>
      </c>
      <c r="AH168" t="str">
        <f t="shared" si="4"/>
        <v>Electronics</v>
      </c>
      <c r="AI168" t="str">
        <f t="shared" si="5"/>
        <v>Electronics</v>
      </c>
      <c r="AK168">
        <f>IF(COUNTIF($A$2:A168,A168)=1,1,0)</f>
        <v>1</v>
      </c>
    </row>
    <row r="169" spans="1:37">
      <c r="A169" s="9" t="s">
        <v>633</v>
      </c>
      <c r="B169" s="10" t="s">
        <v>346</v>
      </c>
      <c r="C169" s="10" t="s">
        <v>267</v>
      </c>
      <c r="D169" s="10" t="s">
        <v>182</v>
      </c>
      <c r="E169" s="10" t="s">
        <v>191</v>
      </c>
      <c r="F169" s="10" t="s">
        <v>348</v>
      </c>
      <c r="G169" s="10" t="s">
        <v>269</v>
      </c>
      <c r="H169" s="11">
        <v>37299</v>
      </c>
      <c r="I169" s="10" t="s">
        <v>306</v>
      </c>
      <c r="J169" s="10" t="s">
        <v>287</v>
      </c>
      <c r="K169" s="10" t="s">
        <v>243</v>
      </c>
      <c r="L169" s="10" t="s">
        <v>271</v>
      </c>
      <c r="M169" s="10">
        <v>8</v>
      </c>
      <c r="N169" s="10">
        <v>1200</v>
      </c>
      <c r="O169" s="10">
        <v>15</v>
      </c>
      <c r="P169" s="10">
        <v>8160</v>
      </c>
      <c r="Q169" s="10">
        <v>2</v>
      </c>
      <c r="R169" s="10" t="s">
        <v>277</v>
      </c>
      <c r="S169" s="10" t="s">
        <v>292</v>
      </c>
      <c r="T169" s="10" t="s">
        <v>350</v>
      </c>
      <c r="U169" s="10">
        <v>9385894399</v>
      </c>
      <c r="V169" s="12" t="s">
        <v>265</v>
      </c>
      <c r="W169" t="str">
        <f>IF(OR(Q169&lt;=2,V169="Cancelled"),"Blacklisted",IF(AND(P169&gt;100000,Q169&gt;=4,O169&lt;=10%,V169="Completed"),"Platinum",IF(AND(P169&gt;=50000,Q169&gt;=3,V169="Completed"),"Gold",IF(AND(P169&lt;50000,V169="Completed"),"Silver",""))))</f>
        <v>Blacklisted</v>
      </c>
      <c r="X169" t="str">
        <f>PROPER(TRIM(F169))</f>
        <v>Vikas Mehta</v>
      </c>
      <c r="Y169" t="str">
        <f>LEFT(F169,3)&amp;MID(B169,2,3)&amp;LEFT(I169,2)</f>
        <v>Vik005Ah</v>
      </c>
      <c r="Z169" t="str">
        <f>IF(ISNUMBER(SEARCH("@",T169)),LOWER(TRIM(T169)),"invalid email")</f>
        <v>vikas.mehta@company.com</v>
      </c>
      <c r="AA169">
        <f ca="1">IF(H168="","",IFERROR(DATEDIF(IF(ISNUMBER(H168),H168,DATE(VALUE(RIGHT(H168,4)),VALUE(MID(H168,3,2)),VALUE(LEFT(H168,2)))),TODAY(),"Y"),""))</f>
        <v>39</v>
      </c>
      <c r="AB169">
        <f>IF(OR(D169="",E169=""),"",IFERROR(DATE(MID(E169,7,4),MID(E169,4,2),LEFT(E169,2))-DATE(MID(D169,7,4),MID(D169,4,2),LEFT(D169,2)),""))</f>
        <v>1</v>
      </c>
      <c r="AC169" t="str">
        <f>IF(E169="","Pending",IF(AB169&lt;=5,"On time","Delayed"))</f>
        <v>On time</v>
      </c>
      <c r="AD169" s="29" t="str">
        <f>IF(TRIM(S169)="","Not Assigned",S169)</f>
        <v>Neha</v>
      </c>
      <c r="AE169" t="str">
        <f>PROPER(TRIM(F169))</f>
        <v>Vikas Mehta</v>
      </c>
      <c r="AF169" t="str">
        <f>PROPER(TRIM(K169))</f>
        <v>Electronics</v>
      </c>
      <c r="AG169" t="str">
        <f>PROPER(TRIM(J169))</f>
        <v>West</v>
      </c>
      <c r="AH169" t="str">
        <f t="shared" si="4"/>
        <v>Electronics</v>
      </c>
      <c r="AI169" t="str">
        <f t="shared" si="5"/>
        <v>Electronics</v>
      </c>
      <c r="AK169">
        <f>IF(COUNTIF($A$2:A169,A169)=1,1,0)</f>
        <v>1</v>
      </c>
    </row>
    <row r="170" spans="1:37">
      <c r="A170" s="4" t="s">
        <v>634</v>
      </c>
      <c r="B170" s="5" t="s">
        <v>249</v>
      </c>
      <c r="C170" s="5" t="s">
        <v>280</v>
      </c>
      <c r="D170" s="6">
        <v>45810</v>
      </c>
      <c r="E170" s="5" t="s">
        <v>55</v>
      </c>
      <c r="F170" s="5" t="s">
        <v>251</v>
      </c>
      <c r="G170" s="5" t="s">
        <v>239</v>
      </c>
      <c r="H170" s="5" t="s">
        <v>635</v>
      </c>
      <c r="I170" s="5" t="s">
        <v>342</v>
      </c>
      <c r="J170" s="5" t="s">
        <v>261</v>
      </c>
      <c r="K170" s="5" t="s">
        <v>15</v>
      </c>
      <c r="L170" s="5" t="s">
        <v>282</v>
      </c>
      <c r="M170" s="5">
        <v>19</v>
      </c>
      <c r="N170" s="5">
        <v>3500</v>
      </c>
      <c r="O170" s="5">
        <v>5</v>
      </c>
      <c r="P170" s="5">
        <v>63175</v>
      </c>
      <c r="Q170" s="5">
        <v>4</v>
      </c>
      <c r="R170" s="5" t="s">
        <v>277</v>
      </c>
      <c r="S170" s="5" t="s">
        <v>263</v>
      </c>
      <c r="T170" s="5" t="s">
        <v>264</v>
      </c>
      <c r="U170" s="5">
        <v>9329448011</v>
      </c>
      <c r="V170" s="8" t="s">
        <v>248</v>
      </c>
      <c r="W170" t="str">
        <f>IF(OR(Q170&lt;=2,V170="Cancelled"),"Blacklisted",IF(AND(P170&gt;100000,Q170&gt;=4,O170&lt;=10%,V170="Completed"),"Platinum",IF(AND(P170&gt;=50000,Q170&gt;=3,V170="Completed"),"Gold",IF(AND(P170&lt;50000,V170="Completed"),"Silver",""))))</f>
        <v/>
      </c>
      <c r="X170" t="str">
        <f>PROPER(TRIM(F170))</f>
        <v>Kavya Nair</v>
      </c>
      <c r="Y170" t="str">
        <f>LEFT(F170,3)&amp;MID(B170,2,3)&amp;LEFT(I170,2)</f>
        <v>Kav008Ja</v>
      </c>
      <c r="Z170" t="str">
        <f>IF(ISNUMBER(SEARCH("@",T170)),LOWER(TRIM(T170)),"invalid email")</f>
        <v>kavya.nair@company.com</v>
      </c>
      <c r="AA170">
        <f ca="1">IF(H169="","",IFERROR(DATEDIF(IF(ISNUMBER(H169),H169,DATE(VALUE(RIGHT(H169,4)),VALUE(MID(H169,3,2)),VALUE(LEFT(H169,2)))),TODAY(),"Y"),""))</f>
        <v>24</v>
      </c>
      <c r="AB170" t="str">
        <f>IF(OR(D170="",E170=""),"",IFERROR(DATE(MID(E170,7,4),MID(E170,4,2),LEFT(E170,2))-DATE(MID(D170,7,4),MID(D170,4,2),LEFT(D170,2)),""))</f>
        <v/>
      </c>
      <c r="AC170" t="str">
        <f>IF(E170="","Pending",IF(AB170&lt;=5,"On time","Delayed"))</f>
        <v>Delayed</v>
      </c>
      <c r="AD170" s="29" t="str">
        <f>IF(TRIM(S170)="","Not Assigned",S170)</f>
        <v>Rahul</v>
      </c>
      <c r="AE170" t="str">
        <f>PROPER(TRIM(F170))</f>
        <v>Kavya Nair</v>
      </c>
      <c r="AF170" t="str">
        <f>PROPER(TRIM(K170))</f>
        <v>Home Appliances</v>
      </c>
      <c r="AG170" t="str">
        <f>PROPER(TRIM(J170))</f>
        <v>North</v>
      </c>
      <c r="AH170" t="str">
        <f t="shared" si="4"/>
        <v>Home Appliances</v>
      </c>
      <c r="AI170" t="str">
        <f t="shared" si="5"/>
        <v>Home Appliances</v>
      </c>
      <c r="AK170">
        <f>IF(COUNTIF($A$2:A170,A170)=1,1,0)</f>
        <v>1</v>
      </c>
    </row>
    <row r="171" spans="1:37">
      <c r="A171" s="9" t="s">
        <v>636</v>
      </c>
      <c r="B171" s="10" t="s">
        <v>346</v>
      </c>
      <c r="C171" s="10" t="s">
        <v>362</v>
      </c>
      <c r="D171" s="10" t="s">
        <v>165</v>
      </c>
      <c r="E171" s="10" t="s">
        <v>511</v>
      </c>
      <c r="F171" s="10" t="s">
        <v>348</v>
      </c>
      <c r="G171" s="10" t="s">
        <v>269</v>
      </c>
      <c r="H171" s="10" t="s">
        <v>637</v>
      </c>
      <c r="I171" s="10" t="s">
        <v>342</v>
      </c>
      <c r="J171" s="10" t="s">
        <v>261</v>
      </c>
      <c r="K171" s="10" t="s">
        <v>295</v>
      </c>
      <c r="L171" s="10" t="s">
        <v>363</v>
      </c>
      <c r="M171" s="10">
        <v>6</v>
      </c>
      <c r="N171" s="10">
        <v>45</v>
      </c>
      <c r="O171" s="10">
        <v>20</v>
      </c>
      <c r="P171" s="10">
        <v>216</v>
      </c>
      <c r="Q171" s="10">
        <v>1</v>
      </c>
      <c r="R171" s="10" t="s">
        <v>272</v>
      </c>
      <c r="S171" s="10" t="s">
        <v>263</v>
      </c>
      <c r="T171" s="10" t="s">
        <v>638</v>
      </c>
      <c r="U171" s="10">
        <v>9889544104</v>
      </c>
      <c r="V171" s="12" t="s">
        <v>248</v>
      </c>
      <c r="W171" t="str">
        <f>IF(OR(Q171&lt;=2,V171="Cancelled"),"Blacklisted",IF(AND(P171&gt;100000,Q171&gt;=4,O171&lt;=10%,V171="Completed"),"Platinum",IF(AND(P171&gt;=50000,Q171&gt;=3,V171="Completed"),"Gold",IF(AND(P171&lt;50000,V171="Completed"),"Silver",""))))</f>
        <v>Blacklisted</v>
      </c>
      <c r="X171" t="str">
        <f>PROPER(TRIM(F171))</f>
        <v>Vikas Mehta</v>
      </c>
      <c r="Y171" t="str">
        <f>LEFT(F171,3)&amp;MID(B171,2,3)&amp;LEFT(I171,2)</f>
        <v>Vik005Ja</v>
      </c>
      <c r="Z171" t="str">
        <f>IF(ISNUMBER(SEARCH("@",T171)),LOWER(TRIM(T171)),"invalid email")</f>
        <v>invalid email</v>
      </c>
      <c r="AA171" t="str">
        <f ca="1">IF(H170="","",IFERROR(DATEDIF(IF(ISNUMBER(H170),H170,DATE(VALUE(RIGHT(H170,4)),VALUE(MID(H170,3,2)),VALUE(LEFT(H170,2)))),TODAY(),"Y"),""))</f>
        <v/>
      </c>
      <c r="AB171">
        <f>IF(OR(D171="",E171=""),"",IFERROR(DATE(MID(E171,7,4),MID(E171,4,2),LEFT(E171,2))-DATE(MID(D171,7,4),MID(D171,4,2),LEFT(D171,2)),""))</f>
        <v>2</v>
      </c>
      <c r="AC171" t="str">
        <f>IF(E171="","Pending",IF(AB171&lt;=5,"On time","Delayed"))</f>
        <v>On time</v>
      </c>
      <c r="AD171" s="29" t="str">
        <f>IF(TRIM(S171)="","Not Assigned",S171)</f>
        <v>Rahul</v>
      </c>
      <c r="AE171" t="str">
        <f>PROPER(TRIM(F171))</f>
        <v>Vikas Mehta</v>
      </c>
      <c r="AF171" t="str">
        <f>PROPER(TRIM(K171))</f>
        <v>Stationery</v>
      </c>
      <c r="AG171" t="str">
        <f>PROPER(TRIM(J171))</f>
        <v>North</v>
      </c>
      <c r="AH171" t="str">
        <f t="shared" si="4"/>
        <v>Stationery</v>
      </c>
      <c r="AI171" t="str">
        <f t="shared" si="5"/>
        <v>Stationery</v>
      </c>
      <c r="AK171">
        <f>IF(COUNTIF($A$2:A171,A171)=1,1,0)</f>
        <v>1</v>
      </c>
    </row>
    <row r="172" spans="1:37">
      <c r="A172" s="4" t="s">
        <v>639</v>
      </c>
      <c r="B172" s="5" t="s">
        <v>358</v>
      </c>
      <c r="C172" s="5" t="s">
        <v>362</v>
      </c>
      <c r="D172" s="5" t="s">
        <v>25</v>
      </c>
      <c r="E172" s="5" t="s">
        <v>140</v>
      </c>
      <c r="F172" s="5" t="s">
        <v>359</v>
      </c>
      <c r="G172" s="5" t="s">
        <v>239</v>
      </c>
      <c r="H172" s="6">
        <v>32328</v>
      </c>
      <c r="I172" s="5" t="s">
        <v>291</v>
      </c>
      <c r="J172" s="5" t="s">
        <v>287</v>
      </c>
      <c r="K172" s="5" t="s">
        <v>295</v>
      </c>
      <c r="L172" s="5" t="s">
        <v>363</v>
      </c>
      <c r="M172" s="5">
        <v>17</v>
      </c>
      <c r="N172" s="5">
        <v>45</v>
      </c>
      <c r="O172" s="5">
        <v>15</v>
      </c>
      <c r="P172" s="5">
        <v>650.25</v>
      </c>
      <c r="Q172" s="5">
        <v>5</v>
      </c>
      <c r="R172" s="5" t="s">
        <v>254</v>
      </c>
      <c r="S172" s="5" t="s">
        <v>292</v>
      </c>
      <c r="T172" s="5" t="s">
        <v>360</v>
      </c>
      <c r="U172" s="5">
        <v>9101861045</v>
      </c>
      <c r="V172" s="8" t="s">
        <v>248</v>
      </c>
      <c r="W172" t="str">
        <f>IF(OR(Q172&lt;=2,V172="Cancelled"),"Blacklisted",IF(AND(P172&gt;100000,Q172&gt;=4,O172&lt;=10%,V172="Completed"),"Platinum",IF(AND(P172&gt;=50000,Q172&gt;=3,V172="Completed"),"Gold",IF(AND(P172&lt;50000,V172="Completed"),"Silver",""))))</f>
        <v/>
      </c>
      <c r="X172" t="str">
        <f>PROPER(TRIM(F172))</f>
        <v>Sneha Joshi</v>
      </c>
      <c r="Y172" t="str">
        <f>LEFT(F172,3)&amp;MID(B172,2,3)&amp;LEFT(I172,2)</f>
        <v>Sne006Pu</v>
      </c>
      <c r="Z172" t="str">
        <f>IF(ISNUMBER(SEARCH("@",T172)),LOWER(TRIM(T172)),"invalid email")</f>
        <v>sneha.joshi@company.com</v>
      </c>
      <c r="AA172" t="str">
        <f ca="1">IF(H171="","",IFERROR(DATEDIF(IF(ISNUMBER(H171),H171,DATE(VALUE(RIGHT(H171,4)),VALUE(MID(H171,3,2)),VALUE(LEFT(H171,2)))),TODAY(),"Y"),""))</f>
        <v/>
      </c>
      <c r="AB172">
        <f>IF(OR(D172="",E172=""),"",IFERROR(DATE(MID(E172,7,4),MID(E172,4,2),LEFT(E172,2))-DATE(MID(D172,7,4),MID(D172,4,2),LEFT(D172,2)),""))</f>
        <v>11</v>
      </c>
      <c r="AC172" t="str">
        <f>IF(E172="","Pending",IF(AB172&lt;=5,"On time","Delayed"))</f>
        <v>Delayed</v>
      </c>
      <c r="AD172" s="29" t="str">
        <f>IF(TRIM(S172)="","Not Assigned",S172)</f>
        <v>Neha</v>
      </c>
      <c r="AE172" t="str">
        <f>PROPER(TRIM(F172))</f>
        <v>Sneha Joshi</v>
      </c>
      <c r="AF172" t="str">
        <f>PROPER(TRIM(K172))</f>
        <v>Stationery</v>
      </c>
      <c r="AG172" t="str">
        <f>PROPER(TRIM(J172))</f>
        <v>West</v>
      </c>
      <c r="AH172" t="str">
        <f t="shared" si="4"/>
        <v>Stationery</v>
      </c>
      <c r="AI172" t="str">
        <f t="shared" si="5"/>
        <v>Stationery</v>
      </c>
      <c r="AK172">
        <f>IF(COUNTIF($A$2:A172,A172)=1,1,0)</f>
        <v>1</v>
      </c>
    </row>
    <row r="173" spans="1:37">
      <c r="A173" s="9" t="s">
        <v>640</v>
      </c>
      <c r="B173" s="10" t="s">
        <v>249</v>
      </c>
      <c r="C173" s="10" t="s">
        <v>347</v>
      </c>
      <c r="D173" s="11">
        <v>45754</v>
      </c>
      <c r="E173" s="10" t="s">
        <v>641</v>
      </c>
      <c r="F173" s="10" t="s">
        <v>251</v>
      </c>
      <c r="G173" s="10" t="s">
        <v>239</v>
      </c>
      <c r="H173" s="10" t="s">
        <v>642</v>
      </c>
      <c r="I173" s="10" t="s">
        <v>291</v>
      </c>
      <c r="J173" s="10" t="s">
        <v>287</v>
      </c>
      <c r="K173" s="10" t="s">
        <v>295</v>
      </c>
      <c r="L173" s="10" t="s">
        <v>349</v>
      </c>
      <c r="M173" s="10">
        <v>19</v>
      </c>
      <c r="N173" s="10">
        <v>20</v>
      </c>
      <c r="O173" s="10">
        <v>5</v>
      </c>
      <c r="P173" s="10">
        <v>361</v>
      </c>
      <c r="Q173" s="10">
        <v>4</v>
      </c>
      <c r="R173" s="10" t="s">
        <v>254</v>
      </c>
      <c r="S173" s="10" t="s">
        <v>255</v>
      </c>
      <c r="T173" s="10" t="s">
        <v>264</v>
      </c>
      <c r="U173" s="10">
        <v>9364712105</v>
      </c>
      <c r="V173" s="12" t="s">
        <v>248</v>
      </c>
      <c r="W173" t="str">
        <f>IF(OR(Q173&lt;=2,V173="Cancelled"),"Blacklisted",IF(AND(P173&gt;100000,Q173&gt;=4,O173&lt;=10%,V173="Completed"),"Platinum",IF(AND(P173&gt;=50000,Q173&gt;=3,V173="Completed"),"Gold",IF(AND(P173&lt;50000,V173="Completed"),"Silver",""))))</f>
        <v/>
      </c>
      <c r="X173" t="str">
        <f>PROPER(TRIM(F173))</f>
        <v>Kavya Nair</v>
      </c>
      <c r="Y173" t="str">
        <f>LEFT(F173,3)&amp;MID(B173,2,3)&amp;LEFT(I173,2)</f>
        <v>Kav008Pu</v>
      </c>
      <c r="Z173" t="str">
        <f>IF(ISNUMBER(SEARCH("@",T173)),LOWER(TRIM(T173)),"invalid email")</f>
        <v>kavya.nair@company.com</v>
      </c>
      <c r="AA173">
        <f ca="1">IF(H172="","",IFERROR(DATEDIF(IF(ISNUMBER(H172),H172,DATE(VALUE(RIGHT(H172,4)),VALUE(MID(H172,3,2)),VALUE(LEFT(H172,2)))),TODAY(),"Y"),""))</f>
        <v>38</v>
      </c>
      <c r="AB173" t="str">
        <f>IF(OR(D173="",E173=""),"",IFERROR(DATE(MID(E173,7,4),MID(E173,4,2),LEFT(E173,2))-DATE(MID(D173,7,4),MID(D173,4,2),LEFT(D173,2)),""))</f>
        <v/>
      </c>
      <c r="AC173" t="str">
        <f>IF(E173="","Pending",IF(AB173&lt;=5,"On time","Delayed"))</f>
        <v>Delayed</v>
      </c>
      <c r="AD173" s="29" t="str">
        <f>IF(TRIM(S173)="","Not Assigned",S173)</f>
        <v>Ritika</v>
      </c>
      <c r="AE173" t="str">
        <f>PROPER(TRIM(F173))</f>
        <v>Kavya Nair</v>
      </c>
      <c r="AF173" t="str">
        <f>PROPER(TRIM(K173))</f>
        <v>Stationery</v>
      </c>
      <c r="AG173" t="str">
        <f>PROPER(TRIM(J173))</f>
        <v>West</v>
      </c>
      <c r="AH173" t="str">
        <f t="shared" si="4"/>
        <v>Stationery</v>
      </c>
      <c r="AI173" t="str">
        <f t="shared" si="5"/>
        <v>Stationery</v>
      </c>
      <c r="AK173">
        <f>IF(COUNTIF($A$2:A173,A173)=1,1,0)</f>
        <v>1</v>
      </c>
    </row>
    <row r="174" spans="1:37">
      <c r="A174" s="4" t="s">
        <v>643</v>
      </c>
      <c r="B174" s="5" t="s">
        <v>358</v>
      </c>
      <c r="C174" s="5" t="s">
        <v>347</v>
      </c>
      <c r="D174" s="6">
        <v>45700</v>
      </c>
      <c r="E174" s="6">
        <v>45728</v>
      </c>
      <c r="F174" s="5" t="s">
        <v>359</v>
      </c>
      <c r="G174" s="5" t="s">
        <v>239</v>
      </c>
      <c r="H174" s="5" t="s">
        <v>644</v>
      </c>
      <c r="I174" s="5" t="s">
        <v>306</v>
      </c>
      <c r="J174" s="5" t="s">
        <v>287</v>
      </c>
      <c r="K174" s="5" t="s">
        <v>295</v>
      </c>
      <c r="L174" s="5" t="s">
        <v>349</v>
      </c>
      <c r="M174" s="5">
        <v>11</v>
      </c>
      <c r="N174" s="5">
        <v>20</v>
      </c>
      <c r="O174" s="5">
        <v>0</v>
      </c>
      <c r="P174" s="5">
        <v>220</v>
      </c>
      <c r="Q174" s="5">
        <v>3</v>
      </c>
      <c r="R174" s="5" t="s">
        <v>245</v>
      </c>
      <c r="S174" s="5" t="s">
        <v>263</v>
      </c>
      <c r="T174" s="5" t="s">
        <v>360</v>
      </c>
      <c r="U174" s="5">
        <v>9950206376</v>
      </c>
      <c r="V174" s="8" t="s">
        <v>257</v>
      </c>
      <c r="W174" t="str">
        <f>IF(OR(Q174&lt;=2,V174="Cancelled"),"Blacklisted",IF(AND(P174&gt;100000,Q174&gt;=4,O174&lt;=10%,V174="Completed"),"Platinum",IF(AND(P174&gt;=50000,Q174&gt;=3,V174="Completed"),"Gold",IF(AND(P174&lt;50000,V174="Completed"),"Silver",""))))</f>
        <v>Silver</v>
      </c>
      <c r="X174" t="str">
        <f>PROPER(TRIM(F174))</f>
        <v>Sneha Joshi</v>
      </c>
      <c r="Y174" t="str">
        <f>LEFT(F174,3)&amp;MID(B174,2,3)&amp;LEFT(I174,2)</f>
        <v>Sne006Ah</v>
      </c>
      <c r="Z174" t="str">
        <f>IF(ISNUMBER(SEARCH("@",T174)),LOWER(TRIM(T174)),"invalid email")</f>
        <v>sneha.joshi@company.com</v>
      </c>
      <c r="AA174" t="str">
        <f ca="1">IF(H173="","",IFERROR(DATEDIF(IF(ISNUMBER(H173),H173,DATE(VALUE(RIGHT(H173,4)),VALUE(MID(H173,3,2)),VALUE(LEFT(H173,2)))),TODAY(),"Y"),""))</f>
        <v/>
      </c>
      <c r="AB174" t="str">
        <f>IF(OR(D174="",E174=""),"",IFERROR(DATE(MID(E174,7,4),MID(E174,4,2),LEFT(E174,2))-DATE(MID(D174,7,4),MID(D174,4,2),LEFT(D174,2)),""))</f>
        <v/>
      </c>
      <c r="AC174" t="str">
        <f>IF(E174="","Pending",IF(AB174&lt;=5,"On time","Delayed"))</f>
        <v>Delayed</v>
      </c>
      <c r="AD174" s="29" t="str">
        <f>IF(TRIM(S174)="","Not Assigned",S174)</f>
        <v>Rahul</v>
      </c>
      <c r="AE174" t="str">
        <f>PROPER(TRIM(F174))</f>
        <v>Sneha Joshi</v>
      </c>
      <c r="AF174" t="str">
        <f>PROPER(TRIM(K174))</f>
        <v>Stationery</v>
      </c>
      <c r="AG174" t="str">
        <f>PROPER(TRIM(J174))</f>
        <v>West</v>
      </c>
      <c r="AH174" t="str">
        <f t="shared" si="4"/>
        <v>Stationery</v>
      </c>
      <c r="AI174" t="str">
        <f t="shared" si="5"/>
        <v>Stationery</v>
      </c>
      <c r="AK174">
        <f>IF(COUNTIF($A$2:A174,A174)=1,1,0)</f>
        <v>1</v>
      </c>
    </row>
    <row r="175" spans="1:37">
      <c r="A175" s="9" t="s">
        <v>645</v>
      </c>
      <c r="B175" s="10" t="s">
        <v>321</v>
      </c>
      <c r="C175" s="10" t="s">
        <v>294</v>
      </c>
      <c r="D175" s="10" t="s">
        <v>24</v>
      </c>
      <c r="E175" s="10" t="s">
        <v>99</v>
      </c>
      <c r="F175" s="10" t="s">
        <v>408</v>
      </c>
      <c r="G175" s="10" t="s">
        <v>239</v>
      </c>
      <c r="H175" s="11">
        <v>34221</v>
      </c>
      <c r="I175" s="10" t="s">
        <v>260</v>
      </c>
      <c r="J175" s="10" t="s">
        <v>261</v>
      </c>
      <c r="K175" s="10" t="s">
        <v>295</v>
      </c>
      <c r="L175" s="10" t="s">
        <v>296</v>
      </c>
      <c r="M175" s="10">
        <v>12</v>
      </c>
      <c r="N175" s="10">
        <v>60</v>
      </c>
      <c r="O175" s="10">
        <v>0</v>
      </c>
      <c r="P175" s="10">
        <v>720</v>
      </c>
      <c r="Q175" s="10">
        <v>2</v>
      </c>
      <c r="R175" s="10" t="s">
        <v>245</v>
      </c>
      <c r="S175" s="10" t="s">
        <v>263</v>
      </c>
      <c r="T175" s="10" t="s">
        <v>326</v>
      </c>
      <c r="U175" s="10">
        <v>9235822094</v>
      </c>
      <c r="V175" s="12" t="s">
        <v>257</v>
      </c>
      <c r="W175" t="str">
        <f>IF(OR(Q175&lt;=2,V175="Cancelled"),"Blacklisted",IF(AND(P175&gt;100000,Q175&gt;=4,O175&lt;=10%,V175="Completed"),"Platinum",IF(AND(P175&gt;=50000,Q175&gt;=3,V175="Completed"),"Gold",IF(AND(P175&lt;50000,V175="Completed"),"Silver",""))))</f>
        <v>Blacklisted</v>
      </c>
      <c r="X175" t="str">
        <f>PROPER(TRIM(F175))</f>
        <v>Anita Gupta</v>
      </c>
      <c r="Y175" t="str">
        <f>LEFT(F175,3)&amp;MID(B175,2,3)&amp;LEFT(I175,2)</f>
        <v>Ani004De</v>
      </c>
      <c r="Z175" t="str">
        <f>IF(ISNUMBER(SEARCH("@",T175)),LOWER(TRIM(T175)),"invalid email")</f>
        <v>anita.gupta@company.com</v>
      </c>
      <c r="AA175" t="str">
        <f ca="1">IF(H174="","",IFERROR(DATEDIF(IF(ISNUMBER(H174),H174,DATE(VALUE(RIGHT(H174,4)),VALUE(MID(H174,3,2)),VALUE(LEFT(H174,2)))),TODAY(),"Y"),""))</f>
        <v/>
      </c>
      <c r="AB175">
        <f>IF(OR(D175="",E175=""),"",IFERROR(DATE(MID(E175,7,4),MID(E175,4,2),LEFT(E175,2))-DATE(MID(D175,7,4),MID(D175,4,2),LEFT(D175,2)),""))</f>
        <v>7</v>
      </c>
      <c r="AC175" t="str">
        <f>IF(E175="","Pending",IF(AB175&lt;=5,"On time","Delayed"))</f>
        <v>Delayed</v>
      </c>
      <c r="AD175" s="29" t="str">
        <f>IF(TRIM(S175)="","Not Assigned",S175)</f>
        <v>Rahul</v>
      </c>
      <c r="AE175" t="str">
        <f>PROPER(TRIM(F175))</f>
        <v>Anita Gupta</v>
      </c>
      <c r="AF175" t="str">
        <f>PROPER(TRIM(K175))</f>
        <v>Stationery</v>
      </c>
      <c r="AG175" t="str">
        <f>PROPER(TRIM(J175))</f>
        <v>North</v>
      </c>
      <c r="AH175" t="str">
        <f t="shared" si="4"/>
        <v>Stationery</v>
      </c>
      <c r="AI175" t="str">
        <f t="shared" si="5"/>
        <v>Stationery</v>
      </c>
      <c r="AK175">
        <f>IF(COUNTIF($A$2:A175,A175)=1,1,0)</f>
        <v>1</v>
      </c>
    </row>
    <row r="176" spans="1:37">
      <c r="A176" s="4" t="s">
        <v>646</v>
      </c>
      <c r="B176" s="5" t="s">
        <v>346</v>
      </c>
      <c r="C176" s="5" t="s">
        <v>362</v>
      </c>
      <c r="D176" s="6">
        <v>45911</v>
      </c>
      <c r="E176" s="5" t="s">
        <v>619</v>
      </c>
      <c r="F176" s="5" t="s">
        <v>285</v>
      </c>
      <c r="G176" s="5" t="s">
        <v>269</v>
      </c>
      <c r="H176" s="5" t="s">
        <v>647</v>
      </c>
      <c r="I176" s="5" t="s">
        <v>379</v>
      </c>
      <c r="J176" s="5" t="s">
        <v>21</v>
      </c>
      <c r="K176" s="5" t="s">
        <v>295</v>
      </c>
      <c r="L176" s="5" t="s">
        <v>363</v>
      </c>
      <c r="M176" s="5">
        <v>14</v>
      </c>
      <c r="N176" s="5">
        <v>45</v>
      </c>
      <c r="O176" s="5">
        <v>15</v>
      </c>
      <c r="P176" s="5">
        <v>535.5</v>
      </c>
      <c r="Q176" s="5">
        <v>5</v>
      </c>
      <c r="R176" s="5" t="s">
        <v>277</v>
      </c>
      <c r="S176" s="5" t="s">
        <v>292</v>
      </c>
      <c r="T176" s="5" t="s">
        <v>350</v>
      </c>
      <c r="U176" s="5">
        <v>9311021344</v>
      </c>
      <c r="V176" s="8" t="s">
        <v>248</v>
      </c>
      <c r="W176" t="str">
        <f>IF(OR(Q176&lt;=2,V176="Cancelled"),"Blacklisted",IF(AND(P176&gt;100000,Q176&gt;=4,O176&lt;=10%,V176="Completed"),"Platinum",IF(AND(P176&gt;=50000,Q176&gt;=3,V176="Completed"),"Gold",IF(AND(P176&lt;50000,V176="Completed"),"Silver",""))))</f>
        <v/>
      </c>
      <c r="X176" t="str">
        <f>PROPER(TRIM(F176))</f>
        <v>Priya Patel</v>
      </c>
      <c r="Y176" t="str">
        <f>LEFT(F176,3)&amp;MID(B176,2,3)&amp;LEFT(I176,2)</f>
        <v>Pri005Ko</v>
      </c>
      <c r="Z176" t="str">
        <f>IF(ISNUMBER(SEARCH("@",T176)),LOWER(TRIM(T176)),"invalid email")</f>
        <v>vikas.mehta@company.com</v>
      </c>
      <c r="AA176">
        <f ca="1">IF(H175="","",IFERROR(DATEDIF(IF(ISNUMBER(H175),H175,DATE(VALUE(RIGHT(H175,4)),VALUE(MID(H175,3,2)),VALUE(LEFT(H175,2)))),TODAY(),"Y"),""))</f>
        <v>33</v>
      </c>
      <c r="AB176" t="str">
        <f>IF(OR(D176="",E176=""),"",IFERROR(DATE(MID(E176,7,4),MID(E176,4,2),LEFT(E176,2))-DATE(MID(D176,7,4),MID(D176,4,2),LEFT(D176,2)),""))</f>
        <v/>
      </c>
      <c r="AC176" t="str">
        <f>IF(E176="","Pending",IF(AB176&lt;=5,"On time","Delayed"))</f>
        <v>Delayed</v>
      </c>
      <c r="AD176" s="29" t="str">
        <f>IF(TRIM(S176)="","Not Assigned",S176)</f>
        <v>Neha</v>
      </c>
      <c r="AE176" t="str">
        <f>PROPER(TRIM(F176))</f>
        <v>Priya Patel</v>
      </c>
      <c r="AF176" t="str">
        <f>PROPER(TRIM(K176))</f>
        <v>Stationery</v>
      </c>
      <c r="AG176" t="str">
        <f>PROPER(TRIM(J176))</f>
        <v>East</v>
      </c>
      <c r="AH176" t="str">
        <f t="shared" si="4"/>
        <v>Stationery</v>
      </c>
      <c r="AI176" t="str">
        <f t="shared" si="5"/>
        <v>Stationery</v>
      </c>
      <c r="AK176">
        <f>IF(COUNTIF($A$2:A176,A176)=1,1,0)</f>
        <v>1</v>
      </c>
    </row>
    <row r="177" spans="1:37">
      <c r="A177" s="9" t="s">
        <v>648</v>
      </c>
      <c r="B177" s="10" t="s">
        <v>249</v>
      </c>
      <c r="C177" s="10" t="s">
        <v>330</v>
      </c>
      <c r="D177" s="11">
        <v>45840</v>
      </c>
      <c r="E177" s="10" t="s">
        <v>75</v>
      </c>
      <c r="F177" s="10" t="s">
        <v>251</v>
      </c>
      <c r="G177" s="10" t="s">
        <v>239</v>
      </c>
      <c r="H177" s="10" t="s">
        <v>649</v>
      </c>
      <c r="I177" s="10" t="s">
        <v>252</v>
      </c>
      <c r="J177" s="10" t="s">
        <v>242</v>
      </c>
      <c r="K177" s="10" t="s">
        <v>243</v>
      </c>
      <c r="L177" s="10" t="s">
        <v>333</v>
      </c>
      <c r="M177" s="10">
        <v>15</v>
      </c>
      <c r="N177" s="10">
        <v>700</v>
      </c>
      <c r="O177" s="10">
        <v>10</v>
      </c>
      <c r="P177" s="10">
        <v>9450</v>
      </c>
      <c r="Q177" s="10">
        <v>3</v>
      </c>
      <c r="R177" s="10" t="s">
        <v>245</v>
      </c>
      <c r="S177" s="10" t="s">
        <v>263</v>
      </c>
      <c r="T177" s="10" t="s">
        <v>264</v>
      </c>
      <c r="U177" s="10">
        <v>9891358505</v>
      </c>
      <c r="V177" s="12" t="s">
        <v>248</v>
      </c>
      <c r="W177" t="str">
        <f>IF(OR(Q177&lt;=2,V177="Cancelled"),"Blacklisted",IF(AND(P177&gt;100000,Q177&gt;=4,O177&lt;=10%,V177="Completed"),"Platinum",IF(AND(P177&gt;=50000,Q177&gt;=3,V177="Completed"),"Gold",IF(AND(P177&lt;50000,V177="Completed"),"Silver",""))))</f>
        <v/>
      </c>
      <c r="X177" t="str">
        <f>PROPER(TRIM(F177))</f>
        <v>Kavya Nair</v>
      </c>
      <c r="Y177" t="str">
        <f>LEFT(F177,3)&amp;MID(B177,2,3)&amp;LEFT(I177,2)</f>
        <v>Kav008Hy</v>
      </c>
      <c r="Z177" t="str">
        <f>IF(ISNUMBER(SEARCH("@",T177)),LOWER(TRIM(T177)),"invalid email")</f>
        <v>kavya.nair@company.com</v>
      </c>
      <c r="AA177" t="str">
        <f ca="1">IF(H176="","",IFERROR(DATEDIF(IF(ISNUMBER(H176),H176,DATE(VALUE(RIGHT(H176,4)),VALUE(MID(H176,3,2)),VALUE(LEFT(H176,2)))),TODAY(),"Y"),""))</f>
        <v/>
      </c>
      <c r="AB177" t="str">
        <f>IF(OR(D177="",E177=""),"",IFERROR(DATE(MID(E177,7,4),MID(E177,4,2),LEFT(E177,2))-DATE(MID(D177,7,4),MID(D177,4,2),LEFT(D177,2)),""))</f>
        <v/>
      </c>
      <c r="AC177" t="str">
        <f>IF(E177="","Pending",IF(AB177&lt;=5,"On time","Delayed"))</f>
        <v>Delayed</v>
      </c>
      <c r="AD177" s="29" t="str">
        <f>IF(TRIM(S177)="","Not Assigned",S177)</f>
        <v>Rahul</v>
      </c>
      <c r="AE177" t="str">
        <f>PROPER(TRIM(F177))</f>
        <v>Kavya Nair</v>
      </c>
      <c r="AF177" t="str">
        <f>PROPER(TRIM(K177))</f>
        <v>Electronics</v>
      </c>
      <c r="AG177" t="str">
        <f>PROPER(TRIM(J177))</f>
        <v>South</v>
      </c>
      <c r="AH177" t="str">
        <f t="shared" si="4"/>
        <v>Electronics</v>
      </c>
      <c r="AI177" t="str">
        <f t="shared" si="5"/>
        <v>Electronics</v>
      </c>
      <c r="AK177">
        <f>IF(COUNTIF($A$2:A177,A177)=1,1,0)</f>
        <v>1</v>
      </c>
    </row>
    <row r="178" spans="1:37">
      <c r="A178" s="4" t="s">
        <v>650</v>
      </c>
      <c r="B178" s="5" t="s">
        <v>284</v>
      </c>
      <c r="C178" s="5" t="s">
        <v>322</v>
      </c>
      <c r="D178" s="5" t="s">
        <v>155</v>
      </c>
      <c r="E178" s="5" t="s">
        <v>197</v>
      </c>
      <c r="F178" s="5" t="s">
        <v>285</v>
      </c>
      <c r="G178" s="5" t="s">
        <v>239</v>
      </c>
      <c r="H178" s="6">
        <v>29564</v>
      </c>
      <c r="I178" s="5" t="s">
        <v>306</v>
      </c>
      <c r="J178" s="5" t="s">
        <v>287</v>
      </c>
      <c r="K178" s="5" t="s">
        <v>15</v>
      </c>
      <c r="L178" s="5" t="s">
        <v>325</v>
      </c>
      <c r="M178" s="5">
        <v>19</v>
      </c>
      <c r="N178" s="5">
        <v>8500</v>
      </c>
      <c r="O178" s="5">
        <v>15</v>
      </c>
      <c r="P178" s="5">
        <v>137275</v>
      </c>
      <c r="Q178" s="5">
        <v>2</v>
      </c>
      <c r="R178" s="5" t="s">
        <v>254</v>
      </c>
      <c r="S178" s="5" t="s">
        <v>255</v>
      </c>
      <c r="T178" s="5" t="s">
        <v>308</v>
      </c>
      <c r="U178" s="5">
        <v>9910085332</v>
      </c>
      <c r="V178" s="8" t="s">
        <v>265</v>
      </c>
      <c r="W178" t="str">
        <f>IF(OR(Q178&lt;=2,V178="Cancelled"),"Blacklisted",IF(AND(P178&gt;100000,Q178&gt;=4,O178&lt;=10%,V178="Completed"),"Platinum",IF(AND(P178&gt;=50000,Q178&gt;=3,V178="Completed"),"Gold",IF(AND(P178&lt;50000,V178="Completed"),"Silver",""))))</f>
        <v>Blacklisted</v>
      </c>
      <c r="X178" t="str">
        <f>PROPER(TRIM(F178))</f>
        <v>Priya Patel</v>
      </c>
      <c r="Y178" t="str">
        <f>LEFT(F178,3)&amp;MID(B178,2,3)&amp;LEFT(I178,2)</f>
        <v>Pri002Ah</v>
      </c>
      <c r="Z178" t="str">
        <f>IF(ISNUMBER(SEARCH("@",T178)),LOWER(TRIM(T178)),"invalid email")</f>
        <v>priya.patel@company.com</v>
      </c>
      <c r="AA178" t="str">
        <f ca="1">IF(H177="","",IFERROR(DATEDIF(IF(ISNUMBER(H177),H177,DATE(VALUE(RIGHT(H177,4)),VALUE(MID(H177,3,2)),VALUE(LEFT(H177,2)))),TODAY(),"Y"),""))</f>
        <v/>
      </c>
      <c r="AB178">
        <f>IF(OR(D178="",E178=""),"",IFERROR(DATE(MID(E178,7,4),MID(E178,4,2),LEFT(E178,2))-DATE(MID(D178,7,4),MID(D178,4,2),LEFT(D178,2)),""))</f>
        <v>4</v>
      </c>
      <c r="AC178" t="str">
        <f>IF(E178="","Pending",IF(AB178&lt;=5,"On time","Delayed"))</f>
        <v>On time</v>
      </c>
      <c r="AD178" s="29" t="str">
        <f>IF(TRIM(S178)="","Not Assigned",S178)</f>
        <v>Ritika</v>
      </c>
      <c r="AE178" t="str">
        <f>PROPER(TRIM(F178))</f>
        <v>Priya Patel</v>
      </c>
      <c r="AF178" t="str">
        <f>PROPER(TRIM(K178))</f>
        <v>Home Appliances</v>
      </c>
      <c r="AG178" t="str">
        <f>PROPER(TRIM(J178))</f>
        <v>West</v>
      </c>
      <c r="AH178" t="str">
        <f t="shared" si="4"/>
        <v>Home Appliances</v>
      </c>
      <c r="AI178" t="str">
        <f t="shared" si="5"/>
        <v>Home Appliances</v>
      </c>
      <c r="AK178">
        <f>IF(COUNTIF($A$2:A178,A178)=1,1,0)</f>
        <v>1</v>
      </c>
    </row>
    <row r="179" spans="1:37">
      <c r="A179" s="9" t="s">
        <v>651</v>
      </c>
      <c r="B179" s="10" t="s">
        <v>358</v>
      </c>
      <c r="C179" s="10" t="s">
        <v>294</v>
      </c>
      <c r="D179" s="11">
        <v>45757</v>
      </c>
      <c r="E179" s="11">
        <v>45818</v>
      </c>
      <c r="F179" s="10" t="s">
        <v>359</v>
      </c>
      <c r="G179" s="10" t="s">
        <v>239</v>
      </c>
      <c r="H179" s="11">
        <v>32328</v>
      </c>
      <c r="I179" s="10" t="s">
        <v>342</v>
      </c>
      <c r="J179" s="10" t="s">
        <v>261</v>
      </c>
      <c r="K179" s="10" t="s">
        <v>295</v>
      </c>
      <c r="L179" s="10" t="s">
        <v>296</v>
      </c>
      <c r="M179" s="10">
        <v>19</v>
      </c>
      <c r="N179" s="10">
        <v>60</v>
      </c>
      <c r="O179" s="10">
        <v>20</v>
      </c>
      <c r="P179" s="10">
        <v>912</v>
      </c>
      <c r="Q179" s="10">
        <v>4</v>
      </c>
      <c r="R179" s="10" t="s">
        <v>272</v>
      </c>
      <c r="S179" s="10" t="s">
        <v>263</v>
      </c>
      <c r="T179" s="10" t="s">
        <v>360</v>
      </c>
      <c r="U179" s="10">
        <v>9756908023</v>
      </c>
      <c r="V179" s="12" t="s">
        <v>248</v>
      </c>
      <c r="W179" t="str">
        <f>IF(OR(Q179&lt;=2,V179="Cancelled"),"Blacklisted",IF(AND(P179&gt;100000,Q179&gt;=4,O179&lt;=10%,V179="Completed"),"Platinum",IF(AND(P179&gt;=50000,Q179&gt;=3,V179="Completed"),"Gold",IF(AND(P179&lt;50000,V179="Completed"),"Silver",""))))</f>
        <v/>
      </c>
      <c r="X179" t="str">
        <f>PROPER(TRIM(F179))</f>
        <v>Sneha Joshi</v>
      </c>
      <c r="Y179" t="str">
        <f>LEFT(F179,3)&amp;MID(B179,2,3)&amp;LEFT(I179,2)</f>
        <v>Sne006Ja</v>
      </c>
      <c r="Z179" t="str">
        <f>IF(ISNUMBER(SEARCH("@",T179)),LOWER(TRIM(T179)),"invalid email")</f>
        <v>sneha.joshi@company.com</v>
      </c>
      <c r="AA179">
        <f ca="1">IF(H178="","",IFERROR(DATEDIF(IF(ISNUMBER(H178),H178,DATE(VALUE(RIGHT(H178,4)),VALUE(MID(H178,3,2)),VALUE(LEFT(H178,2)))),TODAY(),"Y"),""))</f>
        <v>45</v>
      </c>
      <c r="AB179" t="str">
        <f>IF(OR(D179="",E179=""),"",IFERROR(DATE(MID(E179,7,4),MID(E179,4,2),LEFT(E179,2))-DATE(MID(D179,7,4),MID(D179,4,2),LEFT(D179,2)),""))</f>
        <v/>
      </c>
      <c r="AC179" t="str">
        <f>IF(E179="","Pending",IF(AB179&lt;=5,"On time","Delayed"))</f>
        <v>Delayed</v>
      </c>
      <c r="AD179" s="29" t="str">
        <f>IF(TRIM(S179)="","Not Assigned",S179)</f>
        <v>Rahul</v>
      </c>
      <c r="AE179" t="str">
        <f>PROPER(TRIM(F179))</f>
        <v>Sneha Joshi</v>
      </c>
      <c r="AF179" t="str">
        <f>PROPER(TRIM(K179))</f>
        <v>Stationery</v>
      </c>
      <c r="AG179" t="str">
        <f>PROPER(TRIM(J179))</f>
        <v>North</v>
      </c>
      <c r="AH179" t="str">
        <f t="shared" si="4"/>
        <v>Stationery</v>
      </c>
      <c r="AI179" t="str">
        <f t="shared" si="5"/>
        <v>Stationery</v>
      </c>
      <c r="AK179">
        <f>IF(COUNTIF($A$2:A179,A179)=1,1,0)</f>
        <v>1</v>
      </c>
    </row>
    <row r="180" spans="1:37">
      <c r="A180" s="4" t="s">
        <v>652</v>
      </c>
      <c r="B180" s="5" t="s">
        <v>284</v>
      </c>
      <c r="C180" s="5" t="s">
        <v>362</v>
      </c>
      <c r="D180" s="5" t="s">
        <v>34</v>
      </c>
      <c r="E180" s="5" t="s">
        <v>155</v>
      </c>
      <c r="F180" s="5" t="s">
        <v>285</v>
      </c>
      <c r="G180" s="5" t="s">
        <v>239</v>
      </c>
      <c r="H180" s="5" t="s">
        <v>653</v>
      </c>
      <c r="I180" s="5" t="s">
        <v>241</v>
      </c>
      <c r="J180" s="5" t="s">
        <v>242</v>
      </c>
      <c r="K180" s="5" t="s">
        <v>295</v>
      </c>
      <c r="L180" s="5" t="s">
        <v>363</v>
      </c>
      <c r="M180" s="5">
        <v>10</v>
      </c>
      <c r="N180" s="5">
        <v>45</v>
      </c>
      <c r="O180" s="5">
        <v>15</v>
      </c>
      <c r="P180" s="5">
        <v>382.5</v>
      </c>
      <c r="Q180" s="5">
        <v>4</v>
      </c>
      <c r="R180" s="5" t="s">
        <v>254</v>
      </c>
      <c r="S180" s="5" t="s">
        <v>312</v>
      </c>
      <c r="T180" s="5" t="s">
        <v>308</v>
      </c>
      <c r="U180" s="5">
        <v>9645913247</v>
      </c>
      <c r="V180" s="8" t="s">
        <v>257</v>
      </c>
      <c r="W180" t="str">
        <f>IF(OR(Q180&lt;=2,V180="Cancelled"),"Blacklisted",IF(AND(P180&gt;100000,Q180&gt;=4,O180&lt;=10%,V180="Completed"),"Platinum",IF(AND(P180&gt;=50000,Q180&gt;=3,V180="Completed"),"Gold",IF(AND(P180&lt;50000,V180="Completed"),"Silver",""))))</f>
        <v>Silver</v>
      </c>
      <c r="X180" t="str">
        <f>PROPER(TRIM(F180))</f>
        <v>Priya Patel</v>
      </c>
      <c r="Y180" t="str">
        <f>LEFT(F180,3)&amp;MID(B180,2,3)&amp;LEFT(I180,2)</f>
        <v>Pri002Be</v>
      </c>
      <c r="Z180" t="str">
        <f>IF(ISNUMBER(SEARCH("@",T180)),LOWER(TRIM(T180)),"invalid email")</f>
        <v>priya.patel@company.com</v>
      </c>
      <c r="AA180">
        <f ca="1">IF(H179="","",IFERROR(DATEDIF(IF(ISNUMBER(H179),H179,DATE(VALUE(RIGHT(H179,4)),VALUE(MID(H179,3,2)),VALUE(LEFT(H179,2)))),TODAY(),"Y"),""))</f>
        <v>38</v>
      </c>
      <c r="AB180">
        <f>IF(OR(D180="",E180=""),"",IFERROR(DATE(MID(E180,7,4),MID(E180,4,2),LEFT(E180,2))-DATE(MID(D180,7,4),MID(D180,4,2),LEFT(D180,2)),""))</f>
        <v>11</v>
      </c>
      <c r="AC180" t="str">
        <f>IF(E180="","Pending",IF(AB180&lt;=5,"On time","Delayed"))</f>
        <v>Delayed</v>
      </c>
      <c r="AD180" s="29" t="str">
        <f>IF(TRIM(S180)="","Not Assigned",S180)</f>
        <v>Karan</v>
      </c>
      <c r="AE180" t="str">
        <f>PROPER(TRIM(F180))</f>
        <v>Priya Patel</v>
      </c>
      <c r="AF180" t="str">
        <f>PROPER(TRIM(K180))</f>
        <v>Stationery</v>
      </c>
      <c r="AG180" t="str">
        <f>PROPER(TRIM(J180))</f>
        <v>South</v>
      </c>
      <c r="AH180" t="str">
        <f t="shared" si="4"/>
        <v>Stationery</v>
      </c>
      <c r="AI180" t="str">
        <f t="shared" si="5"/>
        <v>Stationery</v>
      </c>
      <c r="AK180">
        <f>IF(COUNTIF($A$2:A180,A180)=1,1,0)</f>
        <v>1</v>
      </c>
    </row>
    <row r="181" spans="1:37">
      <c r="A181" s="9" t="s">
        <v>654</v>
      </c>
      <c r="B181" s="10" t="s">
        <v>266</v>
      </c>
      <c r="C181" s="10" t="s">
        <v>250</v>
      </c>
      <c r="D181" s="10" t="s">
        <v>28</v>
      </c>
      <c r="E181" s="10" t="s">
        <v>655</v>
      </c>
      <c r="F181" s="10" t="s">
        <v>268</v>
      </c>
      <c r="G181" s="10" t="s">
        <v>269</v>
      </c>
      <c r="H181" s="11">
        <v>29657</v>
      </c>
      <c r="I181" s="10" t="s">
        <v>260</v>
      </c>
      <c r="J181" s="10" t="s">
        <v>261</v>
      </c>
      <c r="K181" s="10" t="s">
        <v>15</v>
      </c>
      <c r="L181" s="10" t="s">
        <v>253</v>
      </c>
      <c r="M181" s="10">
        <v>7</v>
      </c>
      <c r="N181" s="10">
        <v>2200</v>
      </c>
      <c r="O181" s="10">
        <v>20</v>
      </c>
      <c r="P181" s="10">
        <v>12320</v>
      </c>
      <c r="Q181" s="10">
        <v>5</v>
      </c>
      <c r="R181" s="10" t="s">
        <v>277</v>
      </c>
      <c r="S181" s="10" t="s">
        <v>263</v>
      </c>
      <c r="T181" s="10" t="s">
        <v>273</v>
      </c>
      <c r="U181" s="10">
        <v>9806914795</v>
      </c>
      <c r="V181" s="12" t="s">
        <v>248</v>
      </c>
      <c r="W181" t="str">
        <f>IF(OR(Q181&lt;=2,V181="Cancelled"),"Blacklisted",IF(AND(P181&gt;100000,Q181&gt;=4,O181&lt;=10%,V181="Completed"),"Platinum",IF(AND(P181&gt;=50000,Q181&gt;=3,V181="Completed"),"Gold",IF(AND(P181&lt;50000,V181="Completed"),"Silver",""))))</f>
        <v/>
      </c>
      <c r="X181" t="str">
        <f>PROPER(TRIM(F181))</f>
        <v>Mohit Verma</v>
      </c>
      <c r="Y181" t="str">
        <f>LEFT(F181,3)&amp;MID(B181,2,3)&amp;LEFT(I181,2)</f>
        <v>Moh009De</v>
      </c>
      <c r="Z181" t="str">
        <f>IF(ISNUMBER(SEARCH("@",T181)),LOWER(TRIM(T181)),"invalid email")</f>
        <v>mohit.verma@company.com</v>
      </c>
      <c r="AA181" t="str">
        <f ca="1">IF(H180="","",IFERROR(DATEDIF(IF(ISNUMBER(H180),H180,DATE(VALUE(RIGHT(H180,4)),VALUE(MID(H180,3,2)),VALUE(LEFT(H180,2)))),TODAY(),"Y"),""))</f>
        <v/>
      </c>
      <c r="AB181">
        <f>IF(OR(D181="",E181=""),"",IFERROR(DATE(MID(E181,7,4),MID(E181,4,2),LEFT(E181,2))-DATE(MID(D181,7,4),MID(D181,4,2),LEFT(D181,2)),""))</f>
        <v>9</v>
      </c>
      <c r="AC181" t="str">
        <f>IF(E181="","Pending",IF(AB181&lt;=5,"On time","Delayed"))</f>
        <v>Delayed</v>
      </c>
      <c r="AD181" s="29" t="str">
        <f>IF(TRIM(S181)="","Not Assigned",S181)</f>
        <v>Rahul</v>
      </c>
      <c r="AE181" t="str">
        <f>PROPER(TRIM(F181))</f>
        <v>Mohit Verma</v>
      </c>
      <c r="AF181" t="str">
        <f>PROPER(TRIM(K181))</f>
        <v>Home Appliances</v>
      </c>
      <c r="AG181" t="str">
        <f>PROPER(TRIM(J181))</f>
        <v>North</v>
      </c>
      <c r="AH181" t="str">
        <f t="shared" si="4"/>
        <v>Home Appliances</v>
      </c>
      <c r="AI181" t="str">
        <f t="shared" si="5"/>
        <v>Home Appliances</v>
      </c>
      <c r="AK181">
        <f>IF(COUNTIF($A$2:A181,A181)=1,1,0)</f>
        <v>1</v>
      </c>
    </row>
    <row r="182" spans="1:37">
      <c r="A182" s="4" t="s">
        <v>656</v>
      </c>
      <c r="B182" s="5" t="s">
        <v>284</v>
      </c>
      <c r="C182" s="5" t="s">
        <v>322</v>
      </c>
      <c r="D182" s="5" t="s">
        <v>110</v>
      </c>
      <c r="E182" s="6">
        <v>45752</v>
      </c>
      <c r="F182" s="5" t="s">
        <v>285</v>
      </c>
      <c r="G182" s="5" t="s">
        <v>239</v>
      </c>
      <c r="H182" s="6">
        <v>30988</v>
      </c>
      <c r="I182" s="5" t="s">
        <v>379</v>
      </c>
      <c r="J182" s="5" t="s">
        <v>21</v>
      </c>
      <c r="K182" s="5" t="s">
        <v>15</v>
      </c>
      <c r="L182" s="5" t="s">
        <v>325</v>
      </c>
      <c r="M182" s="5">
        <v>20</v>
      </c>
      <c r="N182" s="5">
        <v>8500</v>
      </c>
      <c r="O182" s="5">
        <v>20</v>
      </c>
      <c r="P182" s="5">
        <v>136000</v>
      </c>
      <c r="Q182" s="5">
        <v>4</v>
      </c>
      <c r="R182" s="5" t="s">
        <v>245</v>
      </c>
      <c r="S182" s="5" t="s">
        <v>255</v>
      </c>
      <c r="T182" s="5" t="s">
        <v>308</v>
      </c>
      <c r="U182" s="5">
        <v>9276222829</v>
      </c>
      <c r="V182" s="8" t="s">
        <v>257</v>
      </c>
      <c r="W182" t="str">
        <f>IF(OR(Q182&lt;=2,V182="Cancelled"),"Blacklisted",IF(AND(P182&gt;100000,Q182&gt;=4,O182&lt;=10%,V182="Completed"),"Platinum",IF(AND(P182&gt;=50000,Q182&gt;=3,V182="Completed"),"Gold",IF(AND(P182&lt;50000,V182="Completed"),"Silver",""))))</f>
        <v>Gold</v>
      </c>
      <c r="X182" t="str">
        <f>PROPER(TRIM(F182))</f>
        <v>Priya Patel</v>
      </c>
      <c r="Y182" t="str">
        <f>LEFT(F182,3)&amp;MID(B182,2,3)&amp;LEFT(I182,2)</f>
        <v>Pri002Ko</v>
      </c>
      <c r="Z182" t="str">
        <f>IF(ISNUMBER(SEARCH("@",T182)),LOWER(TRIM(T182)),"invalid email")</f>
        <v>priya.patel@company.com</v>
      </c>
      <c r="AA182">
        <f ca="1">IF(H181="","",IFERROR(DATEDIF(IF(ISNUMBER(H181),H181,DATE(VALUE(RIGHT(H181,4)),VALUE(MID(H181,3,2)),VALUE(LEFT(H181,2)))),TODAY(),"Y"),""))</f>
        <v>45</v>
      </c>
      <c r="AB182" t="str">
        <f>IF(OR(D182="",E182=""),"",IFERROR(DATE(MID(E182,7,4),MID(E182,4,2),LEFT(E182,2))-DATE(MID(D182,7,4),MID(D182,4,2),LEFT(D182,2)),""))</f>
        <v/>
      </c>
      <c r="AC182" t="str">
        <f>IF(E182="","Pending",IF(AB182&lt;=5,"On time","Delayed"))</f>
        <v>Delayed</v>
      </c>
      <c r="AD182" s="29" t="str">
        <f>IF(TRIM(S182)="","Not Assigned",S182)</f>
        <v>Ritika</v>
      </c>
      <c r="AE182" t="str">
        <f>PROPER(TRIM(F182))</f>
        <v>Priya Patel</v>
      </c>
      <c r="AF182" t="str">
        <f>PROPER(TRIM(K182))</f>
        <v>Home Appliances</v>
      </c>
      <c r="AG182" t="str">
        <f>PROPER(TRIM(J182))</f>
        <v>East</v>
      </c>
      <c r="AH182" t="str">
        <f t="shared" si="4"/>
        <v>Home Appliances</v>
      </c>
      <c r="AI182" t="str">
        <f t="shared" si="5"/>
        <v>Home Appliances</v>
      </c>
      <c r="AK182">
        <f>IF(COUNTIF($A$2:A182,A182)=1,1,0)</f>
        <v>1</v>
      </c>
    </row>
    <row r="183" spans="1:37">
      <c r="A183" s="9" t="s">
        <v>657</v>
      </c>
      <c r="B183" s="10" t="s">
        <v>358</v>
      </c>
      <c r="C183" s="10" t="s">
        <v>250</v>
      </c>
      <c r="D183" s="10" t="s">
        <v>106</v>
      </c>
      <c r="E183" s="10" t="s">
        <v>128</v>
      </c>
      <c r="F183" s="10" t="s">
        <v>359</v>
      </c>
      <c r="G183" s="10" t="s">
        <v>239</v>
      </c>
      <c r="H183" s="11">
        <v>33431</v>
      </c>
      <c r="I183" s="10" t="s">
        <v>252</v>
      </c>
      <c r="J183" s="10" t="s">
        <v>242</v>
      </c>
      <c r="K183" s="10" t="s">
        <v>15</v>
      </c>
      <c r="L183" s="10" t="s">
        <v>253</v>
      </c>
      <c r="M183" s="10">
        <v>10</v>
      </c>
      <c r="N183" s="10">
        <v>2200</v>
      </c>
      <c r="O183" s="10">
        <v>5</v>
      </c>
      <c r="P183" s="10">
        <v>20900</v>
      </c>
      <c r="Q183" s="10">
        <v>2</v>
      </c>
      <c r="R183" s="10" t="s">
        <v>245</v>
      </c>
      <c r="S183" s="10" t="s">
        <v>263</v>
      </c>
      <c r="T183" s="10" t="s">
        <v>360</v>
      </c>
      <c r="U183" s="10">
        <v>9533835528</v>
      </c>
      <c r="V183" s="12" t="s">
        <v>257</v>
      </c>
      <c r="W183" t="str">
        <f>IF(OR(Q183&lt;=2,V183="Cancelled"),"Blacklisted",IF(AND(P183&gt;100000,Q183&gt;=4,O183&lt;=10%,V183="Completed"),"Platinum",IF(AND(P183&gt;=50000,Q183&gt;=3,V183="Completed"),"Gold",IF(AND(P183&lt;50000,V183="Completed"),"Silver",""))))</f>
        <v>Blacklisted</v>
      </c>
      <c r="X183" t="str">
        <f>PROPER(TRIM(F183))</f>
        <v>Sneha Joshi</v>
      </c>
      <c r="Y183" t="str">
        <f>LEFT(F183,3)&amp;MID(B183,2,3)&amp;LEFT(I183,2)</f>
        <v>Sne006Hy</v>
      </c>
      <c r="Z183" t="str">
        <f>IF(ISNUMBER(SEARCH("@",T183)),LOWER(TRIM(T183)),"invalid email")</f>
        <v>sneha.joshi@company.com</v>
      </c>
      <c r="AA183">
        <f ca="1">IF(H182="","",IFERROR(DATEDIF(IF(ISNUMBER(H182),H182,DATE(VALUE(RIGHT(H182,4)),VALUE(MID(H182,3,2)),VALUE(LEFT(H182,2)))),TODAY(),"Y"),""))</f>
        <v>41</v>
      </c>
      <c r="AB183">
        <f>IF(OR(D183="",E183=""),"",IFERROR(DATE(MID(E183,7,4),MID(E183,4,2),LEFT(E183,2))-DATE(MID(D183,7,4),MID(D183,4,2),LEFT(D183,2)),""))</f>
        <v>2</v>
      </c>
      <c r="AC183" t="str">
        <f>IF(E183="","Pending",IF(AB183&lt;=5,"On time","Delayed"))</f>
        <v>On time</v>
      </c>
      <c r="AD183" s="29" t="str">
        <f>IF(TRIM(S183)="","Not Assigned",S183)</f>
        <v>Rahul</v>
      </c>
      <c r="AE183" t="str">
        <f>PROPER(TRIM(F183))</f>
        <v>Sneha Joshi</v>
      </c>
      <c r="AF183" t="str">
        <f>PROPER(TRIM(K183))</f>
        <v>Home Appliances</v>
      </c>
      <c r="AG183" t="str">
        <f>PROPER(TRIM(J183))</f>
        <v>South</v>
      </c>
      <c r="AH183" t="str">
        <f t="shared" si="4"/>
        <v>Home Appliances</v>
      </c>
      <c r="AI183" t="str">
        <f t="shared" si="5"/>
        <v>Home Appliances</v>
      </c>
      <c r="AK183">
        <f>IF(COUNTIF($A$2:A183,A183)=1,1,0)</f>
        <v>1</v>
      </c>
    </row>
    <row r="184" spans="1:37">
      <c r="A184" s="4" t="s">
        <v>658</v>
      </c>
      <c r="B184" s="5" t="s">
        <v>299</v>
      </c>
      <c r="C184" s="5" t="s">
        <v>294</v>
      </c>
      <c r="D184" s="5" t="s">
        <v>52</v>
      </c>
      <c r="E184" s="5" t="s">
        <v>159</v>
      </c>
      <c r="F184" s="5" t="s">
        <v>301</v>
      </c>
      <c r="G184" s="5" t="s">
        <v>269</v>
      </c>
      <c r="H184" s="5" t="s">
        <v>659</v>
      </c>
      <c r="I184" s="5" t="s">
        <v>291</v>
      </c>
      <c r="J184" s="5" t="s">
        <v>287</v>
      </c>
      <c r="K184" s="5" t="s">
        <v>295</v>
      </c>
      <c r="L184" s="5" t="s">
        <v>296</v>
      </c>
      <c r="M184" s="5">
        <v>15</v>
      </c>
      <c r="N184" s="5">
        <v>60</v>
      </c>
      <c r="O184" s="5">
        <v>20</v>
      </c>
      <c r="P184" s="5">
        <v>720</v>
      </c>
      <c r="Q184" s="5">
        <v>1</v>
      </c>
      <c r="R184" s="5" t="s">
        <v>272</v>
      </c>
      <c r="S184" s="5" t="s">
        <v>255</v>
      </c>
      <c r="T184" s="5" t="s">
        <v>302</v>
      </c>
      <c r="U184" s="5">
        <v>9654885820</v>
      </c>
      <c r="V184" s="8" t="s">
        <v>257</v>
      </c>
      <c r="W184" t="str">
        <f>IF(OR(Q184&lt;=2,V184="Cancelled"),"Blacklisted",IF(AND(P184&gt;100000,Q184&gt;=4,O184&lt;=10%,V184="Completed"),"Platinum",IF(AND(P184&gt;=50000,Q184&gt;=3,V184="Completed"),"Gold",IF(AND(P184&lt;50000,V184="Completed"),"Silver",""))))</f>
        <v>Blacklisted</v>
      </c>
      <c r="X184" t="str">
        <f>PROPER(TRIM(F184))</f>
        <v>Rohit Singh</v>
      </c>
      <c r="Y184" t="str">
        <f>LEFT(F184,3)&amp;MID(B184,2,3)&amp;LEFT(I184,2)</f>
        <v>Roh003Pu</v>
      </c>
      <c r="Z184" t="str">
        <f>IF(ISNUMBER(SEARCH("@",T184)),LOWER(TRIM(T184)),"invalid email")</f>
        <v>rohit.singh@company.com</v>
      </c>
      <c r="AA184">
        <f ca="1">IF(H183="","",IFERROR(DATEDIF(IF(ISNUMBER(H183),H183,DATE(VALUE(RIGHT(H183,4)),VALUE(MID(H183,3,2)),VALUE(LEFT(H183,2)))),TODAY(),"Y"),""))</f>
        <v>35</v>
      </c>
      <c r="AB184">
        <f>IF(OR(D184="",E184=""),"",IFERROR(DATE(MID(E184,7,4),MID(E184,4,2),LEFT(E184,2))-DATE(MID(D184,7,4),MID(D184,4,2),LEFT(D184,2)),""))</f>
        <v>10</v>
      </c>
      <c r="AC184" t="str">
        <f>IF(E184="","Pending",IF(AB184&lt;=5,"On time","Delayed"))</f>
        <v>Delayed</v>
      </c>
      <c r="AD184" s="29" t="str">
        <f>IF(TRIM(S184)="","Not Assigned",S184)</f>
        <v>Ritika</v>
      </c>
      <c r="AE184" t="str">
        <f>PROPER(TRIM(F184))</f>
        <v>Rohit Singh</v>
      </c>
      <c r="AF184" t="str">
        <f>PROPER(TRIM(K184))</f>
        <v>Stationery</v>
      </c>
      <c r="AG184" t="str">
        <f>PROPER(TRIM(J184))</f>
        <v>West</v>
      </c>
      <c r="AH184" t="str">
        <f t="shared" si="4"/>
        <v>Stationery</v>
      </c>
      <c r="AI184" t="str">
        <f t="shared" si="5"/>
        <v>Stationery</v>
      </c>
      <c r="AK184">
        <f>IF(COUNTIF($A$2:A184,A184)=1,1,0)</f>
        <v>1</v>
      </c>
    </row>
    <row r="185" spans="1:37">
      <c r="A185" s="9" t="s">
        <v>660</v>
      </c>
      <c r="B185" s="10" t="s">
        <v>346</v>
      </c>
      <c r="C185" s="10" t="s">
        <v>280</v>
      </c>
      <c r="D185" s="10" t="s">
        <v>134</v>
      </c>
      <c r="E185" s="10" t="s">
        <v>661</v>
      </c>
      <c r="F185" s="10" t="s">
        <v>348</v>
      </c>
      <c r="G185" s="10" t="s">
        <v>269</v>
      </c>
      <c r="H185" s="10" t="s">
        <v>662</v>
      </c>
      <c r="I185" s="10" t="s">
        <v>252</v>
      </c>
      <c r="J185" s="10" t="s">
        <v>242</v>
      </c>
      <c r="K185" s="10" t="s">
        <v>15</v>
      </c>
      <c r="L185" s="10" t="s">
        <v>282</v>
      </c>
      <c r="M185" s="10">
        <v>18</v>
      </c>
      <c r="N185" s="10">
        <v>3500</v>
      </c>
      <c r="O185" s="10">
        <v>5</v>
      </c>
      <c r="P185" s="10">
        <v>59850</v>
      </c>
      <c r="Q185" s="10">
        <v>1</v>
      </c>
      <c r="R185" s="10" t="s">
        <v>272</v>
      </c>
      <c r="S185" s="10" t="s">
        <v>263</v>
      </c>
      <c r="T185" s="10" t="s">
        <v>350</v>
      </c>
      <c r="U185" s="10">
        <v>9456029544</v>
      </c>
      <c r="V185" s="12" t="s">
        <v>265</v>
      </c>
      <c r="W185" t="str">
        <f>IF(OR(Q185&lt;=2,V185="Cancelled"),"Blacklisted",IF(AND(P185&gt;100000,Q185&gt;=4,O185&lt;=10%,V185="Completed"),"Platinum",IF(AND(P185&gt;=50000,Q185&gt;=3,V185="Completed"),"Gold",IF(AND(P185&lt;50000,V185="Completed"),"Silver",""))))</f>
        <v>Blacklisted</v>
      </c>
      <c r="X185" t="str">
        <f>PROPER(TRIM(F185))</f>
        <v>Vikas Mehta</v>
      </c>
      <c r="Y185" t="str">
        <f>LEFT(F185,3)&amp;MID(B185,2,3)&amp;LEFT(I185,2)</f>
        <v>Vik005Hy</v>
      </c>
      <c r="Z185" t="str">
        <f>IF(ISNUMBER(SEARCH("@",T185)),LOWER(TRIM(T185)),"invalid email")</f>
        <v>vikas.mehta@company.com</v>
      </c>
      <c r="AA185" t="str">
        <f ca="1">IF(H184="","",IFERROR(DATEDIF(IF(ISNUMBER(H184),H184,DATE(VALUE(RIGHT(H184,4)),VALUE(MID(H184,3,2)),VALUE(LEFT(H184,2)))),TODAY(),"Y"),""))</f>
        <v/>
      </c>
      <c r="AB185">
        <f>IF(OR(D185="",E185=""),"",IFERROR(DATE(MID(E185,7,4),MID(E185,4,2),LEFT(E185,2))-DATE(MID(D185,7,4),MID(D185,4,2),LEFT(D185,2)),""))</f>
        <v>4</v>
      </c>
      <c r="AC185" t="str">
        <f>IF(E185="","Pending",IF(AB185&lt;=5,"On time","Delayed"))</f>
        <v>On time</v>
      </c>
      <c r="AD185" s="29" t="str">
        <f>IF(TRIM(S185)="","Not Assigned",S185)</f>
        <v>Rahul</v>
      </c>
      <c r="AE185" t="str">
        <f>PROPER(TRIM(F185))</f>
        <v>Vikas Mehta</v>
      </c>
      <c r="AF185" t="str">
        <f>PROPER(TRIM(K185))</f>
        <v>Home Appliances</v>
      </c>
      <c r="AG185" t="str">
        <f>PROPER(TRIM(J185))</f>
        <v>South</v>
      </c>
      <c r="AH185" t="str">
        <f t="shared" si="4"/>
        <v>Home Appliances</v>
      </c>
      <c r="AI185" t="str">
        <f t="shared" si="5"/>
        <v>Home Appliances</v>
      </c>
      <c r="AK185">
        <f>IF(COUNTIF($A$2:A185,A185)=1,1,0)</f>
        <v>1</v>
      </c>
    </row>
    <row r="186" spans="1:37">
      <c r="A186" s="4" t="s">
        <v>663</v>
      </c>
      <c r="B186" s="5" t="s">
        <v>392</v>
      </c>
      <c r="C186" s="5" t="s">
        <v>258</v>
      </c>
      <c r="D186" s="6">
        <v>46361</v>
      </c>
      <c r="E186" s="5" t="s">
        <v>664</v>
      </c>
      <c r="F186" s="5" t="s">
        <v>323</v>
      </c>
      <c r="G186" s="5" t="s">
        <v>269</v>
      </c>
      <c r="H186" s="6">
        <v>31909</v>
      </c>
      <c r="I186" s="5" t="s">
        <v>291</v>
      </c>
      <c r="J186" s="5" t="s">
        <v>287</v>
      </c>
      <c r="K186" s="5" t="s">
        <v>243</v>
      </c>
      <c r="L186" s="5" t="s">
        <v>262</v>
      </c>
      <c r="M186" s="5">
        <v>6</v>
      </c>
      <c r="N186" s="5">
        <v>12000</v>
      </c>
      <c r="O186" s="5">
        <v>5</v>
      </c>
      <c r="P186" s="5">
        <v>68400</v>
      </c>
      <c r="Q186" s="5">
        <v>1</v>
      </c>
      <c r="R186" s="5" t="s">
        <v>245</v>
      </c>
      <c r="S186" s="5" t="s">
        <v>263</v>
      </c>
      <c r="T186" s="5" t="s">
        <v>395</v>
      </c>
      <c r="U186" s="5">
        <v>9914571493</v>
      </c>
      <c r="V186" s="8" t="s">
        <v>265</v>
      </c>
      <c r="W186" t="str">
        <f>IF(OR(Q186&lt;=2,V186="Cancelled"),"Blacklisted",IF(AND(P186&gt;100000,Q186&gt;=4,O186&lt;=10%,V186="Completed"),"Platinum",IF(AND(P186&gt;=50000,Q186&gt;=3,V186="Completed"),"Gold",IF(AND(P186&lt;50000,V186="Completed"),"Silver",""))))</f>
        <v>Blacklisted</v>
      </c>
      <c r="X186" t="str">
        <f>PROPER(TRIM(F186))</f>
        <v>Amit Sharma</v>
      </c>
      <c r="Y186" t="str">
        <f>LEFT(F186,3)&amp;MID(B186,2,3)&amp;LEFT(I186,2)</f>
        <v>Ami001Pu</v>
      </c>
      <c r="Z186" t="str">
        <f>IF(ISNUMBER(SEARCH("@",T186)),LOWER(TRIM(T186)),"invalid email")</f>
        <v>amit.sharma@company.com</v>
      </c>
      <c r="AA186" t="str">
        <f ca="1">IF(H185="","",IFERROR(DATEDIF(IF(ISNUMBER(H185),H185,DATE(VALUE(RIGHT(H185,4)),VALUE(MID(H185,3,2)),VALUE(LEFT(H185,2)))),TODAY(),"Y"),""))</f>
        <v/>
      </c>
      <c r="AB186" t="str">
        <f>IF(OR(D186="",E186=""),"",IFERROR(DATE(MID(E186,7,4),MID(E186,4,2),LEFT(E186,2))-DATE(MID(D186,7,4),MID(D186,4,2),LEFT(D186,2)),""))</f>
        <v/>
      </c>
      <c r="AC186" t="str">
        <f>IF(E186="","Pending",IF(AB186&lt;=5,"On time","Delayed"))</f>
        <v>Delayed</v>
      </c>
      <c r="AD186" s="29" t="str">
        <f>IF(TRIM(S186)="","Not Assigned",S186)</f>
        <v>Rahul</v>
      </c>
      <c r="AE186" t="str">
        <f>PROPER(TRIM(F186))</f>
        <v>Amit Sharma</v>
      </c>
      <c r="AF186" t="str">
        <f>PROPER(TRIM(K186))</f>
        <v>Electronics</v>
      </c>
      <c r="AG186" t="str">
        <f>PROPER(TRIM(J186))</f>
        <v>West</v>
      </c>
      <c r="AH186" t="str">
        <f t="shared" si="4"/>
        <v>Electronics</v>
      </c>
      <c r="AI186" t="str">
        <f t="shared" si="5"/>
        <v>Electronics</v>
      </c>
      <c r="AK186">
        <f>IF(COUNTIF($A$2:A186,A186)=1,1,0)</f>
        <v>1</v>
      </c>
    </row>
    <row r="187" spans="1:37">
      <c r="A187" s="9" t="s">
        <v>665</v>
      </c>
      <c r="B187" s="10" t="s">
        <v>392</v>
      </c>
      <c r="C187" s="10" t="s">
        <v>347</v>
      </c>
      <c r="D187" s="10" t="s">
        <v>24</v>
      </c>
      <c r="E187" s="10" t="s">
        <v>459</v>
      </c>
      <c r="F187" s="10" t="s">
        <v>323</v>
      </c>
      <c r="G187" s="10" t="s">
        <v>269</v>
      </c>
      <c r="H187" s="10" t="s">
        <v>666</v>
      </c>
      <c r="I187" s="10" t="s">
        <v>241</v>
      </c>
      <c r="J187" s="10" t="s">
        <v>242</v>
      </c>
      <c r="K187" s="10" t="s">
        <v>295</v>
      </c>
      <c r="L187" s="10" t="s">
        <v>349</v>
      </c>
      <c r="M187" s="10">
        <v>19</v>
      </c>
      <c r="N187" s="10">
        <v>20</v>
      </c>
      <c r="O187" s="10">
        <v>10</v>
      </c>
      <c r="P187" s="10">
        <v>342</v>
      </c>
      <c r="Q187" s="10">
        <v>2</v>
      </c>
      <c r="R187" s="10" t="s">
        <v>245</v>
      </c>
      <c r="S187" s="10" t="s">
        <v>255</v>
      </c>
      <c r="T187" s="10" t="s">
        <v>395</v>
      </c>
      <c r="U187" s="10">
        <v>9270726986</v>
      </c>
      <c r="V187" s="12" t="s">
        <v>248</v>
      </c>
      <c r="W187" t="str">
        <f>IF(OR(Q187&lt;=2,V187="Cancelled"),"Blacklisted",IF(AND(P187&gt;100000,Q187&gt;=4,O187&lt;=10%,V187="Completed"),"Platinum",IF(AND(P187&gt;=50000,Q187&gt;=3,V187="Completed"),"Gold",IF(AND(P187&lt;50000,V187="Completed"),"Silver",""))))</f>
        <v>Blacklisted</v>
      </c>
      <c r="X187" t="str">
        <f>PROPER(TRIM(F187))</f>
        <v>Amit Sharma</v>
      </c>
      <c r="Y187" t="str">
        <f>LEFT(F187,3)&amp;MID(B187,2,3)&amp;LEFT(I187,2)</f>
        <v>Ami001Be</v>
      </c>
      <c r="Z187" t="str">
        <f>IF(ISNUMBER(SEARCH("@",T187)),LOWER(TRIM(T187)),"invalid email")</f>
        <v>amit.sharma@company.com</v>
      </c>
      <c r="AA187">
        <f ca="1">IF(H186="","",IFERROR(DATEDIF(IF(ISNUMBER(H186),H186,DATE(VALUE(RIGHT(H186,4)),VALUE(MID(H186,3,2)),VALUE(LEFT(H186,2)))),TODAY(),"Y"),""))</f>
        <v>39</v>
      </c>
      <c r="AB187">
        <f>IF(OR(D187="",E187=""),"",IFERROR(DATE(MID(E187,7,4),MID(E187,4,2),LEFT(E187,2))-DATE(MID(D187,7,4),MID(D187,4,2),LEFT(D187,2)),""))</f>
        <v>2</v>
      </c>
      <c r="AC187" t="str">
        <f>IF(E187="","Pending",IF(AB187&lt;=5,"On time","Delayed"))</f>
        <v>On time</v>
      </c>
      <c r="AD187" s="29" t="str">
        <f>IF(TRIM(S187)="","Not Assigned",S187)</f>
        <v>Ritika</v>
      </c>
      <c r="AE187" t="str">
        <f>PROPER(TRIM(F187))</f>
        <v>Amit Sharma</v>
      </c>
      <c r="AF187" t="str">
        <f>PROPER(TRIM(K187))</f>
        <v>Stationery</v>
      </c>
      <c r="AG187" t="str">
        <f>PROPER(TRIM(J187))</f>
        <v>South</v>
      </c>
      <c r="AH187" t="str">
        <f t="shared" si="4"/>
        <v>Stationery</v>
      </c>
      <c r="AI187" t="str">
        <f t="shared" si="5"/>
        <v>Stationery</v>
      </c>
      <c r="AK187">
        <f>IF(COUNTIF($A$2:A187,A187)=1,1,0)</f>
        <v>1</v>
      </c>
    </row>
    <row r="188" spans="1:37">
      <c r="A188" s="4" t="s">
        <v>667</v>
      </c>
      <c r="B188" s="5" t="s">
        <v>346</v>
      </c>
      <c r="C188" s="5" t="s">
        <v>250</v>
      </c>
      <c r="D188" s="5" t="s">
        <v>16</v>
      </c>
      <c r="E188" s="5" t="s">
        <v>436</v>
      </c>
      <c r="F188" s="5" t="s">
        <v>348</v>
      </c>
      <c r="G188" s="5" t="s">
        <v>269</v>
      </c>
      <c r="H188" s="5" t="s">
        <v>668</v>
      </c>
      <c r="I188" s="5" t="s">
        <v>291</v>
      </c>
      <c r="J188" s="5" t="s">
        <v>287</v>
      </c>
      <c r="K188" s="5" t="s">
        <v>15</v>
      </c>
      <c r="L188" s="5" t="s">
        <v>253</v>
      </c>
      <c r="M188" s="5">
        <v>7</v>
      </c>
      <c r="N188" s="5">
        <v>2200</v>
      </c>
      <c r="O188" s="5">
        <v>0</v>
      </c>
      <c r="P188" s="5">
        <v>15400</v>
      </c>
      <c r="Q188" s="5">
        <v>1</v>
      </c>
      <c r="R188" s="5" t="s">
        <v>272</v>
      </c>
      <c r="S188" s="5" t="s">
        <v>292</v>
      </c>
      <c r="T188" s="5" t="s">
        <v>350</v>
      </c>
      <c r="U188" s="5">
        <v>9570080664</v>
      </c>
      <c r="V188" s="8" t="s">
        <v>265</v>
      </c>
      <c r="W188" t="str">
        <f>IF(OR(Q188&lt;=2,V188="Cancelled"),"Blacklisted",IF(AND(P188&gt;100000,Q188&gt;=4,O188&lt;=10%,V188="Completed"),"Platinum",IF(AND(P188&gt;=50000,Q188&gt;=3,V188="Completed"),"Gold",IF(AND(P188&lt;50000,V188="Completed"),"Silver",""))))</f>
        <v>Blacklisted</v>
      </c>
      <c r="X188" t="str">
        <f>PROPER(TRIM(F188))</f>
        <v>Vikas Mehta</v>
      </c>
      <c r="Y188" t="str">
        <f>LEFT(F188,3)&amp;MID(B188,2,3)&amp;LEFT(I188,2)</f>
        <v>Vik005Pu</v>
      </c>
      <c r="Z188" t="str">
        <f>IF(ISNUMBER(SEARCH("@",T188)),LOWER(TRIM(T188)),"invalid email")</f>
        <v>vikas.mehta@company.com</v>
      </c>
      <c r="AA188" t="str">
        <f ca="1">IF(H187="","",IFERROR(DATEDIF(IF(ISNUMBER(H187),H187,DATE(VALUE(RIGHT(H187,4)),VALUE(MID(H187,3,2)),VALUE(LEFT(H187,2)))),TODAY(),"Y"),""))</f>
        <v/>
      </c>
      <c r="AB188">
        <f>IF(OR(D188="",E188=""),"",IFERROR(DATE(MID(E188,7,4),MID(E188,4,2),LEFT(E188,2))-DATE(MID(D188,7,4),MID(D188,4,2),LEFT(D188,2)),""))</f>
        <v>7</v>
      </c>
      <c r="AC188" t="str">
        <f>IF(E188="","Pending",IF(AB188&lt;=5,"On time","Delayed"))</f>
        <v>Delayed</v>
      </c>
      <c r="AD188" s="29" t="str">
        <f>IF(TRIM(S188)="","Not Assigned",S188)</f>
        <v>Neha</v>
      </c>
      <c r="AE188" t="str">
        <f>PROPER(TRIM(F188))</f>
        <v>Vikas Mehta</v>
      </c>
      <c r="AF188" t="str">
        <f>PROPER(TRIM(K188))</f>
        <v>Home Appliances</v>
      </c>
      <c r="AG188" t="str">
        <f>PROPER(TRIM(J188))</f>
        <v>West</v>
      </c>
      <c r="AH188" t="str">
        <f t="shared" si="4"/>
        <v>Home Appliances</v>
      </c>
      <c r="AI188" t="str">
        <f t="shared" si="5"/>
        <v>Home Appliances</v>
      </c>
      <c r="AK188">
        <f>IF(COUNTIF($A$2:A188,A188)=1,1,0)</f>
        <v>1</v>
      </c>
    </row>
    <row r="189" spans="1:37">
      <c r="A189" s="9" t="s">
        <v>669</v>
      </c>
      <c r="B189" s="10" t="s">
        <v>392</v>
      </c>
      <c r="C189" s="10" t="s">
        <v>258</v>
      </c>
      <c r="D189" s="10" t="s">
        <v>51</v>
      </c>
      <c r="E189" s="10" t="s">
        <v>670</v>
      </c>
      <c r="F189" s="10" t="s">
        <v>323</v>
      </c>
      <c r="G189" s="10" t="s">
        <v>269</v>
      </c>
      <c r="H189" s="10" t="s">
        <v>671</v>
      </c>
      <c r="I189" s="10" t="s">
        <v>342</v>
      </c>
      <c r="J189" s="10" t="s">
        <v>261</v>
      </c>
      <c r="K189" s="10" t="s">
        <v>243</v>
      </c>
      <c r="L189" s="10" t="s">
        <v>262</v>
      </c>
      <c r="M189" s="10">
        <v>3</v>
      </c>
      <c r="N189" s="10">
        <v>12000</v>
      </c>
      <c r="O189" s="10">
        <v>5</v>
      </c>
      <c r="P189" s="10">
        <v>34200</v>
      </c>
      <c r="Q189" s="10">
        <v>3</v>
      </c>
      <c r="R189" s="10" t="s">
        <v>272</v>
      </c>
      <c r="S189" s="10" t="s">
        <v>246</v>
      </c>
      <c r="T189" s="10" t="s">
        <v>395</v>
      </c>
      <c r="U189" s="10">
        <v>9109009524</v>
      </c>
      <c r="V189" s="12" t="s">
        <v>265</v>
      </c>
      <c r="W189" t="str">
        <f>IF(OR(Q189&lt;=2,V189="Cancelled"),"Blacklisted",IF(AND(P189&gt;100000,Q189&gt;=4,O189&lt;=10%,V189="Completed"),"Platinum",IF(AND(P189&gt;=50000,Q189&gt;=3,V189="Completed"),"Gold",IF(AND(P189&lt;50000,V189="Completed"),"Silver",""))))</f>
        <v>Blacklisted</v>
      </c>
      <c r="X189" t="str">
        <f>PROPER(TRIM(F189))</f>
        <v>Amit Sharma</v>
      </c>
      <c r="Y189" t="str">
        <f>LEFT(F189,3)&amp;MID(B189,2,3)&amp;LEFT(I189,2)</f>
        <v>Ami001Ja</v>
      </c>
      <c r="Z189" t="str">
        <f>IF(ISNUMBER(SEARCH("@",T189)),LOWER(TRIM(T189)),"invalid email")</f>
        <v>amit.sharma@company.com</v>
      </c>
      <c r="AA189" t="str">
        <f ca="1">IF(H188="","",IFERROR(DATEDIF(IF(ISNUMBER(H188),H188,DATE(VALUE(RIGHT(H188,4)),VALUE(MID(H188,3,2)),VALUE(LEFT(H188,2)))),TODAY(),"Y"),""))</f>
        <v/>
      </c>
      <c r="AB189">
        <f>IF(OR(D189="",E189=""),"",IFERROR(DATE(MID(E189,7,4),MID(E189,4,2),LEFT(E189,2))-DATE(MID(D189,7,4),MID(D189,4,2),LEFT(D189,2)),""))</f>
        <v>4</v>
      </c>
      <c r="AC189" t="str">
        <f>IF(E189="","Pending",IF(AB189&lt;=5,"On time","Delayed"))</f>
        <v>On time</v>
      </c>
      <c r="AD189" s="29" t="str">
        <f>IF(TRIM(S189)="","Not Assigned",S189)</f>
        <v>Aisha</v>
      </c>
      <c r="AE189" t="str">
        <f>PROPER(TRIM(F189))</f>
        <v>Amit Sharma</v>
      </c>
      <c r="AF189" t="str">
        <f>PROPER(TRIM(K189))</f>
        <v>Electronics</v>
      </c>
      <c r="AG189" t="str">
        <f>PROPER(TRIM(J189))</f>
        <v>North</v>
      </c>
      <c r="AH189" t="str">
        <f t="shared" si="4"/>
        <v>Electronics</v>
      </c>
      <c r="AI189" t="str">
        <f t="shared" si="5"/>
        <v>Electronics</v>
      </c>
      <c r="AK189">
        <f>IF(COUNTIF($A$2:A189,A189)=1,1,0)</f>
        <v>1</v>
      </c>
    </row>
    <row r="190" spans="1:37">
      <c r="A190" s="4" t="s">
        <v>672</v>
      </c>
      <c r="B190" s="5" t="s">
        <v>321</v>
      </c>
      <c r="C190" s="5" t="s">
        <v>250</v>
      </c>
      <c r="D190" s="5" t="s">
        <v>126</v>
      </c>
      <c r="E190" s="6">
        <v>45758</v>
      </c>
      <c r="F190" s="5" t="s">
        <v>408</v>
      </c>
      <c r="G190" s="5" t="s">
        <v>239</v>
      </c>
      <c r="H190" s="5" t="s">
        <v>673</v>
      </c>
      <c r="I190" s="5" t="s">
        <v>342</v>
      </c>
      <c r="J190" s="5" t="s">
        <v>261</v>
      </c>
      <c r="K190" s="5" t="s">
        <v>15</v>
      </c>
      <c r="L190" s="5" t="s">
        <v>253</v>
      </c>
      <c r="M190" s="5">
        <v>16</v>
      </c>
      <c r="N190" s="5">
        <v>2200</v>
      </c>
      <c r="O190" s="5">
        <v>0</v>
      </c>
      <c r="P190" s="5">
        <v>35200</v>
      </c>
      <c r="Q190" s="5">
        <v>5</v>
      </c>
      <c r="R190" s="5" t="s">
        <v>272</v>
      </c>
      <c r="S190" s="5" t="s">
        <v>255</v>
      </c>
      <c r="T190" s="5" t="s">
        <v>326</v>
      </c>
      <c r="U190" s="5">
        <v>9701276770</v>
      </c>
      <c r="V190" s="8" t="s">
        <v>248</v>
      </c>
      <c r="W190" t="str">
        <f>IF(OR(Q190&lt;=2,V190="Cancelled"),"Blacklisted",IF(AND(P190&gt;100000,Q190&gt;=4,O190&lt;=10%,V190="Completed"),"Platinum",IF(AND(P190&gt;=50000,Q190&gt;=3,V190="Completed"),"Gold",IF(AND(P190&lt;50000,V190="Completed"),"Silver",""))))</f>
        <v/>
      </c>
      <c r="X190" t="str">
        <f>PROPER(TRIM(F190))</f>
        <v>Anita Gupta</v>
      </c>
      <c r="Y190" t="str">
        <f>LEFT(F190,3)&amp;MID(B190,2,3)&amp;LEFT(I190,2)</f>
        <v>Ani004Ja</v>
      </c>
      <c r="Z190" t="str">
        <f>IF(ISNUMBER(SEARCH("@",T190)),LOWER(TRIM(T190)),"invalid email")</f>
        <v>anita.gupta@company.com</v>
      </c>
      <c r="AA190" t="str">
        <f ca="1">IF(H189="","",IFERROR(DATEDIF(IF(ISNUMBER(H189),H189,DATE(VALUE(RIGHT(H189,4)),VALUE(MID(H189,3,2)),VALUE(LEFT(H189,2)))),TODAY(),"Y"),""))</f>
        <v/>
      </c>
      <c r="AB190" t="str">
        <f>IF(OR(D190="",E190=""),"",IFERROR(DATE(MID(E190,7,4),MID(E190,4,2),LEFT(E190,2))-DATE(MID(D190,7,4),MID(D190,4,2),LEFT(D190,2)),""))</f>
        <v/>
      </c>
      <c r="AC190" t="str">
        <f>IF(E190="","Pending",IF(AB190&lt;=5,"On time","Delayed"))</f>
        <v>Delayed</v>
      </c>
      <c r="AD190" s="29" t="str">
        <f>IF(TRIM(S190)="","Not Assigned",S190)</f>
        <v>Ritika</v>
      </c>
      <c r="AE190" t="str">
        <f>PROPER(TRIM(F190))</f>
        <v>Anita Gupta</v>
      </c>
      <c r="AF190" t="str">
        <f>PROPER(TRIM(K190))</f>
        <v>Home Appliances</v>
      </c>
      <c r="AG190" t="str">
        <f>PROPER(TRIM(J190))</f>
        <v>North</v>
      </c>
      <c r="AH190" t="str">
        <f t="shared" si="4"/>
        <v>Home Appliances</v>
      </c>
      <c r="AI190" t="str">
        <f t="shared" si="5"/>
        <v>Home Appliances</v>
      </c>
      <c r="AK190">
        <f>IF(COUNTIF($A$2:A190,A190)=1,1,0)</f>
        <v>1</v>
      </c>
    </row>
    <row r="191" spans="1:37">
      <c r="A191" s="9" t="s">
        <v>674</v>
      </c>
      <c r="B191" s="10" t="s">
        <v>358</v>
      </c>
      <c r="C191" s="10" t="s">
        <v>250</v>
      </c>
      <c r="D191" s="10" t="s">
        <v>42</v>
      </c>
      <c r="E191" s="10" t="s">
        <v>64</v>
      </c>
      <c r="F191" s="10" t="s">
        <v>359</v>
      </c>
      <c r="G191" s="10" t="s">
        <v>239</v>
      </c>
      <c r="H191" s="11">
        <v>32605</v>
      </c>
      <c r="I191" s="10" t="s">
        <v>260</v>
      </c>
      <c r="J191" s="10" t="s">
        <v>261</v>
      </c>
      <c r="K191" s="10" t="s">
        <v>15</v>
      </c>
      <c r="L191" s="10" t="s">
        <v>253</v>
      </c>
      <c r="M191" s="10">
        <v>8</v>
      </c>
      <c r="N191" s="10">
        <v>2200</v>
      </c>
      <c r="O191" s="10">
        <v>5</v>
      </c>
      <c r="P191" s="10">
        <v>16720</v>
      </c>
      <c r="Q191" s="10">
        <v>2</v>
      </c>
      <c r="R191" s="10" t="s">
        <v>277</v>
      </c>
      <c r="S191" s="10" t="s">
        <v>312</v>
      </c>
      <c r="T191" s="10" t="s">
        <v>360</v>
      </c>
      <c r="U191" s="10">
        <v>9298278507</v>
      </c>
      <c r="V191" s="12" t="s">
        <v>257</v>
      </c>
      <c r="W191" t="str">
        <f>IF(OR(Q191&lt;=2,V191="Cancelled"),"Blacklisted",IF(AND(P191&gt;100000,Q191&gt;=4,O191&lt;=10%,V191="Completed"),"Platinum",IF(AND(P191&gt;=50000,Q191&gt;=3,V191="Completed"),"Gold",IF(AND(P191&lt;50000,V191="Completed"),"Silver",""))))</f>
        <v>Blacklisted</v>
      </c>
      <c r="X191" t="str">
        <f>PROPER(TRIM(F191))</f>
        <v>Sneha Joshi</v>
      </c>
      <c r="Y191" t="str">
        <f>LEFT(F191,3)&amp;MID(B191,2,3)&amp;LEFT(I191,2)</f>
        <v>Sne006De</v>
      </c>
      <c r="Z191" t="str">
        <f>IF(ISNUMBER(SEARCH("@",T191)),LOWER(TRIM(T191)),"invalid email")</f>
        <v>sneha.joshi@company.com</v>
      </c>
      <c r="AA191" t="str">
        <f ca="1">IF(H190="","",IFERROR(DATEDIF(IF(ISNUMBER(H190),H190,DATE(VALUE(RIGHT(H190,4)),VALUE(MID(H190,3,2)),VALUE(LEFT(H190,2)))),TODAY(),"Y"),""))</f>
        <v/>
      </c>
      <c r="AB191">
        <f>IF(OR(D191="",E191=""),"",IFERROR(DATE(MID(E191,7,4),MID(E191,4,2),LEFT(E191,2))-DATE(MID(D191,7,4),MID(D191,4,2),LEFT(D191,2)),""))</f>
        <v>2</v>
      </c>
      <c r="AC191" t="str">
        <f>IF(E191="","Pending",IF(AB191&lt;=5,"On time","Delayed"))</f>
        <v>On time</v>
      </c>
      <c r="AD191" s="29" t="str">
        <f>IF(TRIM(S191)="","Not Assigned",S191)</f>
        <v>Karan</v>
      </c>
      <c r="AE191" t="str">
        <f>PROPER(TRIM(F191))</f>
        <v>Sneha Joshi</v>
      </c>
      <c r="AF191" t="str">
        <f>PROPER(TRIM(K191))</f>
        <v>Home Appliances</v>
      </c>
      <c r="AG191" t="str">
        <f>PROPER(TRIM(J191))</f>
        <v>North</v>
      </c>
      <c r="AH191" t="str">
        <f t="shared" si="4"/>
        <v>Home Appliances</v>
      </c>
      <c r="AI191" t="str">
        <f t="shared" si="5"/>
        <v>Home Appliances</v>
      </c>
      <c r="AK191">
        <f>IF(COUNTIF($A$2:A191,A191)=1,1,0)</f>
        <v>1</v>
      </c>
    </row>
    <row r="192" spans="1:37">
      <c r="A192" s="4" t="s">
        <v>675</v>
      </c>
      <c r="B192" s="5" t="s">
        <v>358</v>
      </c>
      <c r="C192" s="5" t="s">
        <v>250</v>
      </c>
      <c r="D192" s="6">
        <v>45973</v>
      </c>
      <c r="E192" s="5" t="s">
        <v>30</v>
      </c>
      <c r="F192" s="5" t="s">
        <v>359</v>
      </c>
      <c r="G192" s="5" t="s">
        <v>239</v>
      </c>
      <c r="H192" s="6">
        <v>36041</v>
      </c>
      <c r="I192" s="5" t="s">
        <v>306</v>
      </c>
      <c r="J192" s="5" t="s">
        <v>287</v>
      </c>
      <c r="K192" s="5" t="s">
        <v>15</v>
      </c>
      <c r="L192" s="5" t="s">
        <v>253</v>
      </c>
      <c r="M192" s="5">
        <v>10</v>
      </c>
      <c r="N192" s="5">
        <v>2200</v>
      </c>
      <c r="O192" s="5">
        <v>10</v>
      </c>
      <c r="P192" s="5">
        <v>19800</v>
      </c>
      <c r="Q192" s="5">
        <v>5</v>
      </c>
      <c r="R192" s="5" t="s">
        <v>245</v>
      </c>
      <c r="S192" s="5" t="s">
        <v>292</v>
      </c>
      <c r="T192" s="5" t="s">
        <v>360</v>
      </c>
      <c r="U192" s="5">
        <v>9895908093</v>
      </c>
      <c r="V192" s="8" t="s">
        <v>248</v>
      </c>
      <c r="W192" t="str">
        <f>IF(OR(Q192&lt;=2,V192="Cancelled"),"Blacklisted",IF(AND(P192&gt;100000,Q192&gt;=4,O192&lt;=10%,V192="Completed"),"Platinum",IF(AND(P192&gt;=50000,Q192&gt;=3,V192="Completed"),"Gold",IF(AND(P192&lt;50000,V192="Completed"),"Silver",""))))</f>
        <v/>
      </c>
      <c r="X192" t="str">
        <f>PROPER(TRIM(F192))</f>
        <v>Sneha Joshi</v>
      </c>
      <c r="Y192" t="str">
        <f>LEFT(F192,3)&amp;MID(B192,2,3)&amp;LEFT(I192,2)</f>
        <v>Sne006Ah</v>
      </c>
      <c r="Z192" t="str">
        <f>IF(ISNUMBER(SEARCH("@",T192)),LOWER(TRIM(T192)),"invalid email")</f>
        <v>sneha.joshi@company.com</v>
      </c>
      <c r="AA192">
        <f ca="1">IF(H191="","",IFERROR(DATEDIF(IF(ISNUMBER(H191),H191,DATE(VALUE(RIGHT(H191,4)),VALUE(MID(H191,3,2)),VALUE(LEFT(H191,2)))),TODAY(),"Y"),""))</f>
        <v>37</v>
      </c>
      <c r="AB192" t="str">
        <f>IF(OR(D192="",E192=""),"",IFERROR(DATE(MID(E192,7,4),MID(E192,4,2),LEFT(E192,2))-DATE(MID(D192,7,4),MID(D192,4,2),LEFT(D192,2)),""))</f>
        <v/>
      </c>
      <c r="AC192" t="str">
        <f>IF(E192="","Pending",IF(AB192&lt;=5,"On time","Delayed"))</f>
        <v>Delayed</v>
      </c>
      <c r="AD192" s="29" t="str">
        <f>IF(TRIM(S192)="","Not Assigned",S192)</f>
        <v>Neha</v>
      </c>
      <c r="AE192" t="str">
        <f>PROPER(TRIM(F192))</f>
        <v>Sneha Joshi</v>
      </c>
      <c r="AF192" t="str">
        <f>PROPER(TRIM(K192))</f>
        <v>Home Appliances</v>
      </c>
      <c r="AG192" t="str">
        <f>PROPER(TRIM(J192))</f>
        <v>West</v>
      </c>
      <c r="AH192" t="str">
        <f t="shared" si="4"/>
        <v>Home Appliances</v>
      </c>
      <c r="AI192" t="str">
        <f t="shared" si="5"/>
        <v>Home Appliances</v>
      </c>
      <c r="AK192">
        <f>IF(COUNTIF($A$2:A192,A192)=1,1,0)</f>
        <v>1</v>
      </c>
    </row>
    <row r="193" spans="1:37">
      <c r="A193" s="9" t="s">
        <v>676</v>
      </c>
      <c r="B193" s="10" t="s">
        <v>275</v>
      </c>
      <c r="C193" s="10" t="s">
        <v>347</v>
      </c>
      <c r="D193" s="10" t="s">
        <v>178</v>
      </c>
      <c r="E193" s="11">
        <v>45905</v>
      </c>
      <c r="F193" s="10" t="s">
        <v>328</v>
      </c>
      <c r="G193" s="10" t="s">
        <v>269</v>
      </c>
      <c r="H193" s="10" t="s">
        <v>677</v>
      </c>
      <c r="I193" s="10" t="s">
        <v>260</v>
      </c>
      <c r="J193" s="10" t="s">
        <v>261</v>
      </c>
      <c r="K193" s="10" t="s">
        <v>295</v>
      </c>
      <c r="L193" s="10" t="s">
        <v>349</v>
      </c>
      <c r="M193" s="10">
        <v>7</v>
      </c>
      <c r="N193" s="10">
        <v>20</v>
      </c>
      <c r="O193" s="10">
        <v>10</v>
      </c>
      <c r="P193" s="10">
        <v>126</v>
      </c>
      <c r="Q193" s="10">
        <v>4</v>
      </c>
      <c r="R193" s="10" t="s">
        <v>272</v>
      </c>
      <c r="S193" s="10" t="s">
        <v>246</v>
      </c>
      <c r="T193" s="10" t="s">
        <v>278</v>
      </c>
      <c r="U193" s="10">
        <v>9734108795</v>
      </c>
      <c r="V193" s="12" t="s">
        <v>257</v>
      </c>
      <c r="W193" t="str">
        <f>IF(OR(Q193&lt;=2,V193="Cancelled"),"Blacklisted",IF(AND(P193&gt;100000,Q193&gt;=4,O193&lt;=10%,V193="Completed"),"Platinum",IF(AND(P193&gt;=50000,Q193&gt;=3,V193="Completed"),"Gold",IF(AND(P193&lt;50000,V193="Completed"),"Silver",""))))</f>
        <v>Silver</v>
      </c>
      <c r="X193" t="str">
        <f>PROPER(TRIM(F193))</f>
        <v>Arjun Rao</v>
      </c>
      <c r="Y193" t="str">
        <f>LEFT(F193,3)&amp;MID(B193,2,3)&amp;LEFT(I193,2)</f>
        <v>Arj007De</v>
      </c>
      <c r="Z193" t="str">
        <f>IF(ISNUMBER(SEARCH("@",T193)),LOWER(TRIM(T193)),"invalid email")</f>
        <v>arjun.rao@company.com</v>
      </c>
      <c r="AA193">
        <f ca="1">IF(H192="","",IFERROR(DATEDIF(IF(ISNUMBER(H192),H192,DATE(VALUE(RIGHT(H192,4)),VALUE(MID(H192,3,2)),VALUE(LEFT(H192,2)))),TODAY(),"Y"),""))</f>
        <v>28</v>
      </c>
      <c r="AB193" t="str">
        <f>IF(OR(D193="",E193=""),"",IFERROR(DATE(MID(E193,7,4),MID(E193,4,2),LEFT(E193,2))-DATE(MID(D193,7,4),MID(D193,4,2),LEFT(D193,2)),""))</f>
        <v/>
      </c>
      <c r="AC193" t="str">
        <f>IF(E193="","Pending",IF(AB193&lt;=5,"On time","Delayed"))</f>
        <v>Delayed</v>
      </c>
      <c r="AD193" s="29" t="str">
        <f>IF(TRIM(S193)="","Not Assigned",S193)</f>
        <v>Aisha</v>
      </c>
      <c r="AE193" t="str">
        <f>PROPER(TRIM(F193))</f>
        <v>Arjun Rao</v>
      </c>
      <c r="AF193" t="str">
        <f>PROPER(TRIM(K193))</f>
        <v>Stationery</v>
      </c>
      <c r="AG193" t="str">
        <f>PROPER(TRIM(J193))</f>
        <v>North</v>
      </c>
      <c r="AH193" t="str">
        <f t="shared" si="4"/>
        <v>Stationery</v>
      </c>
      <c r="AI193" t="str">
        <f t="shared" si="5"/>
        <v>Stationery</v>
      </c>
      <c r="AK193">
        <f>IF(COUNTIF($A$2:A193,A193)=1,1,0)</f>
        <v>1</v>
      </c>
    </row>
    <row r="194" spans="1:37">
      <c r="A194" s="4" t="s">
        <v>678</v>
      </c>
      <c r="B194" s="5" t="s">
        <v>346</v>
      </c>
      <c r="C194" s="5" t="s">
        <v>322</v>
      </c>
      <c r="D194" s="6">
        <v>46327</v>
      </c>
      <c r="E194" s="5" t="s">
        <v>23</v>
      </c>
      <c r="F194" s="5" t="s">
        <v>348</v>
      </c>
      <c r="G194" s="5" t="s">
        <v>269</v>
      </c>
      <c r="H194" s="5" t="s">
        <v>679</v>
      </c>
      <c r="I194" s="5" t="s">
        <v>252</v>
      </c>
      <c r="J194" s="5" t="s">
        <v>242</v>
      </c>
      <c r="K194" s="5" t="s">
        <v>15</v>
      </c>
      <c r="L194" s="5" t="s">
        <v>325</v>
      </c>
      <c r="M194" s="5">
        <v>19</v>
      </c>
      <c r="N194" s="5">
        <v>8500</v>
      </c>
      <c r="O194" s="5">
        <v>20</v>
      </c>
      <c r="P194" s="5">
        <v>129200</v>
      </c>
      <c r="Q194" s="5">
        <v>3</v>
      </c>
      <c r="R194" s="5" t="s">
        <v>245</v>
      </c>
      <c r="S194" s="5" t="s">
        <v>246</v>
      </c>
      <c r="T194" s="5" t="s">
        <v>350</v>
      </c>
      <c r="U194" s="5">
        <v>9799597413</v>
      </c>
      <c r="V194" s="8" t="s">
        <v>248</v>
      </c>
      <c r="W194" t="str">
        <f>IF(OR(Q194&lt;=2,V194="Cancelled"),"Blacklisted",IF(AND(P194&gt;100000,Q194&gt;=4,O194&lt;=10%,V194="Completed"),"Platinum",IF(AND(P194&gt;=50000,Q194&gt;=3,V194="Completed"),"Gold",IF(AND(P194&lt;50000,V194="Completed"),"Silver",""))))</f>
        <v/>
      </c>
      <c r="X194" t="str">
        <f>PROPER(TRIM(F194))</f>
        <v>Vikas Mehta</v>
      </c>
      <c r="Y194" t="str">
        <f>LEFT(F194,3)&amp;MID(B194,2,3)&amp;LEFT(I194,2)</f>
        <v>Vik005Hy</v>
      </c>
      <c r="Z194" t="str">
        <f>IF(ISNUMBER(SEARCH("@",T194)),LOWER(TRIM(T194)),"invalid email")</f>
        <v>vikas.mehta@company.com</v>
      </c>
      <c r="AA194" t="str">
        <f ca="1">IF(H193="","",IFERROR(DATEDIF(IF(ISNUMBER(H193),H193,DATE(VALUE(RIGHT(H193,4)),VALUE(MID(H193,3,2)),VALUE(LEFT(H193,2)))),TODAY(),"Y"),""))</f>
        <v/>
      </c>
      <c r="AB194" t="str">
        <f>IF(OR(D194="",E194=""),"",IFERROR(DATE(MID(E194,7,4),MID(E194,4,2),LEFT(E194,2))-DATE(MID(D194,7,4),MID(D194,4,2),LEFT(D194,2)),""))</f>
        <v/>
      </c>
      <c r="AC194" t="str">
        <f>IF(E194="","Pending",IF(AB194&lt;=5,"On time","Delayed"))</f>
        <v>Delayed</v>
      </c>
      <c r="AD194" s="29" t="str">
        <f>IF(TRIM(S194)="","Not Assigned",S194)</f>
        <v>Aisha</v>
      </c>
      <c r="AE194" t="str">
        <f>PROPER(TRIM(F194))</f>
        <v>Vikas Mehta</v>
      </c>
      <c r="AF194" t="str">
        <f>PROPER(TRIM(K194))</f>
        <v>Home Appliances</v>
      </c>
      <c r="AG194" t="str">
        <f>PROPER(TRIM(J194))</f>
        <v>South</v>
      </c>
      <c r="AH194" t="str">
        <f t="shared" si="4"/>
        <v>Home Appliances</v>
      </c>
      <c r="AI194" t="str">
        <f t="shared" si="5"/>
        <v>Home Appliances</v>
      </c>
      <c r="AK194">
        <f>IF(COUNTIF($A$2:A194,A194)=1,1,0)</f>
        <v>1</v>
      </c>
    </row>
    <row r="195" spans="1:37">
      <c r="A195" s="9" t="s">
        <v>680</v>
      </c>
      <c r="B195" s="10" t="s">
        <v>284</v>
      </c>
      <c r="C195" s="10" t="s">
        <v>294</v>
      </c>
      <c r="D195" s="11">
        <v>45660</v>
      </c>
      <c r="E195" s="11">
        <v>45811</v>
      </c>
      <c r="F195" s="10" t="s">
        <v>285</v>
      </c>
      <c r="G195" s="10" t="s">
        <v>239</v>
      </c>
      <c r="H195" s="10" t="s">
        <v>681</v>
      </c>
      <c r="I195" s="10" t="s">
        <v>291</v>
      </c>
      <c r="J195" s="10" t="s">
        <v>287</v>
      </c>
      <c r="K195" s="10" t="s">
        <v>295</v>
      </c>
      <c r="L195" s="10" t="s">
        <v>296</v>
      </c>
      <c r="M195" s="10">
        <v>16</v>
      </c>
      <c r="N195" s="10">
        <v>60</v>
      </c>
      <c r="O195" s="10">
        <v>0</v>
      </c>
      <c r="P195" s="10">
        <v>960</v>
      </c>
      <c r="Q195" s="10">
        <v>2</v>
      </c>
      <c r="R195" s="10" t="s">
        <v>245</v>
      </c>
      <c r="S195" s="10" t="s">
        <v>292</v>
      </c>
      <c r="T195" s="10" t="s">
        <v>308</v>
      </c>
      <c r="U195" s="10">
        <v>9688987266</v>
      </c>
      <c r="V195" s="12" t="s">
        <v>257</v>
      </c>
      <c r="W195" t="str">
        <f>IF(OR(Q195&lt;=2,V195="Cancelled"),"Blacklisted",IF(AND(P195&gt;100000,Q195&gt;=4,O195&lt;=10%,V195="Completed"),"Platinum",IF(AND(P195&gt;=50000,Q195&gt;=3,V195="Completed"),"Gold",IF(AND(P195&lt;50000,V195="Completed"),"Silver",""))))</f>
        <v>Blacklisted</v>
      </c>
      <c r="X195" t="str">
        <f>PROPER(TRIM(F195))</f>
        <v>Priya Patel</v>
      </c>
      <c r="Y195" t="str">
        <f>LEFT(F195,3)&amp;MID(B195,2,3)&amp;LEFT(I195,2)</f>
        <v>Pri002Pu</v>
      </c>
      <c r="Z195" t="str">
        <f>IF(ISNUMBER(SEARCH("@",T195)),LOWER(TRIM(T195)),"invalid email")</f>
        <v>priya.patel@company.com</v>
      </c>
      <c r="AA195" t="str">
        <f ca="1">IF(H194="","",IFERROR(DATEDIF(IF(ISNUMBER(H194),H194,DATE(VALUE(RIGHT(H194,4)),VALUE(MID(H194,3,2)),VALUE(LEFT(H194,2)))),TODAY(),"Y"),""))</f>
        <v/>
      </c>
      <c r="AB195" t="str">
        <f>IF(OR(D195="",E195=""),"",IFERROR(DATE(MID(E195,7,4),MID(E195,4,2),LEFT(E195,2))-DATE(MID(D195,7,4),MID(D195,4,2),LEFT(D195,2)),""))</f>
        <v/>
      </c>
      <c r="AC195" t="str">
        <f>IF(E195="","Pending",IF(AB195&lt;=5,"On time","Delayed"))</f>
        <v>Delayed</v>
      </c>
      <c r="AD195" s="29" t="str">
        <f>IF(TRIM(S195)="","Not Assigned",S195)</f>
        <v>Neha</v>
      </c>
      <c r="AE195" t="str">
        <f>PROPER(TRIM(F195))</f>
        <v>Priya Patel</v>
      </c>
      <c r="AF195" t="str">
        <f>PROPER(TRIM(K195))</f>
        <v>Stationery</v>
      </c>
      <c r="AG195" t="str">
        <f>PROPER(TRIM(J195))</f>
        <v>West</v>
      </c>
      <c r="AH195" t="str">
        <f t="shared" ref="AH195:AH258" si="6">PROPER(TRIM(K195))</f>
        <v>Stationery</v>
      </c>
      <c r="AI195" t="str">
        <f t="shared" ref="AI195:AI258" si="7">IF(OR(LOWER(TRIM(K195))="electronic",LOWER(TRIM(K195))="electronics"),"Electronics",PROPER(TRIM(K195)))</f>
        <v>Stationery</v>
      </c>
      <c r="AK195">
        <f>IF(COUNTIF($A$2:A195,A195)=1,1,0)</f>
        <v>1</v>
      </c>
    </row>
    <row r="196" spans="1:37">
      <c r="A196" s="4" t="s">
        <v>682</v>
      </c>
      <c r="B196" s="5" t="s">
        <v>346</v>
      </c>
      <c r="C196" s="5" t="s">
        <v>280</v>
      </c>
      <c r="D196" s="5" t="s">
        <v>33</v>
      </c>
      <c r="E196" s="5" t="s">
        <v>166</v>
      </c>
      <c r="F196" s="5" t="s">
        <v>348</v>
      </c>
      <c r="G196" s="5" t="s">
        <v>269</v>
      </c>
      <c r="H196" s="5" t="s">
        <v>683</v>
      </c>
      <c r="I196" s="5" t="s">
        <v>241</v>
      </c>
      <c r="J196" s="5" t="s">
        <v>242</v>
      </c>
      <c r="K196" s="5" t="s">
        <v>684</v>
      </c>
      <c r="L196" s="5" t="s">
        <v>282</v>
      </c>
      <c r="M196" s="5">
        <v>18</v>
      </c>
      <c r="N196" s="5">
        <v>3500</v>
      </c>
      <c r="O196" s="5">
        <v>5</v>
      </c>
      <c r="P196" s="5">
        <v>59850</v>
      </c>
      <c r="Q196" s="5">
        <v>1</v>
      </c>
      <c r="R196" s="5" t="s">
        <v>277</v>
      </c>
      <c r="S196" s="5" t="s">
        <v>292</v>
      </c>
      <c r="T196" s="5" t="s">
        <v>350</v>
      </c>
      <c r="U196" s="5">
        <v>9867169037</v>
      </c>
      <c r="V196" s="8" t="s">
        <v>248</v>
      </c>
      <c r="W196" t="str">
        <f>IF(OR(Q196&lt;=2,V196="Cancelled"),"Blacklisted",IF(AND(P196&gt;100000,Q196&gt;=4,O196&lt;=10%,V196="Completed"),"Platinum",IF(AND(P196&gt;=50000,Q196&gt;=3,V196="Completed"),"Gold",IF(AND(P196&lt;50000,V196="Completed"),"Silver",""))))</f>
        <v>Blacklisted</v>
      </c>
      <c r="X196" t="str">
        <f>PROPER(TRIM(F196))</f>
        <v>Vikas Mehta</v>
      </c>
      <c r="Y196" t="str">
        <f>LEFT(F196,3)&amp;MID(B196,2,3)&amp;LEFT(I196,2)</f>
        <v>Vik005Be</v>
      </c>
      <c r="Z196" t="str">
        <f>IF(ISNUMBER(SEARCH("@",T196)),LOWER(TRIM(T196)),"invalid email")</f>
        <v>vikas.mehta@company.com</v>
      </c>
      <c r="AA196" t="str">
        <f ca="1">IF(H195="","",IFERROR(DATEDIF(IF(ISNUMBER(H195),H195,DATE(VALUE(RIGHT(H195,4)),VALUE(MID(H195,3,2)),VALUE(LEFT(H195,2)))),TODAY(),"Y"),""))</f>
        <v/>
      </c>
      <c r="AB196">
        <f>IF(OR(D196="",E196=""),"",IFERROR(DATE(MID(E196,7,4),MID(E196,4,2),LEFT(E196,2))-DATE(MID(D196,7,4),MID(D196,4,2),LEFT(D196,2)),""))</f>
        <v>12</v>
      </c>
      <c r="AC196" t="str">
        <f>IF(E196="","Pending",IF(AB196&lt;=5,"On time","Delayed"))</f>
        <v>Delayed</v>
      </c>
      <c r="AD196" s="29" t="str">
        <f>IF(TRIM(S196)="","Not Assigned",S196)</f>
        <v>Neha</v>
      </c>
      <c r="AE196" t="str">
        <f>PROPER(TRIM(F196))</f>
        <v>Vikas Mehta</v>
      </c>
      <c r="AF196" t="str">
        <f>PROPER(TRIM(K196))</f>
        <v>Stationary</v>
      </c>
      <c r="AG196" t="str">
        <f>PROPER(TRIM(J196))</f>
        <v>South</v>
      </c>
      <c r="AH196" t="str">
        <f t="shared" si="6"/>
        <v>Stationary</v>
      </c>
      <c r="AI196" t="str">
        <f t="shared" si="7"/>
        <v>Stationary</v>
      </c>
      <c r="AK196">
        <f>IF(COUNTIF($A$2:A196,A196)=1,1,0)</f>
        <v>1</v>
      </c>
    </row>
    <row r="197" spans="1:37">
      <c r="A197" s="9" t="s">
        <v>685</v>
      </c>
      <c r="B197" s="10" t="s">
        <v>284</v>
      </c>
      <c r="C197" s="10" t="s">
        <v>236</v>
      </c>
      <c r="D197" s="10" t="s">
        <v>86</v>
      </c>
      <c r="E197" s="11">
        <v>45660</v>
      </c>
      <c r="F197" s="10" t="s">
        <v>285</v>
      </c>
      <c r="G197" s="10" t="s">
        <v>239</v>
      </c>
      <c r="H197" s="10" t="s">
        <v>686</v>
      </c>
      <c r="I197" s="10" t="s">
        <v>342</v>
      </c>
      <c r="J197" s="10" t="s">
        <v>261</v>
      </c>
      <c r="K197" s="10" t="s">
        <v>243</v>
      </c>
      <c r="L197" s="10" t="s">
        <v>244</v>
      </c>
      <c r="M197" s="10">
        <v>16</v>
      </c>
      <c r="N197" s="10">
        <v>55000</v>
      </c>
      <c r="O197" s="10">
        <v>0</v>
      </c>
      <c r="P197" s="10">
        <v>880000</v>
      </c>
      <c r="Q197" s="10">
        <v>1</v>
      </c>
      <c r="R197" s="10" t="s">
        <v>272</v>
      </c>
      <c r="S197" s="10" t="s">
        <v>246</v>
      </c>
      <c r="T197" s="10" t="s">
        <v>308</v>
      </c>
      <c r="U197" s="10">
        <v>9485547425</v>
      </c>
      <c r="V197" s="12" t="s">
        <v>265</v>
      </c>
      <c r="W197" t="str">
        <f>IF(OR(Q197&lt;=2,V197="Cancelled"),"Blacklisted",IF(AND(P197&gt;100000,Q197&gt;=4,O197&lt;=10%,V197="Completed"),"Platinum",IF(AND(P197&gt;=50000,Q197&gt;=3,V197="Completed"),"Gold",IF(AND(P197&lt;50000,V197="Completed"),"Silver",""))))</f>
        <v>Blacklisted</v>
      </c>
      <c r="X197" t="str">
        <f>PROPER(TRIM(F197))</f>
        <v>Priya Patel</v>
      </c>
      <c r="Y197" t="str">
        <f>LEFT(F197,3)&amp;MID(B197,2,3)&amp;LEFT(I197,2)</f>
        <v>Pri002Ja</v>
      </c>
      <c r="Z197" t="str">
        <f>IF(ISNUMBER(SEARCH("@",T197)),LOWER(TRIM(T197)),"invalid email")</f>
        <v>priya.patel@company.com</v>
      </c>
      <c r="AA197" t="str">
        <f ca="1">IF(H196="","",IFERROR(DATEDIF(IF(ISNUMBER(H196),H196,DATE(VALUE(RIGHT(H196,4)),VALUE(MID(H196,3,2)),VALUE(LEFT(H196,2)))),TODAY(),"Y"),""))</f>
        <v/>
      </c>
      <c r="AB197" t="str">
        <f>IF(OR(D197="",E197=""),"",IFERROR(DATE(MID(E197,7,4),MID(E197,4,2),LEFT(E197,2))-DATE(MID(D197,7,4),MID(D197,4,2),LEFT(D197,2)),""))</f>
        <v/>
      </c>
      <c r="AC197" t="str">
        <f>IF(E197="","Pending",IF(AB197&lt;=5,"On time","Delayed"))</f>
        <v>Delayed</v>
      </c>
      <c r="AD197" s="29" t="str">
        <f>IF(TRIM(S197)="","Not Assigned",S197)</f>
        <v>Aisha</v>
      </c>
      <c r="AE197" t="str">
        <f>PROPER(TRIM(F197))</f>
        <v>Priya Patel</v>
      </c>
      <c r="AF197" t="str">
        <f>PROPER(TRIM(K197))</f>
        <v>Electronics</v>
      </c>
      <c r="AG197" t="str">
        <f>PROPER(TRIM(J197))</f>
        <v>North</v>
      </c>
      <c r="AH197" t="str">
        <f t="shared" si="6"/>
        <v>Electronics</v>
      </c>
      <c r="AI197" t="str">
        <f t="shared" si="7"/>
        <v>Electronics</v>
      </c>
      <c r="AK197">
        <f>IF(COUNTIF($A$2:A197,A197)=1,1,0)</f>
        <v>1</v>
      </c>
    </row>
    <row r="198" spans="1:37">
      <c r="A198" s="4" t="s">
        <v>687</v>
      </c>
      <c r="B198" s="5" t="s">
        <v>346</v>
      </c>
      <c r="C198" s="5" t="s">
        <v>267</v>
      </c>
      <c r="D198" s="6">
        <v>45810</v>
      </c>
      <c r="E198" s="6">
        <v>45902</v>
      </c>
      <c r="F198" s="5" t="s">
        <v>348</v>
      </c>
      <c r="G198" s="5" t="s">
        <v>269</v>
      </c>
      <c r="H198" s="6">
        <v>34742</v>
      </c>
      <c r="I198" s="5" t="s">
        <v>306</v>
      </c>
      <c r="J198" s="5" t="s">
        <v>287</v>
      </c>
      <c r="K198" s="5" t="s">
        <v>243</v>
      </c>
      <c r="L198" s="5" t="s">
        <v>271</v>
      </c>
      <c r="M198" s="5">
        <v>18</v>
      </c>
      <c r="N198" s="5">
        <v>1200</v>
      </c>
      <c r="O198" s="5">
        <v>15</v>
      </c>
      <c r="P198" s="5">
        <v>18360</v>
      </c>
      <c r="Q198" s="5">
        <v>2</v>
      </c>
      <c r="R198" s="5" t="s">
        <v>245</v>
      </c>
      <c r="S198" s="5" t="s">
        <v>255</v>
      </c>
      <c r="T198" s="5" t="s">
        <v>350</v>
      </c>
      <c r="U198" s="5">
        <v>9889733076</v>
      </c>
      <c r="V198" s="8" t="s">
        <v>265</v>
      </c>
      <c r="W198" t="str">
        <f>IF(OR(Q198&lt;=2,V198="Cancelled"),"Blacklisted",IF(AND(P198&gt;100000,Q198&gt;=4,O198&lt;=10%,V198="Completed"),"Platinum",IF(AND(P198&gt;=50000,Q198&gt;=3,V198="Completed"),"Gold",IF(AND(P198&lt;50000,V198="Completed"),"Silver",""))))</f>
        <v>Blacklisted</v>
      </c>
      <c r="X198" t="str">
        <f>PROPER(TRIM(F198))</f>
        <v>Vikas Mehta</v>
      </c>
      <c r="Y198" t="str">
        <f>LEFT(F198,3)&amp;MID(B198,2,3)&amp;LEFT(I198,2)</f>
        <v>Vik005Ah</v>
      </c>
      <c r="Z198" t="str">
        <f>IF(ISNUMBER(SEARCH("@",T198)),LOWER(TRIM(T198)),"invalid email")</f>
        <v>vikas.mehta@company.com</v>
      </c>
      <c r="AA198" t="str">
        <f ca="1">IF(H197="","",IFERROR(DATEDIF(IF(ISNUMBER(H197),H197,DATE(VALUE(RIGHT(H197,4)),VALUE(MID(H197,3,2)),VALUE(LEFT(H197,2)))),TODAY(),"Y"),""))</f>
        <v/>
      </c>
      <c r="AB198" t="str">
        <f>IF(OR(D198="",E198=""),"",IFERROR(DATE(MID(E198,7,4),MID(E198,4,2),LEFT(E198,2))-DATE(MID(D198,7,4),MID(D198,4,2),LEFT(D198,2)),""))</f>
        <v/>
      </c>
      <c r="AC198" t="str">
        <f>IF(E198="","Pending",IF(AB198&lt;=5,"On time","Delayed"))</f>
        <v>Delayed</v>
      </c>
      <c r="AD198" s="29" t="str">
        <f>IF(TRIM(S198)="","Not Assigned",S198)</f>
        <v>Ritika</v>
      </c>
      <c r="AE198" t="str">
        <f>PROPER(TRIM(F198))</f>
        <v>Vikas Mehta</v>
      </c>
      <c r="AF198" t="str">
        <f>PROPER(TRIM(K198))</f>
        <v>Electronics</v>
      </c>
      <c r="AG198" t="str">
        <f>PROPER(TRIM(J198))</f>
        <v>West</v>
      </c>
      <c r="AH198" t="str">
        <f t="shared" si="6"/>
        <v>Electronics</v>
      </c>
      <c r="AI198" t="str">
        <f t="shared" si="7"/>
        <v>Electronics</v>
      </c>
      <c r="AK198">
        <f>IF(COUNTIF($A$2:A198,A198)=1,1,0)</f>
        <v>1</v>
      </c>
    </row>
    <row r="199" spans="1:37">
      <c r="A199" s="9" t="s">
        <v>688</v>
      </c>
      <c r="B199" s="10" t="s">
        <v>266</v>
      </c>
      <c r="C199" s="10" t="s">
        <v>362</v>
      </c>
      <c r="D199" s="10" t="s">
        <v>133</v>
      </c>
      <c r="E199" s="10" t="s">
        <v>689</v>
      </c>
      <c r="F199" s="10" t="s">
        <v>268</v>
      </c>
      <c r="G199" s="10" t="s">
        <v>269</v>
      </c>
      <c r="H199" s="11">
        <v>31327</v>
      </c>
      <c r="I199" s="10" t="s">
        <v>252</v>
      </c>
      <c r="J199" s="10" t="s">
        <v>242</v>
      </c>
      <c r="K199" s="10" t="s">
        <v>295</v>
      </c>
      <c r="L199" s="10" t="s">
        <v>363</v>
      </c>
      <c r="M199" s="10">
        <v>2</v>
      </c>
      <c r="N199" s="10">
        <v>45</v>
      </c>
      <c r="O199" s="10">
        <v>15</v>
      </c>
      <c r="P199" s="10">
        <v>76.5</v>
      </c>
      <c r="Q199" s="10">
        <v>5</v>
      </c>
      <c r="R199" s="10" t="s">
        <v>254</v>
      </c>
      <c r="S199" s="10" t="s">
        <v>246</v>
      </c>
      <c r="T199" s="10" t="s">
        <v>273</v>
      </c>
      <c r="U199" s="10">
        <v>9145434449</v>
      </c>
      <c r="V199" s="12" t="s">
        <v>265</v>
      </c>
      <c r="W199" t="str">
        <f>IF(OR(Q199&lt;=2,V199="Cancelled"),"Blacklisted",IF(AND(P199&gt;100000,Q199&gt;=4,O199&lt;=10%,V199="Completed"),"Platinum",IF(AND(P199&gt;=50000,Q199&gt;=3,V199="Completed"),"Gold",IF(AND(P199&lt;50000,V199="Completed"),"Silver",""))))</f>
        <v>Blacklisted</v>
      </c>
      <c r="X199" t="str">
        <f>PROPER(TRIM(F199))</f>
        <v>Mohit Verma</v>
      </c>
      <c r="Y199" t="str">
        <f>LEFT(F199,3)&amp;MID(B199,2,3)&amp;LEFT(I199,2)</f>
        <v>Moh009Hy</v>
      </c>
      <c r="Z199" t="str">
        <f>IF(ISNUMBER(SEARCH("@",T199)),LOWER(TRIM(T199)),"invalid email")</f>
        <v>mohit.verma@company.com</v>
      </c>
      <c r="AA199">
        <f ca="1">IF(H198="","",IFERROR(DATEDIF(IF(ISNUMBER(H198),H198,DATE(VALUE(RIGHT(H198,4)),VALUE(MID(H198,3,2)),VALUE(LEFT(H198,2)))),TODAY(),"Y"),""))</f>
        <v>31</v>
      </c>
      <c r="AB199">
        <f>IF(OR(D199="",E199=""),"",IFERROR(DATE(MID(E199,7,4),MID(E199,4,2),LEFT(E199,2))-DATE(MID(D199,7,4),MID(D199,4,2),LEFT(D199,2)),""))</f>
        <v>3</v>
      </c>
      <c r="AC199" t="str">
        <f>IF(E199="","Pending",IF(AB199&lt;=5,"On time","Delayed"))</f>
        <v>On time</v>
      </c>
      <c r="AD199" s="29" t="str">
        <f>IF(TRIM(S199)="","Not Assigned",S199)</f>
        <v>Aisha</v>
      </c>
      <c r="AE199" t="str">
        <f>PROPER(TRIM(F199))</f>
        <v>Mohit Verma</v>
      </c>
      <c r="AF199" t="str">
        <f>PROPER(TRIM(K199))</f>
        <v>Stationery</v>
      </c>
      <c r="AG199" t="str">
        <f>PROPER(TRIM(J199))</f>
        <v>South</v>
      </c>
      <c r="AH199" t="str">
        <f t="shared" si="6"/>
        <v>Stationery</v>
      </c>
      <c r="AI199" t="str">
        <f t="shared" si="7"/>
        <v>Stationery</v>
      </c>
      <c r="AK199">
        <f>IF(COUNTIF($A$2:A199,A199)=1,1,0)</f>
        <v>1</v>
      </c>
    </row>
    <row r="200" spans="1:37">
      <c r="A200" s="4" t="s">
        <v>690</v>
      </c>
      <c r="B200" s="5" t="s">
        <v>235</v>
      </c>
      <c r="C200" s="5" t="s">
        <v>322</v>
      </c>
      <c r="D200" s="6">
        <v>46174</v>
      </c>
      <c r="E200" s="6">
        <v>46357</v>
      </c>
      <c r="F200" s="5" t="s">
        <v>318</v>
      </c>
      <c r="G200" s="5" t="s">
        <v>239</v>
      </c>
      <c r="H200" s="5" t="s">
        <v>691</v>
      </c>
      <c r="I200" s="5" t="s">
        <v>241</v>
      </c>
      <c r="J200" s="5" t="s">
        <v>242</v>
      </c>
      <c r="K200" s="5" t="s">
        <v>15</v>
      </c>
      <c r="L200" s="5" t="s">
        <v>325</v>
      </c>
      <c r="M200" s="5">
        <v>20</v>
      </c>
      <c r="N200" s="5">
        <v>8500</v>
      </c>
      <c r="O200" s="5">
        <v>0</v>
      </c>
      <c r="P200" s="5">
        <v>170000</v>
      </c>
      <c r="Q200" s="5">
        <v>4</v>
      </c>
      <c r="R200" s="5" t="s">
        <v>245</v>
      </c>
      <c r="S200" s="5" t="s">
        <v>246</v>
      </c>
      <c r="T200" s="5" t="s">
        <v>247</v>
      </c>
      <c r="U200" s="5">
        <v>9598942148</v>
      </c>
      <c r="V200" s="8" t="s">
        <v>265</v>
      </c>
      <c r="W200" t="str">
        <f>IF(OR(Q200&lt;=2,V200="Cancelled"),"Blacklisted",IF(AND(P200&gt;100000,Q200&gt;=4,O200&lt;=10%,V200="Completed"),"Platinum",IF(AND(P200&gt;=50000,Q200&gt;=3,V200="Completed"),"Gold",IF(AND(P200&lt;50000,V200="Completed"),"Silver",""))))</f>
        <v>Blacklisted</v>
      </c>
      <c r="X200" t="str">
        <f>PROPER(TRIM(F200))</f>
        <v>Pooja Shah</v>
      </c>
      <c r="Y200" t="str">
        <f>LEFT(F200,3)&amp;MID(B200,2,3)&amp;LEFT(I200,2)</f>
        <v>Poo010Be</v>
      </c>
      <c r="Z200" t="str">
        <f>IF(ISNUMBER(SEARCH("@",T200)),LOWER(TRIM(T200)),"invalid email")</f>
        <v>pooja.shah@company.com</v>
      </c>
      <c r="AA200">
        <f ca="1">IF(H199="","",IFERROR(DATEDIF(IF(ISNUMBER(H199),H199,DATE(VALUE(RIGHT(H199,4)),VALUE(MID(H199,3,2)),VALUE(LEFT(H199,2)))),TODAY(),"Y"),""))</f>
        <v>41</v>
      </c>
      <c r="AB200" t="str">
        <f>IF(OR(D200="",E200=""),"",IFERROR(DATE(MID(E200,7,4),MID(E200,4,2),LEFT(E200,2))-DATE(MID(D200,7,4),MID(D200,4,2),LEFT(D200,2)),""))</f>
        <v/>
      </c>
      <c r="AC200" t="str">
        <f>IF(E200="","Pending",IF(AB200&lt;=5,"On time","Delayed"))</f>
        <v>Delayed</v>
      </c>
      <c r="AD200" s="29" t="str">
        <f>IF(TRIM(S200)="","Not Assigned",S200)</f>
        <v>Aisha</v>
      </c>
      <c r="AE200" t="str">
        <f>PROPER(TRIM(F200))</f>
        <v>Pooja Shah</v>
      </c>
      <c r="AF200" t="str">
        <f>PROPER(TRIM(K200))</f>
        <v>Home Appliances</v>
      </c>
      <c r="AG200" t="str">
        <f>PROPER(TRIM(J200))</f>
        <v>South</v>
      </c>
      <c r="AH200" t="str">
        <f t="shared" si="6"/>
        <v>Home Appliances</v>
      </c>
      <c r="AI200" t="str">
        <f t="shared" si="7"/>
        <v>Home Appliances</v>
      </c>
      <c r="AK200">
        <f>IF(COUNTIF($A$2:A200,A200)=1,1,0)</f>
        <v>1</v>
      </c>
    </row>
    <row r="201" spans="1:37">
      <c r="A201" s="9" t="s">
        <v>692</v>
      </c>
      <c r="B201" s="10" t="s">
        <v>299</v>
      </c>
      <c r="C201" s="10" t="s">
        <v>280</v>
      </c>
      <c r="D201" s="11">
        <v>46237</v>
      </c>
      <c r="E201" s="11">
        <v>46268</v>
      </c>
      <c r="F201" s="10" t="s">
        <v>301</v>
      </c>
      <c r="G201" s="10" t="s">
        <v>269</v>
      </c>
      <c r="H201" s="10" t="s">
        <v>464</v>
      </c>
      <c r="I201" s="10" t="s">
        <v>342</v>
      </c>
      <c r="J201" s="10" t="s">
        <v>261</v>
      </c>
      <c r="K201" s="10" t="s">
        <v>15</v>
      </c>
      <c r="L201" s="10" t="s">
        <v>282</v>
      </c>
      <c r="M201" s="10">
        <v>6</v>
      </c>
      <c r="N201" s="10">
        <v>3500</v>
      </c>
      <c r="O201" s="10">
        <v>5</v>
      </c>
      <c r="P201" s="10">
        <v>19950</v>
      </c>
      <c r="Q201" s="10">
        <v>1</v>
      </c>
      <c r="R201" s="10" t="s">
        <v>254</v>
      </c>
      <c r="S201" s="10" t="s">
        <v>312</v>
      </c>
      <c r="T201" s="10" t="s">
        <v>302</v>
      </c>
      <c r="U201" s="10">
        <v>9599252705</v>
      </c>
      <c r="V201" s="12" t="s">
        <v>257</v>
      </c>
      <c r="W201" t="str">
        <f>IF(OR(Q201&lt;=2,V201="Cancelled"),"Blacklisted",IF(AND(P201&gt;100000,Q201&gt;=4,O201&lt;=10%,V201="Completed"),"Platinum",IF(AND(P201&gt;=50000,Q201&gt;=3,V201="Completed"),"Gold",IF(AND(P201&lt;50000,V201="Completed"),"Silver",""))))</f>
        <v>Blacklisted</v>
      </c>
      <c r="X201" t="str">
        <f>PROPER(TRIM(F201))</f>
        <v>Rohit Singh</v>
      </c>
      <c r="Y201" t="str">
        <f>LEFT(F201,3)&amp;MID(B201,2,3)&amp;LEFT(I201,2)</f>
        <v>Roh003Ja</v>
      </c>
      <c r="Z201" t="str">
        <f>IF(ISNUMBER(SEARCH("@",T201)),LOWER(TRIM(T201)),"invalid email")</f>
        <v>rohit.singh@company.com</v>
      </c>
      <c r="AA201" t="str">
        <f ca="1">IF(H200="","",IFERROR(DATEDIF(IF(ISNUMBER(H200),H200,DATE(VALUE(RIGHT(H200,4)),VALUE(MID(H200,3,2)),VALUE(LEFT(H200,2)))),TODAY(),"Y"),""))</f>
        <v/>
      </c>
      <c r="AB201" t="str">
        <f>IF(OR(D201="",E201=""),"",IFERROR(DATE(MID(E201,7,4),MID(E201,4,2),LEFT(E201,2))-DATE(MID(D201,7,4),MID(D201,4,2),LEFT(D201,2)),""))</f>
        <v/>
      </c>
      <c r="AC201" t="str">
        <f>IF(E201="","Pending",IF(AB201&lt;=5,"On time","Delayed"))</f>
        <v>Delayed</v>
      </c>
      <c r="AD201" s="29" t="str">
        <f>IF(TRIM(S201)="","Not Assigned",S201)</f>
        <v>Karan</v>
      </c>
      <c r="AE201" t="str">
        <f>PROPER(TRIM(F201))</f>
        <v>Rohit Singh</v>
      </c>
      <c r="AF201" t="str">
        <f>PROPER(TRIM(K201))</f>
        <v>Home Appliances</v>
      </c>
      <c r="AG201" t="str">
        <f>PROPER(TRIM(J201))</f>
        <v>North</v>
      </c>
      <c r="AH201" t="str">
        <f t="shared" si="6"/>
        <v>Home Appliances</v>
      </c>
      <c r="AI201" t="str">
        <f t="shared" si="7"/>
        <v>Home Appliances</v>
      </c>
      <c r="AK201">
        <f>IF(COUNTIF($A$2:A201,A201)=1,1,0)</f>
        <v>1</v>
      </c>
    </row>
    <row r="202" spans="1:37">
      <c r="A202" s="4" t="s">
        <v>693</v>
      </c>
      <c r="B202" s="5" t="s">
        <v>321</v>
      </c>
      <c r="C202" s="5" t="s">
        <v>362</v>
      </c>
      <c r="D202" s="6">
        <v>45787</v>
      </c>
      <c r="E202" s="6">
        <v>45910</v>
      </c>
      <c r="F202" s="5" t="s">
        <v>408</v>
      </c>
      <c r="G202" s="5" t="s">
        <v>239</v>
      </c>
      <c r="H202" s="5" t="s">
        <v>694</v>
      </c>
      <c r="I202" s="5" t="s">
        <v>291</v>
      </c>
      <c r="J202" s="5" t="s">
        <v>287</v>
      </c>
      <c r="K202" s="5" t="s">
        <v>295</v>
      </c>
      <c r="L202" s="5" t="s">
        <v>363</v>
      </c>
      <c r="M202" s="5">
        <v>8</v>
      </c>
      <c r="N202" s="5">
        <v>45</v>
      </c>
      <c r="O202" s="5">
        <v>5</v>
      </c>
      <c r="P202" s="5">
        <v>342</v>
      </c>
      <c r="Q202" s="5">
        <v>2</v>
      </c>
      <c r="R202" s="5" t="s">
        <v>254</v>
      </c>
      <c r="S202" s="5" t="s">
        <v>263</v>
      </c>
      <c r="T202" s="5" t="s">
        <v>326</v>
      </c>
      <c r="U202" s="5">
        <v>9626843681</v>
      </c>
      <c r="V202" s="8" t="s">
        <v>248</v>
      </c>
      <c r="W202" t="str">
        <f>IF(OR(Q202&lt;=2,V202="Cancelled"),"Blacklisted",IF(AND(P202&gt;100000,Q202&gt;=4,O202&lt;=10%,V202="Completed"),"Platinum",IF(AND(P202&gt;=50000,Q202&gt;=3,V202="Completed"),"Gold",IF(AND(P202&lt;50000,V202="Completed"),"Silver",""))))</f>
        <v>Blacklisted</v>
      </c>
      <c r="X202" t="str">
        <f>PROPER(TRIM(F202))</f>
        <v>Anita Gupta</v>
      </c>
      <c r="Y202" t="str">
        <f>LEFT(F202,3)&amp;MID(B202,2,3)&amp;LEFT(I202,2)</f>
        <v>Ani004Pu</v>
      </c>
      <c r="Z202" t="str">
        <f>IF(ISNUMBER(SEARCH("@",T202)),LOWER(TRIM(T202)),"invalid email")</f>
        <v>anita.gupta@company.com</v>
      </c>
      <c r="AA202" t="str">
        <f ca="1">IF(H201="","",IFERROR(DATEDIF(IF(ISNUMBER(H201),H201,DATE(VALUE(RIGHT(H201,4)),VALUE(MID(H201,3,2)),VALUE(LEFT(H201,2)))),TODAY(),"Y"),""))</f>
        <v/>
      </c>
      <c r="AB202" t="str">
        <f>IF(OR(D202="",E202=""),"",IFERROR(DATE(MID(E202,7,4),MID(E202,4,2),LEFT(E202,2))-DATE(MID(D202,7,4),MID(D202,4,2),LEFT(D202,2)),""))</f>
        <v/>
      </c>
      <c r="AC202" t="str">
        <f>IF(E202="","Pending",IF(AB202&lt;=5,"On time","Delayed"))</f>
        <v>Delayed</v>
      </c>
      <c r="AD202" s="29" t="str">
        <f>IF(TRIM(S202)="","Not Assigned",S202)</f>
        <v>Rahul</v>
      </c>
      <c r="AE202" t="str">
        <f>PROPER(TRIM(F202))</f>
        <v>Anita Gupta</v>
      </c>
      <c r="AF202" t="str">
        <f>PROPER(TRIM(K202))</f>
        <v>Stationery</v>
      </c>
      <c r="AG202" t="str">
        <f>PROPER(TRIM(J202))</f>
        <v>West</v>
      </c>
      <c r="AH202" t="str">
        <f t="shared" si="6"/>
        <v>Stationery</v>
      </c>
      <c r="AI202" t="str">
        <f t="shared" si="7"/>
        <v>Stationery</v>
      </c>
      <c r="AK202">
        <f>IF(COUNTIF($A$2:A202,A202)=1,1,0)</f>
        <v>1</v>
      </c>
    </row>
    <row r="203" spans="1:37">
      <c r="A203" s="9" t="s">
        <v>695</v>
      </c>
      <c r="B203" s="10" t="s">
        <v>392</v>
      </c>
      <c r="C203" s="10" t="s">
        <v>250</v>
      </c>
      <c r="D203" s="11">
        <v>45811</v>
      </c>
      <c r="E203" s="11">
        <v>45994</v>
      </c>
      <c r="F203" s="10" t="s">
        <v>323</v>
      </c>
      <c r="G203" s="10" t="s">
        <v>269</v>
      </c>
      <c r="H203" s="11">
        <v>29261</v>
      </c>
      <c r="I203" s="10" t="s">
        <v>286</v>
      </c>
      <c r="J203" s="10" t="s">
        <v>287</v>
      </c>
      <c r="K203" s="10" t="s">
        <v>15</v>
      </c>
      <c r="L203" s="10" t="s">
        <v>253</v>
      </c>
      <c r="M203" s="10">
        <v>18</v>
      </c>
      <c r="N203" s="10">
        <v>2200</v>
      </c>
      <c r="O203" s="10">
        <v>15</v>
      </c>
      <c r="P203" s="10">
        <v>33660</v>
      </c>
      <c r="Q203" s="10">
        <v>4</v>
      </c>
      <c r="R203" s="10" t="s">
        <v>272</v>
      </c>
      <c r="S203" s="10" t="s">
        <v>246</v>
      </c>
      <c r="T203" s="10" t="s">
        <v>395</v>
      </c>
      <c r="U203" s="10">
        <v>9934933215</v>
      </c>
      <c r="V203" s="12" t="s">
        <v>248</v>
      </c>
      <c r="W203" t="str">
        <f>IF(OR(Q203&lt;=2,V203="Cancelled"),"Blacklisted",IF(AND(P203&gt;100000,Q203&gt;=4,O203&lt;=10%,V203="Completed"),"Platinum",IF(AND(P203&gt;=50000,Q203&gt;=3,V203="Completed"),"Gold",IF(AND(P203&lt;50000,V203="Completed"),"Silver",""))))</f>
        <v/>
      </c>
      <c r="X203" t="str">
        <f>PROPER(TRIM(F203))</f>
        <v>Amit Sharma</v>
      </c>
      <c r="Y203" t="str">
        <f>LEFT(F203,3)&amp;MID(B203,2,3)&amp;LEFT(I203,2)</f>
        <v>Ami001Mu</v>
      </c>
      <c r="Z203" t="str">
        <f>IF(ISNUMBER(SEARCH("@",T203)),LOWER(TRIM(T203)),"invalid email")</f>
        <v>amit.sharma@company.com</v>
      </c>
      <c r="AA203" t="str">
        <f ca="1">IF(H202="","",IFERROR(DATEDIF(IF(ISNUMBER(H202),H202,DATE(VALUE(RIGHT(H202,4)),VALUE(MID(H202,3,2)),VALUE(LEFT(H202,2)))),TODAY(),"Y"),""))</f>
        <v/>
      </c>
      <c r="AB203" t="str">
        <f>IF(OR(D203="",E203=""),"",IFERROR(DATE(MID(E203,7,4),MID(E203,4,2),LEFT(E203,2))-DATE(MID(D203,7,4),MID(D203,4,2),LEFT(D203,2)),""))</f>
        <v/>
      </c>
      <c r="AC203" t="str">
        <f>IF(E203="","Pending",IF(AB203&lt;=5,"On time","Delayed"))</f>
        <v>Delayed</v>
      </c>
      <c r="AD203" s="29" t="str">
        <f>IF(TRIM(S203)="","Not Assigned",S203)</f>
        <v>Aisha</v>
      </c>
      <c r="AE203" t="str">
        <f>PROPER(TRIM(F203))</f>
        <v>Amit Sharma</v>
      </c>
      <c r="AF203" t="str">
        <f>PROPER(TRIM(K203))</f>
        <v>Home Appliances</v>
      </c>
      <c r="AG203" t="str">
        <f>PROPER(TRIM(J203))</f>
        <v>West</v>
      </c>
      <c r="AH203" t="str">
        <f t="shared" si="6"/>
        <v>Home Appliances</v>
      </c>
      <c r="AI203" t="str">
        <f t="shared" si="7"/>
        <v>Home Appliances</v>
      </c>
      <c r="AK203">
        <f>IF(COUNTIF($A$2:A203,A203)=1,1,0)</f>
        <v>1</v>
      </c>
    </row>
    <row r="204" spans="1:37">
      <c r="A204" s="4" t="s">
        <v>696</v>
      </c>
      <c r="B204" s="5" t="s">
        <v>346</v>
      </c>
      <c r="C204" s="5" t="s">
        <v>330</v>
      </c>
      <c r="D204" s="6">
        <v>46177</v>
      </c>
      <c r="E204" s="5" t="s">
        <v>33</v>
      </c>
      <c r="F204" s="5" t="s">
        <v>348</v>
      </c>
      <c r="G204" s="5" t="s">
        <v>269</v>
      </c>
      <c r="H204" s="5" t="s">
        <v>697</v>
      </c>
      <c r="I204" s="5" t="s">
        <v>252</v>
      </c>
      <c r="J204" s="5" t="s">
        <v>242</v>
      </c>
      <c r="K204" s="5" t="s">
        <v>243</v>
      </c>
      <c r="L204" s="5" t="s">
        <v>333</v>
      </c>
      <c r="M204" s="5">
        <v>18</v>
      </c>
      <c r="N204" s="5">
        <v>700</v>
      </c>
      <c r="O204" s="5">
        <v>15</v>
      </c>
      <c r="P204" s="5">
        <v>10710</v>
      </c>
      <c r="Q204" s="5">
        <v>3</v>
      </c>
      <c r="R204" s="5" t="s">
        <v>272</v>
      </c>
      <c r="S204" s="5" t="s">
        <v>312</v>
      </c>
      <c r="T204" s="5" t="s">
        <v>350</v>
      </c>
      <c r="U204" s="5">
        <v>9508025585</v>
      </c>
      <c r="V204" s="8" t="s">
        <v>265</v>
      </c>
      <c r="W204" t="str">
        <f>IF(OR(Q204&lt;=2,V204="Cancelled"),"Blacklisted",IF(AND(P204&gt;100000,Q204&gt;=4,O204&lt;=10%,V204="Completed"),"Platinum",IF(AND(P204&gt;=50000,Q204&gt;=3,V204="Completed"),"Gold",IF(AND(P204&lt;50000,V204="Completed"),"Silver",""))))</f>
        <v>Blacklisted</v>
      </c>
      <c r="X204" t="str">
        <f>PROPER(TRIM(F204))</f>
        <v>Vikas Mehta</v>
      </c>
      <c r="Y204" t="str">
        <f>LEFT(F204,3)&amp;MID(B204,2,3)&amp;LEFT(I204,2)</f>
        <v>Vik005Hy</v>
      </c>
      <c r="Z204" t="str">
        <f>IF(ISNUMBER(SEARCH("@",T204)),LOWER(TRIM(T204)),"invalid email")</f>
        <v>vikas.mehta@company.com</v>
      </c>
      <c r="AA204">
        <f ca="1">IF(H203="","",IFERROR(DATEDIF(IF(ISNUMBER(H203),H203,DATE(VALUE(RIGHT(H203,4)),VALUE(MID(H203,3,2)),VALUE(LEFT(H203,2)))),TODAY(),"Y"),""))</f>
        <v>46</v>
      </c>
      <c r="AB204" t="str">
        <f>IF(OR(D204="",E204=""),"",IFERROR(DATE(MID(E204,7,4),MID(E204,4,2),LEFT(E204,2))-DATE(MID(D204,7,4),MID(D204,4,2),LEFT(D204,2)),""))</f>
        <v/>
      </c>
      <c r="AC204" t="str">
        <f>IF(E204="","Pending",IF(AB204&lt;=5,"On time","Delayed"))</f>
        <v>Delayed</v>
      </c>
      <c r="AD204" s="29" t="str">
        <f>IF(TRIM(S204)="","Not Assigned",S204)</f>
        <v>Karan</v>
      </c>
      <c r="AE204" t="str">
        <f>PROPER(TRIM(F204))</f>
        <v>Vikas Mehta</v>
      </c>
      <c r="AF204" t="str">
        <f>PROPER(TRIM(K204))</f>
        <v>Electronics</v>
      </c>
      <c r="AG204" t="str">
        <f>PROPER(TRIM(J204))</f>
        <v>South</v>
      </c>
      <c r="AH204" t="str">
        <f t="shared" si="6"/>
        <v>Electronics</v>
      </c>
      <c r="AI204" t="str">
        <f t="shared" si="7"/>
        <v>Electronics</v>
      </c>
      <c r="AK204">
        <f>IF(COUNTIF($A$2:A204,A204)=1,1,0)</f>
        <v>1</v>
      </c>
    </row>
    <row r="205" spans="1:37">
      <c r="A205" s="9" t="s">
        <v>698</v>
      </c>
      <c r="B205" s="10" t="s">
        <v>392</v>
      </c>
      <c r="C205" s="10" t="s">
        <v>236</v>
      </c>
      <c r="D205" s="10" t="s">
        <v>54</v>
      </c>
      <c r="E205" s="10" t="s">
        <v>699</v>
      </c>
      <c r="F205" s="10" t="s">
        <v>323</v>
      </c>
      <c r="G205" s="10" t="s">
        <v>269</v>
      </c>
      <c r="H205" s="10" t="s">
        <v>700</v>
      </c>
      <c r="I205" s="10" t="s">
        <v>291</v>
      </c>
      <c r="J205" s="10" t="s">
        <v>287</v>
      </c>
      <c r="K205" s="10" t="s">
        <v>243</v>
      </c>
      <c r="L205" s="10" t="s">
        <v>244</v>
      </c>
      <c r="M205" s="10">
        <v>12</v>
      </c>
      <c r="N205" s="10">
        <v>55000</v>
      </c>
      <c r="O205" s="10">
        <v>0</v>
      </c>
      <c r="P205" s="10">
        <v>660000</v>
      </c>
      <c r="Q205" s="10">
        <v>2</v>
      </c>
      <c r="R205" s="10" t="s">
        <v>277</v>
      </c>
      <c r="S205" s="10" t="s">
        <v>263</v>
      </c>
      <c r="T205" s="10" t="s">
        <v>395</v>
      </c>
      <c r="U205" s="10">
        <v>9364681052</v>
      </c>
      <c r="V205" s="12" t="s">
        <v>265</v>
      </c>
      <c r="W205" t="str">
        <f>IF(OR(Q205&lt;=2,V205="Cancelled"),"Blacklisted",IF(AND(P205&gt;100000,Q205&gt;=4,O205&lt;=10%,V205="Completed"),"Platinum",IF(AND(P205&gt;=50000,Q205&gt;=3,V205="Completed"),"Gold",IF(AND(P205&lt;50000,V205="Completed"),"Silver",""))))</f>
        <v>Blacklisted</v>
      </c>
      <c r="X205" t="str">
        <f>PROPER(TRIM(F205))</f>
        <v>Amit Sharma</v>
      </c>
      <c r="Y205" t="str">
        <f>LEFT(F205,3)&amp;MID(B205,2,3)&amp;LEFT(I205,2)</f>
        <v>Ami001Pu</v>
      </c>
      <c r="Z205" t="str">
        <f>IF(ISNUMBER(SEARCH("@",T205)),LOWER(TRIM(T205)),"invalid email")</f>
        <v>amit.sharma@company.com</v>
      </c>
      <c r="AA205" t="str">
        <f ca="1">IF(H204="","",IFERROR(DATEDIF(IF(ISNUMBER(H204),H204,DATE(VALUE(RIGHT(H204,4)),VALUE(MID(H204,3,2)),VALUE(LEFT(H204,2)))),TODAY(),"Y"),""))</f>
        <v/>
      </c>
      <c r="AB205">
        <f>IF(OR(D205="",E205=""),"",IFERROR(DATE(MID(E205,7,4),MID(E205,4,2),LEFT(E205,2))-DATE(MID(D205,7,4),MID(D205,4,2),LEFT(D205,2)),""))</f>
        <v>3</v>
      </c>
      <c r="AC205" t="str">
        <f>IF(E205="","Pending",IF(AB205&lt;=5,"On time","Delayed"))</f>
        <v>On time</v>
      </c>
      <c r="AD205" s="29" t="str">
        <f>IF(TRIM(S205)="","Not Assigned",S205)</f>
        <v>Rahul</v>
      </c>
      <c r="AE205" t="str">
        <f>PROPER(TRIM(F205))</f>
        <v>Amit Sharma</v>
      </c>
      <c r="AF205" t="str">
        <f>PROPER(TRIM(K205))</f>
        <v>Electronics</v>
      </c>
      <c r="AG205" t="str">
        <f>PROPER(TRIM(J205))</f>
        <v>West</v>
      </c>
      <c r="AH205" t="str">
        <f t="shared" si="6"/>
        <v>Electronics</v>
      </c>
      <c r="AI205" t="str">
        <f t="shared" si="7"/>
        <v>Electronics</v>
      </c>
      <c r="AK205">
        <f>IF(COUNTIF($A$2:A205,A205)=1,1,0)</f>
        <v>1</v>
      </c>
    </row>
    <row r="206" spans="1:37">
      <c r="A206" s="4" t="s">
        <v>701</v>
      </c>
      <c r="B206" s="5" t="s">
        <v>249</v>
      </c>
      <c r="C206" s="5" t="s">
        <v>258</v>
      </c>
      <c r="D206" s="5" t="s">
        <v>38</v>
      </c>
      <c r="E206" s="5" t="s">
        <v>702</v>
      </c>
      <c r="F206" s="5" t="s">
        <v>251</v>
      </c>
      <c r="G206" s="5" t="s">
        <v>239</v>
      </c>
      <c r="H206" s="6">
        <v>35105</v>
      </c>
      <c r="I206" s="5" t="s">
        <v>286</v>
      </c>
      <c r="J206" s="5" t="s">
        <v>287</v>
      </c>
      <c r="K206" s="5" t="s">
        <v>243</v>
      </c>
      <c r="L206" s="5" t="s">
        <v>262</v>
      </c>
      <c r="M206" s="5">
        <v>7</v>
      </c>
      <c r="N206" s="5">
        <v>12000</v>
      </c>
      <c r="O206" s="5">
        <v>5</v>
      </c>
      <c r="P206" s="5">
        <v>79800</v>
      </c>
      <c r="Q206" s="5">
        <v>3</v>
      </c>
      <c r="R206" s="5" t="s">
        <v>272</v>
      </c>
      <c r="S206" s="5" t="s">
        <v>312</v>
      </c>
      <c r="T206" s="5" t="s">
        <v>264</v>
      </c>
      <c r="U206" s="5">
        <v>9117102884</v>
      </c>
      <c r="V206" s="8" t="s">
        <v>248</v>
      </c>
      <c r="W206" t="str">
        <f>IF(OR(Q206&lt;=2,V206="Cancelled"),"Blacklisted",IF(AND(P206&gt;100000,Q206&gt;=4,O206&lt;=10%,V206="Completed"),"Platinum",IF(AND(P206&gt;=50000,Q206&gt;=3,V206="Completed"),"Gold",IF(AND(P206&lt;50000,V206="Completed"),"Silver",""))))</f>
        <v/>
      </c>
      <c r="X206" t="str">
        <f>PROPER(TRIM(F206))</f>
        <v>Kavya Nair</v>
      </c>
      <c r="Y206" t="str">
        <f>LEFT(F206,3)&amp;MID(B206,2,3)&amp;LEFT(I206,2)</f>
        <v>Kav008Mu</v>
      </c>
      <c r="Z206" t="str">
        <f>IF(ISNUMBER(SEARCH("@",T206)),LOWER(TRIM(T206)),"invalid email")</f>
        <v>kavya.nair@company.com</v>
      </c>
      <c r="AA206" t="str">
        <f ca="1">IF(H205="","",IFERROR(DATEDIF(IF(ISNUMBER(H205),H205,DATE(VALUE(RIGHT(H205,4)),VALUE(MID(H205,3,2)),VALUE(LEFT(H205,2)))),TODAY(),"Y"),""))</f>
        <v/>
      </c>
      <c r="AB206">
        <f>IF(OR(D206="",E206=""),"",IFERROR(DATE(MID(E206,7,4),MID(E206,4,2),LEFT(E206,2))-DATE(MID(D206,7,4),MID(D206,4,2),LEFT(D206,2)),""))</f>
        <v>9</v>
      </c>
      <c r="AC206" t="str">
        <f>IF(E206="","Pending",IF(AB206&lt;=5,"On time","Delayed"))</f>
        <v>Delayed</v>
      </c>
      <c r="AD206" s="29" t="str">
        <f>IF(TRIM(S206)="","Not Assigned",S206)</f>
        <v>Karan</v>
      </c>
      <c r="AE206" t="str">
        <f>PROPER(TRIM(F206))</f>
        <v>Kavya Nair</v>
      </c>
      <c r="AF206" t="str">
        <f>PROPER(TRIM(K206))</f>
        <v>Electronics</v>
      </c>
      <c r="AG206" t="str">
        <f>PROPER(TRIM(J206))</f>
        <v>West</v>
      </c>
      <c r="AH206" t="str">
        <f t="shared" si="6"/>
        <v>Electronics</v>
      </c>
      <c r="AI206" t="str">
        <f t="shared" si="7"/>
        <v>Electronics</v>
      </c>
      <c r="AK206">
        <f>IF(COUNTIF($A$2:A206,A206)=1,1,0)</f>
        <v>1</v>
      </c>
    </row>
    <row r="207" spans="1:37">
      <c r="A207" s="9" t="s">
        <v>703</v>
      </c>
      <c r="B207" s="10" t="s">
        <v>358</v>
      </c>
      <c r="C207" s="10" t="s">
        <v>258</v>
      </c>
      <c r="D207" s="10" t="s">
        <v>104</v>
      </c>
      <c r="E207" s="10" t="s">
        <v>300</v>
      </c>
      <c r="F207" s="10" t="s">
        <v>359</v>
      </c>
      <c r="G207" s="10" t="s">
        <v>239</v>
      </c>
      <c r="H207" s="10" t="s">
        <v>704</v>
      </c>
      <c r="I207" s="10" t="s">
        <v>286</v>
      </c>
      <c r="J207" s="10" t="s">
        <v>287</v>
      </c>
      <c r="K207" s="10" t="s">
        <v>243</v>
      </c>
      <c r="L207" s="10" t="s">
        <v>262</v>
      </c>
      <c r="M207" s="10">
        <v>8</v>
      </c>
      <c r="N207" s="10">
        <v>12000</v>
      </c>
      <c r="O207" s="10">
        <v>15</v>
      </c>
      <c r="P207" s="10">
        <v>81600</v>
      </c>
      <c r="Q207" s="10">
        <v>4</v>
      </c>
      <c r="R207" s="10" t="s">
        <v>272</v>
      </c>
      <c r="S207" s="10" t="s">
        <v>263</v>
      </c>
      <c r="T207" s="10" t="s">
        <v>360</v>
      </c>
      <c r="U207" s="10">
        <v>9819453185</v>
      </c>
      <c r="V207" s="12" t="s">
        <v>257</v>
      </c>
      <c r="W207" t="str">
        <f>IF(OR(Q207&lt;=2,V207="Cancelled"),"Blacklisted",IF(AND(P207&gt;100000,Q207&gt;=4,O207&lt;=10%,V207="Completed"),"Platinum",IF(AND(P207&gt;=50000,Q207&gt;=3,V207="Completed"),"Gold",IF(AND(P207&lt;50000,V207="Completed"),"Silver",""))))</f>
        <v>Gold</v>
      </c>
      <c r="X207" t="str">
        <f>PROPER(TRIM(F207))</f>
        <v>Sneha Joshi</v>
      </c>
      <c r="Y207" t="str">
        <f>LEFT(F207,3)&amp;MID(B207,2,3)&amp;LEFT(I207,2)</f>
        <v>Sne006Mu</v>
      </c>
      <c r="Z207" t="str">
        <f>IF(ISNUMBER(SEARCH("@",T207)),LOWER(TRIM(T207)),"invalid email")</f>
        <v>sneha.joshi@company.com</v>
      </c>
      <c r="AA207">
        <f ca="1">IF(H206="","",IFERROR(DATEDIF(IF(ISNUMBER(H206),H206,DATE(VALUE(RIGHT(H206,4)),VALUE(MID(H206,3,2)),VALUE(LEFT(H206,2)))),TODAY(),"Y"),""))</f>
        <v>30</v>
      </c>
      <c r="AB207">
        <f>IF(OR(D207="",E207=""),"",IFERROR(DATE(MID(E207,7,4),MID(E207,4,2),LEFT(E207,2))-DATE(MID(D207,7,4),MID(D207,4,2),LEFT(D207,2)),""))</f>
        <v>2</v>
      </c>
      <c r="AC207" t="str">
        <f>IF(E207="","Pending",IF(AB207&lt;=5,"On time","Delayed"))</f>
        <v>On time</v>
      </c>
      <c r="AD207" s="29" t="str">
        <f>IF(TRIM(S207)="","Not Assigned",S207)</f>
        <v>Rahul</v>
      </c>
      <c r="AE207" t="str">
        <f>PROPER(TRIM(F207))</f>
        <v>Sneha Joshi</v>
      </c>
      <c r="AF207" t="str">
        <f>PROPER(TRIM(K207))</f>
        <v>Electronics</v>
      </c>
      <c r="AG207" t="str">
        <f>PROPER(TRIM(J207))</f>
        <v>West</v>
      </c>
      <c r="AH207" t="str">
        <f t="shared" si="6"/>
        <v>Electronics</v>
      </c>
      <c r="AI207" t="str">
        <f t="shared" si="7"/>
        <v>Electronics</v>
      </c>
      <c r="AK207">
        <f>IF(COUNTIF($A$2:A207,A207)=1,1,0)</f>
        <v>1</v>
      </c>
    </row>
    <row r="208" spans="1:37">
      <c r="A208" s="4" t="s">
        <v>705</v>
      </c>
      <c r="B208" s="5" t="s">
        <v>392</v>
      </c>
      <c r="C208" s="5" t="s">
        <v>280</v>
      </c>
      <c r="D208" s="5" t="s">
        <v>73</v>
      </c>
      <c r="E208" s="5" t="s">
        <v>172</v>
      </c>
      <c r="F208" s="5" t="s">
        <v>323</v>
      </c>
      <c r="G208" s="5" t="s">
        <v>269</v>
      </c>
      <c r="H208" s="6">
        <v>32032</v>
      </c>
      <c r="I208" s="5" t="s">
        <v>286</v>
      </c>
      <c r="J208" s="5" t="s">
        <v>287</v>
      </c>
      <c r="K208" s="5" t="s">
        <v>15</v>
      </c>
      <c r="L208" s="5" t="s">
        <v>282</v>
      </c>
      <c r="M208" s="5">
        <v>19</v>
      </c>
      <c r="N208" s="5">
        <v>3500</v>
      </c>
      <c r="O208" s="5">
        <v>5</v>
      </c>
      <c r="P208" s="5">
        <v>63175</v>
      </c>
      <c r="Q208" s="5">
        <v>3</v>
      </c>
      <c r="R208" s="5" t="s">
        <v>272</v>
      </c>
      <c r="S208" s="5" t="s">
        <v>246</v>
      </c>
      <c r="T208" s="5" t="s">
        <v>395</v>
      </c>
      <c r="U208" s="5">
        <v>9511806701</v>
      </c>
      <c r="V208" s="8" t="s">
        <v>248</v>
      </c>
      <c r="W208" t="str">
        <f>IF(OR(Q208&lt;=2,V208="Cancelled"),"Blacklisted",IF(AND(P208&gt;100000,Q208&gt;=4,O208&lt;=10%,V208="Completed"),"Platinum",IF(AND(P208&gt;=50000,Q208&gt;=3,V208="Completed"),"Gold",IF(AND(P208&lt;50000,V208="Completed"),"Silver",""))))</f>
        <v/>
      </c>
      <c r="X208" t="str">
        <f>PROPER(TRIM(F208))</f>
        <v>Amit Sharma</v>
      </c>
      <c r="Y208" t="str">
        <f>LEFT(F208,3)&amp;MID(B208,2,3)&amp;LEFT(I208,2)</f>
        <v>Ami001Mu</v>
      </c>
      <c r="Z208" t="str">
        <f>IF(ISNUMBER(SEARCH("@",T208)),LOWER(TRIM(T208)),"invalid email")</f>
        <v>amit.sharma@company.com</v>
      </c>
      <c r="AA208" t="str">
        <f ca="1">IF(H207="","",IFERROR(DATEDIF(IF(ISNUMBER(H207),H207,DATE(VALUE(RIGHT(H207,4)),VALUE(MID(H207,3,2)),VALUE(LEFT(H207,2)))),TODAY(),"Y"),""))</f>
        <v/>
      </c>
      <c r="AB208">
        <f>IF(OR(D208="",E208=""),"",IFERROR(DATE(MID(E208,7,4),MID(E208,4,2),LEFT(E208,2))-DATE(MID(D208,7,4),MID(D208,4,2),LEFT(D208,2)),""))</f>
        <v>9</v>
      </c>
      <c r="AC208" t="str">
        <f>IF(E208="","Pending",IF(AB208&lt;=5,"On time","Delayed"))</f>
        <v>Delayed</v>
      </c>
      <c r="AD208" s="29" t="str">
        <f>IF(TRIM(S208)="","Not Assigned",S208)</f>
        <v>Aisha</v>
      </c>
      <c r="AE208" t="str">
        <f>PROPER(TRIM(F208))</f>
        <v>Amit Sharma</v>
      </c>
      <c r="AF208" t="str">
        <f>PROPER(TRIM(K208))</f>
        <v>Home Appliances</v>
      </c>
      <c r="AG208" t="str">
        <f>PROPER(TRIM(J208))</f>
        <v>West</v>
      </c>
      <c r="AH208" t="str">
        <f t="shared" si="6"/>
        <v>Home Appliances</v>
      </c>
      <c r="AI208" t="str">
        <f t="shared" si="7"/>
        <v>Home Appliances</v>
      </c>
      <c r="AK208">
        <f>IF(COUNTIF($A$2:A208,A208)=1,1,0)</f>
        <v>1</v>
      </c>
    </row>
    <row r="209" spans="1:37">
      <c r="A209" s="9" t="s">
        <v>706</v>
      </c>
      <c r="B209" s="10" t="s">
        <v>358</v>
      </c>
      <c r="C209" s="10" t="s">
        <v>362</v>
      </c>
      <c r="D209" s="11">
        <v>45810</v>
      </c>
      <c r="E209" s="10" t="s">
        <v>42</v>
      </c>
      <c r="F209" s="10" t="s">
        <v>359</v>
      </c>
      <c r="G209" s="10" t="s">
        <v>239</v>
      </c>
      <c r="H209" s="10" t="s">
        <v>707</v>
      </c>
      <c r="I209" s="10" t="s">
        <v>306</v>
      </c>
      <c r="J209" s="10" t="s">
        <v>287</v>
      </c>
      <c r="K209" s="10" t="s">
        <v>295</v>
      </c>
      <c r="L209" s="10" t="s">
        <v>363</v>
      </c>
      <c r="M209" s="10">
        <v>7</v>
      </c>
      <c r="N209" s="10">
        <v>45</v>
      </c>
      <c r="O209" s="10">
        <v>5</v>
      </c>
      <c r="P209" s="10">
        <v>299.25</v>
      </c>
      <c r="Q209" s="10">
        <v>3</v>
      </c>
      <c r="R209" s="10" t="s">
        <v>272</v>
      </c>
      <c r="S209" s="10" t="s">
        <v>255</v>
      </c>
      <c r="T209" s="10" t="s">
        <v>360</v>
      </c>
      <c r="U209" s="10">
        <v>9875249891</v>
      </c>
      <c r="V209" s="12" t="s">
        <v>265</v>
      </c>
      <c r="W209" t="str">
        <f>IF(OR(Q209&lt;=2,V209="Cancelled"),"Blacklisted",IF(AND(P209&gt;100000,Q209&gt;=4,O209&lt;=10%,V209="Completed"),"Platinum",IF(AND(P209&gt;=50000,Q209&gt;=3,V209="Completed"),"Gold",IF(AND(P209&lt;50000,V209="Completed"),"Silver",""))))</f>
        <v>Blacklisted</v>
      </c>
      <c r="X209" t="str">
        <f>PROPER(TRIM(F209))</f>
        <v>Sneha Joshi</v>
      </c>
      <c r="Y209" t="str">
        <f>LEFT(F209,3)&amp;MID(B209,2,3)&amp;LEFT(I209,2)</f>
        <v>Sne006Ah</v>
      </c>
      <c r="Z209" t="str">
        <f>IF(ISNUMBER(SEARCH("@",T209)),LOWER(TRIM(T209)),"invalid email")</f>
        <v>sneha.joshi@company.com</v>
      </c>
      <c r="AA209">
        <f ca="1">IF(H208="","",IFERROR(DATEDIF(IF(ISNUMBER(H208),H208,DATE(VALUE(RIGHT(H208,4)),VALUE(MID(H208,3,2)),VALUE(LEFT(H208,2)))),TODAY(),"Y"),""))</f>
        <v>39</v>
      </c>
      <c r="AB209" t="str">
        <f>IF(OR(D209="",E209=""),"",IFERROR(DATE(MID(E209,7,4),MID(E209,4,2),LEFT(E209,2))-DATE(MID(D209,7,4),MID(D209,4,2),LEFT(D209,2)),""))</f>
        <v/>
      </c>
      <c r="AC209" t="str">
        <f>IF(E209="","Pending",IF(AB209&lt;=5,"On time","Delayed"))</f>
        <v>Delayed</v>
      </c>
      <c r="AD209" s="29" t="str">
        <f>IF(TRIM(S209)="","Not Assigned",S209)</f>
        <v>Ritika</v>
      </c>
      <c r="AE209" t="str">
        <f>PROPER(TRIM(F209))</f>
        <v>Sneha Joshi</v>
      </c>
      <c r="AF209" t="str">
        <f>PROPER(TRIM(K209))</f>
        <v>Stationery</v>
      </c>
      <c r="AG209" t="str">
        <f>PROPER(TRIM(J209))</f>
        <v>West</v>
      </c>
      <c r="AH209" t="str">
        <f t="shared" si="6"/>
        <v>Stationery</v>
      </c>
      <c r="AI209" t="str">
        <f t="shared" si="7"/>
        <v>Stationery</v>
      </c>
      <c r="AK209">
        <f>IF(COUNTIF($A$2:A209,A209)=1,1,0)</f>
        <v>1</v>
      </c>
    </row>
    <row r="210" spans="1:37">
      <c r="A210" s="4" t="s">
        <v>708</v>
      </c>
      <c r="B210" s="5" t="s">
        <v>249</v>
      </c>
      <c r="C210" s="5" t="s">
        <v>294</v>
      </c>
      <c r="D210" s="6">
        <v>45694</v>
      </c>
      <c r="E210" s="6">
        <v>45875</v>
      </c>
      <c r="F210" s="5" t="s">
        <v>251</v>
      </c>
      <c r="G210" s="5" t="s">
        <v>239</v>
      </c>
      <c r="H210" s="6">
        <v>33489</v>
      </c>
      <c r="I210" s="5" t="s">
        <v>252</v>
      </c>
      <c r="J210" s="5" t="s">
        <v>242</v>
      </c>
      <c r="K210" s="5" t="s">
        <v>295</v>
      </c>
      <c r="L210" s="5" t="s">
        <v>296</v>
      </c>
      <c r="M210" s="5">
        <v>3</v>
      </c>
      <c r="N210" s="5">
        <v>60</v>
      </c>
      <c r="O210" s="5">
        <v>15</v>
      </c>
      <c r="P210" s="5">
        <v>153</v>
      </c>
      <c r="Q210" s="5">
        <v>3</v>
      </c>
      <c r="R210" s="5" t="s">
        <v>245</v>
      </c>
      <c r="S210" s="5" t="s">
        <v>263</v>
      </c>
      <c r="T210" s="5" t="s">
        <v>264</v>
      </c>
      <c r="U210" s="5">
        <v>9438232503</v>
      </c>
      <c r="V210" s="8" t="s">
        <v>265</v>
      </c>
      <c r="W210" t="str">
        <f>IF(OR(Q210&lt;=2,V210="Cancelled"),"Blacklisted",IF(AND(P210&gt;100000,Q210&gt;=4,O210&lt;=10%,V210="Completed"),"Platinum",IF(AND(P210&gt;=50000,Q210&gt;=3,V210="Completed"),"Gold",IF(AND(P210&lt;50000,V210="Completed"),"Silver",""))))</f>
        <v>Blacklisted</v>
      </c>
      <c r="X210" t="str">
        <f>PROPER(TRIM(F210))</f>
        <v>Kavya Nair</v>
      </c>
      <c r="Y210" t="str">
        <f>LEFT(F210,3)&amp;MID(B210,2,3)&amp;LEFT(I210,2)</f>
        <v>Kav008Hy</v>
      </c>
      <c r="Z210" t="str">
        <f>IF(ISNUMBER(SEARCH("@",T210)),LOWER(TRIM(T210)),"invalid email")</f>
        <v>kavya.nair@company.com</v>
      </c>
      <c r="AA210" t="str">
        <f ca="1">IF(H209="","",IFERROR(DATEDIF(IF(ISNUMBER(H209),H209,DATE(VALUE(RIGHT(H209,4)),VALUE(MID(H209,3,2)),VALUE(LEFT(H209,2)))),TODAY(),"Y"),""))</f>
        <v/>
      </c>
      <c r="AB210" t="str">
        <f>IF(OR(D210="",E210=""),"",IFERROR(DATE(MID(E210,7,4),MID(E210,4,2),LEFT(E210,2))-DATE(MID(D210,7,4),MID(D210,4,2),LEFT(D210,2)),""))</f>
        <v/>
      </c>
      <c r="AC210" t="str">
        <f>IF(E210="","Pending",IF(AB210&lt;=5,"On time","Delayed"))</f>
        <v>Delayed</v>
      </c>
      <c r="AD210" s="29" t="str">
        <f>IF(TRIM(S210)="","Not Assigned",S210)</f>
        <v>Rahul</v>
      </c>
      <c r="AE210" t="str">
        <f>PROPER(TRIM(F210))</f>
        <v>Kavya Nair</v>
      </c>
      <c r="AF210" t="str">
        <f>PROPER(TRIM(K210))</f>
        <v>Stationery</v>
      </c>
      <c r="AG210" t="str">
        <f>PROPER(TRIM(J210))</f>
        <v>South</v>
      </c>
      <c r="AH210" t="str">
        <f t="shared" si="6"/>
        <v>Stationery</v>
      </c>
      <c r="AI210" t="str">
        <f t="shared" si="7"/>
        <v>Stationery</v>
      </c>
      <c r="AK210">
        <f>IF(COUNTIF($A$2:A210,A210)=1,1,0)</f>
        <v>1</v>
      </c>
    </row>
    <row r="211" spans="1:37">
      <c r="A211" s="9" t="s">
        <v>709</v>
      </c>
      <c r="B211" s="10" t="s">
        <v>235</v>
      </c>
      <c r="C211" s="10" t="s">
        <v>362</v>
      </c>
      <c r="D211" s="10" t="s">
        <v>111</v>
      </c>
      <c r="E211" s="11">
        <v>46117</v>
      </c>
      <c r="F211" s="10" t="s">
        <v>318</v>
      </c>
      <c r="G211" s="10" t="s">
        <v>239</v>
      </c>
      <c r="H211" s="10" t="s">
        <v>710</v>
      </c>
      <c r="I211" s="10" t="s">
        <v>291</v>
      </c>
      <c r="J211" s="10" t="s">
        <v>287</v>
      </c>
      <c r="K211" s="10" t="s">
        <v>295</v>
      </c>
      <c r="L211" s="10" t="s">
        <v>363</v>
      </c>
      <c r="M211" s="10">
        <v>19</v>
      </c>
      <c r="N211" s="10">
        <v>45</v>
      </c>
      <c r="O211" s="10">
        <v>0</v>
      </c>
      <c r="P211" s="10">
        <v>855</v>
      </c>
      <c r="Q211" s="10">
        <v>2</v>
      </c>
      <c r="R211" s="10" t="s">
        <v>254</v>
      </c>
      <c r="S211" s="10" t="s">
        <v>246</v>
      </c>
      <c r="T211" s="10" t="s">
        <v>247</v>
      </c>
      <c r="U211" s="10">
        <v>9449953754</v>
      </c>
      <c r="V211" s="12" t="s">
        <v>257</v>
      </c>
      <c r="W211" t="str">
        <f>IF(OR(Q211&lt;=2,V211="Cancelled"),"Blacklisted",IF(AND(P211&gt;100000,Q211&gt;=4,O211&lt;=10%,V211="Completed"),"Platinum",IF(AND(P211&gt;=50000,Q211&gt;=3,V211="Completed"),"Gold",IF(AND(P211&lt;50000,V211="Completed"),"Silver",""))))</f>
        <v>Blacklisted</v>
      </c>
      <c r="X211" t="str">
        <f>PROPER(TRIM(F211))</f>
        <v>Pooja Shah</v>
      </c>
      <c r="Y211" t="str">
        <f>LEFT(F211,3)&amp;MID(B211,2,3)&amp;LEFT(I211,2)</f>
        <v>Poo010Pu</v>
      </c>
      <c r="Z211" t="str">
        <f>IF(ISNUMBER(SEARCH("@",T211)),LOWER(TRIM(T211)),"invalid email")</f>
        <v>pooja.shah@company.com</v>
      </c>
      <c r="AA211">
        <f ca="1">IF(H210="","",IFERROR(DATEDIF(IF(ISNUMBER(H210),H210,DATE(VALUE(RIGHT(H210,4)),VALUE(MID(H210,3,2)),VALUE(LEFT(H210,2)))),TODAY(),"Y"),""))</f>
        <v>35</v>
      </c>
      <c r="AB211" t="str">
        <f>IF(OR(D211="",E211=""),"",IFERROR(DATE(MID(E211,7,4),MID(E211,4,2),LEFT(E211,2))-DATE(MID(D211,7,4),MID(D211,4,2),LEFT(D211,2)),""))</f>
        <v/>
      </c>
      <c r="AC211" t="str">
        <f>IF(E211="","Pending",IF(AB211&lt;=5,"On time","Delayed"))</f>
        <v>Delayed</v>
      </c>
      <c r="AD211" s="29" t="str">
        <f>IF(TRIM(S211)="","Not Assigned",S211)</f>
        <v>Aisha</v>
      </c>
      <c r="AE211" t="str">
        <f>PROPER(TRIM(F211))</f>
        <v>Pooja Shah</v>
      </c>
      <c r="AF211" t="str">
        <f>PROPER(TRIM(K211))</f>
        <v>Stationery</v>
      </c>
      <c r="AG211" t="str">
        <f>PROPER(TRIM(J211))</f>
        <v>West</v>
      </c>
      <c r="AH211" t="str">
        <f t="shared" si="6"/>
        <v>Stationery</v>
      </c>
      <c r="AI211" t="str">
        <f t="shared" si="7"/>
        <v>Stationery</v>
      </c>
      <c r="AK211">
        <f>IF(COUNTIF($A$2:A211,A211)=1,1,0)</f>
        <v>1</v>
      </c>
    </row>
    <row r="212" spans="1:37">
      <c r="A212" s="4" t="s">
        <v>711</v>
      </c>
      <c r="B212" s="5" t="s">
        <v>284</v>
      </c>
      <c r="C212" s="5" t="s">
        <v>258</v>
      </c>
      <c r="D212" s="6">
        <v>46176</v>
      </c>
      <c r="E212" s="5" t="s">
        <v>44</v>
      </c>
      <c r="F212" s="5" t="s">
        <v>285</v>
      </c>
      <c r="G212" s="5" t="s">
        <v>239</v>
      </c>
      <c r="H212" s="6">
        <v>34795</v>
      </c>
      <c r="I212" s="5" t="s">
        <v>241</v>
      </c>
      <c r="J212" s="5" t="s">
        <v>242</v>
      </c>
      <c r="K212" s="5" t="s">
        <v>243</v>
      </c>
      <c r="L212" s="5" t="s">
        <v>262</v>
      </c>
      <c r="M212" s="5">
        <v>10</v>
      </c>
      <c r="N212" s="5">
        <v>12000</v>
      </c>
      <c r="O212" s="5">
        <v>5</v>
      </c>
      <c r="P212" s="5">
        <v>114000</v>
      </c>
      <c r="Q212" s="5">
        <v>1</v>
      </c>
      <c r="R212" s="5" t="s">
        <v>272</v>
      </c>
      <c r="S212" s="5" t="s">
        <v>292</v>
      </c>
      <c r="T212" s="5" t="s">
        <v>308</v>
      </c>
      <c r="U212" s="5">
        <v>9833801891</v>
      </c>
      <c r="V212" s="8" t="s">
        <v>265</v>
      </c>
      <c r="W212" t="str">
        <f>IF(OR(Q212&lt;=2,V212="Cancelled"),"Blacklisted",IF(AND(P212&gt;100000,Q212&gt;=4,O212&lt;=10%,V212="Completed"),"Platinum",IF(AND(P212&gt;=50000,Q212&gt;=3,V212="Completed"),"Gold",IF(AND(P212&lt;50000,V212="Completed"),"Silver",""))))</f>
        <v>Blacklisted</v>
      </c>
      <c r="X212" t="str">
        <f>PROPER(TRIM(F212))</f>
        <v>Priya Patel</v>
      </c>
      <c r="Y212" t="str">
        <f>LEFT(F212,3)&amp;MID(B212,2,3)&amp;LEFT(I212,2)</f>
        <v>Pri002Be</v>
      </c>
      <c r="Z212" t="str">
        <f>IF(ISNUMBER(SEARCH("@",T212)),LOWER(TRIM(T212)),"invalid email")</f>
        <v>priya.patel@company.com</v>
      </c>
      <c r="AA212" t="str">
        <f ca="1">IF(H211="","",IFERROR(DATEDIF(IF(ISNUMBER(H211),H211,DATE(VALUE(RIGHT(H211,4)),VALUE(MID(H211,3,2)),VALUE(LEFT(H211,2)))),TODAY(),"Y"),""))</f>
        <v/>
      </c>
      <c r="AB212" t="str">
        <f>IF(OR(D212="",E212=""),"",IFERROR(DATE(MID(E212,7,4),MID(E212,4,2),LEFT(E212,2))-DATE(MID(D212,7,4),MID(D212,4,2),LEFT(D212,2)),""))</f>
        <v/>
      </c>
      <c r="AC212" t="str">
        <f>IF(E212="","Pending",IF(AB212&lt;=5,"On time","Delayed"))</f>
        <v>Delayed</v>
      </c>
      <c r="AD212" s="29" t="str">
        <f>IF(TRIM(S212)="","Not Assigned",S212)</f>
        <v>Neha</v>
      </c>
      <c r="AE212" t="str">
        <f>PROPER(TRIM(F212))</f>
        <v>Priya Patel</v>
      </c>
      <c r="AF212" t="str">
        <f>PROPER(TRIM(K212))</f>
        <v>Electronics</v>
      </c>
      <c r="AG212" t="str">
        <f>PROPER(TRIM(J212))</f>
        <v>South</v>
      </c>
      <c r="AH212" t="str">
        <f t="shared" si="6"/>
        <v>Electronics</v>
      </c>
      <c r="AI212" t="str">
        <f t="shared" si="7"/>
        <v>Electronics</v>
      </c>
      <c r="AK212">
        <f>IF(COUNTIF($A$2:A212,A212)=1,1,0)</f>
        <v>1</v>
      </c>
    </row>
    <row r="213" spans="1:37">
      <c r="A213" s="9" t="s">
        <v>712</v>
      </c>
      <c r="B213" s="10" t="s">
        <v>249</v>
      </c>
      <c r="C213" s="10" t="s">
        <v>267</v>
      </c>
      <c r="D213" s="10" t="s">
        <v>175</v>
      </c>
      <c r="E213" s="11">
        <v>45994</v>
      </c>
      <c r="F213" s="10" t="s">
        <v>251</v>
      </c>
      <c r="G213" s="10" t="s">
        <v>239</v>
      </c>
      <c r="H213" s="10" t="s">
        <v>713</v>
      </c>
      <c r="I213" s="10" t="s">
        <v>379</v>
      </c>
      <c r="J213" s="10" t="s">
        <v>21</v>
      </c>
      <c r="K213" s="10" t="s">
        <v>243</v>
      </c>
      <c r="L213" s="10" t="s">
        <v>271</v>
      </c>
      <c r="M213" s="10">
        <v>4</v>
      </c>
      <c r="N213" s="10">
        <v>1200</v>
      </c>
      <c r="O213" s="10">
        <v>0</v>
      </c>
      <c r="P213" s="10">
        <v>4800</v>
      </c>
      <c r="Q213" s="10">
        <v>4</v>
      </c>
      <c r="R213" s="10" t="s">
        <v>254</v>
      </c>
      <c r="S213" s="10" t="s">
        <v>246</v>
      </c>
      <c r="T213" s="10" t="s">
        <v>264</v>
      </c>
      <c r="U213" s="10">
        <v>9183949273</v>
      </c>
      <c r="V213" s="12" t="s">
        <v>257</v>
      </c>
      <c r="W213" t="str">
        <f>IF(OR(Q213&lt;=2,V213="Cancelled"),"Blacklisted",IF(AND(P213&gt;100000,Q213&gt;=4,O213&lt;=10%,V213="Completed"),"Platinum",IF(AND(P213&gt;=50000,Q213&gt;=3,V213="Completed"),"Gold",IF(AND(P213&lt;50000,V213="Completed"),"Silver",""))))</f>
        <v>Silver</v>
      </c>
      <c r="X213" t="str">
        <f>PROPER(TRIM(F213))</f>
        <v>Kavya Nair</v>
      </c>
      <c r="Y213" t="str">
        <f>LEFT(F213,3)&amp;MID(B213,2,3)&amp;LEFT(I213,2)</f>
        <v>Kav008Ko</v>
      </c>
      <c r="Z213" t="str">
        <f>IF(ISNUMBER(SEARCH("@",T213)),LOWER(TRIM(T213)),"invalid email")</f>
        <v>kavya.nair@company.com</v>
      </c>
      <c r="AA213">
        <f ca="1">IF(H212="","",IFERROR(DATEDIF(IF(ISNUMBER(H212),H212,DATE(VALUE(RIGHT(H212,4)),VALUE(MID(H212,3,2)),VALUE(LEFT(H212,2)))),TODAY(),"Y"),""))</f>
        <v>31</v>
      </c>
      <c r="AB213" t="str">
        <f>IF(OR(D213="",E213=""),"",IFERROR(DATE(MID(E213,7,4),MID(E213,4,2),LEFT(E213,2))-DATE(MID(D213,7,4),MID(D213,4,2),LEFT(D213,2)),""))</f>
        <v/>
      </c>
      <c r="AC213" t="str">
        <f>IF(E213="","Pending",IF(AB213&lt;=5,"On time","Delayed"))</f>
        <v>Delayed</v>
      </c>
      <c r="AD213" s="29" t="str">
        <f>IF(TRIM(S213)="","Not Assigned",S213)</f>
        <v>Aisha</v>
      </c>
      <c r="AE213" t="str">
        <f>PROPER(TRIM(F213))</f>
        <v>Kavya Nair</v>
      </c>
      <c r="AF213" t="str">
        <f>PROPER(TRIM(K213))</f>
        <v>Electronics</v>
      </c>
      <c r="AG213" t="str">
        <f>PROPER(TRIM(J213))</f>
        <v>East</v>
      </c>
      <c r="AH213" t="str">
        <f t="shared" si="6"/>
        <v>Electronics</v>
      </c>
      <c r="AI213" t="str">
        <f t="shared" si="7"/>
        <v>Electronics</v>
      </c>
      <c r="AK213">
        <f>IF(COUNTIF($A$2:A213,A213)=1,1,0)</f>
        <v>1</v>
      </c>
    </row>
    <row r="214" spans="1:37">
      <c r="A214" s="4" t="s">
        <v>714</v>
      </c>
      <c r="B214" s="5" t="s">
        <v>346</v>
      </c>
      <c r="C214" s="5" t="s">
        <v>322</v>
      </c>
      <c r="D214" s="5" t="s">
        <v>205</v>
      </c>
      <c r="E214" s="6">
        <v>45849</v>
      </c>
      <c r="F214" s="5" t="s">
        <v>348</v>
      </c>
      <c r="G214" s="5" t="s">
        <v>269</v>
      </c>
      <c r="H214" s="6">
        <v>31330</v>
      </c>
      <c r="I214" s="5" t="s">
        <v>241</v>
      </c>
      <c r="J214" s="5" t="s">
        <v>242</v>
      </c>
      <c r="K214" s="5" t="s">
        <v>15</v>
      </c>
      <c r="L214" s="5" t="s">
        <v>325</v>
      </c>
      <c r="M214" s="5">
        <v>2</v>
      </c>
      <c r="N214" s="5">
        <v>8500</v>
      </c>
      <c r="O214" s="5">
        <v>20</v>
      </c>
      <c r="P214" s="5">
        <v>13600</v>
      </c>
      <c r="Q214" s="5">
        <v>3</v>
      </c>
      <c r="R214" s="5" t="s">
        <v>272</v>
      </c>
      <c r="S214" s="5" t="s">
        <v>312</v>
      </c>
      <c r="T214" s="5" t="s">
        <v>350</v>
      </c>
      <c r="U214" s="5">
        <v>9168257367</v>
      </c>
      <c r="V214" s="8" t="s">
        <v>257</v>
      </c>
      <c r="W214" t="str">
        <f>IF(OR(Q214&lt;=2,V214="Cancelled"),"Blacklisted",IF(AND(P214&gt;100000,Q214&gt;=4,O214&lt;=10%,V214="Completed"),"Platinum",IF(AND(P214&gt;=50000,Q214&gt;=3,V214="Completed"),"Gold",IF(AND(P214&lt;50000,V214="Completed"),"Silver",""))))</f>
        <v>Silver</v>
      </c>
      <c r="X214" t="str">
        <f>PROPER(TRIM(F214))</f>
        <v>Vikas Mehta</v>
      </c>
      <c r="Y214" t="str">
        <f>LEFT(F214,3)&amp;MID(B214,2,3)&amp;LEFT(I214,2)</f>
        <v>Vik005Be</v>
      </c>
      <c r="Z214" t="str">
        <f>IF(ISNUMBER(SEARCH("@",T214)),LOWER(TRIM(T214)),"invalid email")</f>
        <v>vikas.mehta@company.com</v>
      </c>
      <c r="AA214" t="str">
        <f ca="1">IF(H213="","",IFERROR(DATEDIF(IF(ISNUMBER(H213),H213,DATE(VALUE(RIGHT(H213,4)),VALUE(MID(H213,3,2)),VALUE(LEFT(H213,2)))),TODAY(),"Y"),""))</f>
        <v/>
      </c>
      <c r="AB214" t="str">
        <f>IF(OR(D214="",E214=""),"",IFERROR(DATE(MID(E214,7,4),MID(E214,4,2),LEFT(E214,2))-DATE(MID(D214,7,4),MID(D214,4,2),LEFT(D214,2)),""))</f>
        <v/>
      </c>
      <c r="AC214" t="str">
        <f>IF(E214="","Pending",IF(AB214&lt;=5,"On time","Delayed"))</f>
        <v>Delayed</v>
      </c>
      <c r="AD214" s="29" t="str">
        <f>IF(TRIM(S214)="","Not Assigned",S214)</f>
        <v>Karan</v>
      </c>
      <c r="AE214" t="str">
        <f>PROPER(TRIM(F214))</f>
        <v>Vikas Mehta</v>
      </c>
      <c r="AF214" t="str">
        <f>PROPER(TRIM(K214))</f>
        <v>Home Appliances</v>
      </c>
      <c r="AG214" t="str">
        <f>PROPER(TRIM(J214))</f>
        <v>South</v>
      </c>
      <c r="AH214" t="str">
        <f t="shared" si="6"/>
        <v>Home Appliances</v>
      </c>
      <c r="AI214" t="str">
        <f t="shared" si="7"/>
        <v>Home Appliances</v>
      </c>
      <c r="AK214">
        <f>IF(COUNTIF($A$2:A214,A214)=1,1,0)</f>
        <v>1</v>
      </c>
    </row>
    <row r="215" spans="1:37">
      <c r="A215" s="9" t="s">
        <v>715</v>
      </c>
      <c r="B215" s="10" t="s">
        <v>275</v>
      </c>
      <c r="C215" s="10" t="s">
        <v>330</v>
      </c>
      <c r="D215" s="10" t="s">
        <v>194</v>
      </c>
      <c r="E215" s="11">
        <v>46236</v>
      </c>
      <c r="F215" s="10" t="s">
        <v>328</v>
      </c>
      <c r="G215" s="10" t="s">
        <v>269</v>
      </c>
      <c r="H215" s="11">
        <v>37438</v>
      </c>
      <c r="I215" s="10" t="s">
        <v>379</v>
      </c>
      <c r="J215" s="10" t="s">
        <v>21</v>
      </c>
      <c r="K215" s="10" t="s">
        <v>243</v>
      </c>
      <c r="L215" s="10" t="s">
        <v>333</v>
      </c>
      <c r="M215" s="10">
        <v>7</v>
      </c>
      <c r="N215" s="10">
        <v>700</v>
      </c>
      <c r="O215" s="10">
        <v>20</v>
      </c>
      <c r="P215" s="10">
        <v>3920</v>
      </c>
      <c r="Q215" s="10">
        <v>2</v>
      </c>
      <c r="R215" s="10" t="s">
        <v>272</v>
      </c>
      <c r="S215" s="10" t="s">
        <v>312</v>
      </c>
      <c r="T215" s="10" t="s">
        <v>278</v>
      </c>
      <c r="U215" s="10">
        <v>9580903210</v>
      </c>
      <c r="V215" s="12" t="s">
        <v>248</v>
      </c>
      <c r="W215" t="str">
        <f>IF(OR(Q215&lt;=2,V215="Cancelled"),"Blacklisted",IF(AND(P215&gt;100000,Q215&gt;=4,O215&lt;=10%,V215="Completed"),"Platinum",IF(AND(P215&gt;=50000,Q215&gt;=3,V215="Completed"),"Gold",IF(AND(P215&lt;50000,V215="Completed"),"Silver",""))))</f>
        <v>Blacklisted</v>
      </c>
      <c r="X215" t="str">
        <f>PROPER(TRIM(F215))</f>
        <v>Arjun Rao</v>
      </c>
      <c r="Y215" t="str">
        <f>LEFT(F215,3)&amp;MID(B215,2,3)&amp;LEFT(I215,2)</f>
        <v>Arj007Ko</v>
      </c>
      <c r="Z215" t="str">
        <f>IF(ISNUMBER(SEARCH("@",T215)),LOWER(TRIM(T215)),"invalid email")</f>
        <v>arjun.rao@company.com</v>
      </c>
      <c r="AA215">
        <f ca="1">IF(H214="","",IFERROR(DATEDIF(IF(ISNUMBER(H214),H214,DATE(VALUE(RIGHT(H214,4)),VALUE(MID(H214,3,2)),VALUE(LEFT(H214,2)))),TODAY(),"Y"),""))</f>
        <v>41</v>
      </c>
      <c r="AB215" t="str">
        <f>IF(OR(D215="",E215=""),"",IFERROR(DATE(MID(E215,7,4),MID(E215,4,2),LEFT(E215,2))-DATE(MID(D215,7,4),MID(D215,4,2),LEFT(D215,2)),""))</f>
        <v/>
      </c>
      <c r="AC215" t="str">
        <f>IF(E215="","Pending",IF(AB215&lt;=5,"On time","Delayed"))</f>
        <v>Delayed</v>
      </c>
      <c r="AD215" s="29" t="str">
        <f>IF(TRIM(S215)="","Not Assigned",S215)</f>
        <v>Karan</v>
      </c>
      <c r="AE215" t="str">
        <f>PROPER(TRIM(F215))</f>
        <v>Arjun Rao</v>
      </c>
      <c r="AF215" t="str">
        <f>PROPER(TRIM(K215))</f>
        <v>Electronics</v>
      </c>
      <c r="AG215" t="str">
        <f>PROPER(TRIM(J215))</f>
        <v>East</v>
      </c>
      <c r="AH215" t="str">
        <f t="shared" si="6"/>
        <v>Electronics</v>
      </c>
      <c r="AI215" t="str">
        <f t="shared" si="7"/>
        <v>Electronics</v>
      </c>
      <c r="AK215">
        <f>IF(COUNTIF($A$2:A215,A215)=1,1,0)</f>
        <v>1</v>
      </c>
    </row>
    <row r="216" spans="1:37">
      <c r="A216" s="4" t="s">
        <v>716</v>
      </c>
      <c r="B216" s="5" t="s">
        <v>235</v>
      </c>
      <c r="C216" s="5" t="s">
        <v>347</v>
      </c>
      <c r="D216" s="5" t="s">
        <v>186</v>
      </c>
      <c r="E216" s="6">
        <v>46086</v>
      </c>
      <c r="F216" s="5" t="s">
        <v>318</v>
      </c>
      <c r="G216" s="5" t="s">
        <v>239</v>
      </c>
      <c r="H216" s="5" t="s">
        <v>717</v>
      </c>
      <c r="I216" s="5" t="s">
        <v>291</v>
      </c>
      <c r="J216" s="5" t="s">
        <v>287</v>
      </c>
      <c r="K216" s="5" t="s">
        <v>295</v>
      </c>
      <c r="L216" s="5" t="s">
        <v>349</v>
      </c>
      <c r="M216" s="5">
        <v>9</v>
      </c>
      <c r="N216" s="5">
        <v>20</v>
      </c>
      <c r="O216" s="5">
        <v>15</v>
      </c>
      <c r="P216" s="5">
        <v>153</v>
      </c>
      <c r="Q216" s="5">
        <v>3</v>
      </c>
      <c r="R216" s="5" t="s">
        <v>245</v>
      </c>
      <c r="S216" s="5" t="s">
        <v>292</v>
      </c>
      <c r="T216" s="5" t="s">
        <v>247</v>
      </c>
      <c r="U216" s="5">
        <v>9602152945</v>
      </c>
      <c r="V216" s="8" t="s">
        <v>257</v>
      </c>
      <c r="W216" t="str">
        <f>IF(OR(Q216&lt;=2,V216="Cancelled"),"Blacklisted",IF(AND(P216&gt;100000,Q216&gt;=4,O216&lt;=10%,V216="Completed"),"Platinum",IF(AND(P216&gt;=50000,Q216&gt;=3,V216="Completed"),"Gold",IF(AND(P216&lt;50000,V216="Completed"),"Silver",""))))</f>
        <v>Silver</v>
      </c>
      <c r="X216" t="str">
        <f>PROPER(TRIM(F216))</f>
        <v>Pooja Shah</v>
      </c>
      <c r="Y216" t="str">
        <f>LEFT(F216,3)&amp;MID(B216,2,3)&amp;LEFT(I216,2)</f>
        <v>Poo010Pu</v>
      </c>
      <c r="Z216" t="str">
        <f>IF(ISNUMBER(SEARCH("@",T216)),LOWER(TRIM(T216)),"invalid email")</f>
        <v>pooja.shah@company.com</v>
      </c>
      <c r="AA216">
        <f ca="1">IF(H215="","",IFERROR(DATEDIF(IF(ISNUMBER(H215),H215,DATE(VALUE(RIGHT(H215,4)),VALUE(MID(H215,3,2)),VALUE(LEFT(H215,2)))),TODAY(),"Y"),""))</f>
        <v>24</v>
      </c>
      <c r="AB216" t="str">
        <f>IF(OR(D216="",E216=""),"",IFERROR(DATE(MID(E216,7,4),MID(E216,4,2),LEFT(E216,2))-DATE(MID(D216,7,4),MID(D216,4,2),LEFT(D216,2)),""))</f>
        <v/>
      </c>
      <c r="AC216" t="str">
        <f>IF(E216="","Pending",IF(AB216&lt;=5,"On time","Delayed"))</f>
        <v>Delayed</v>
      </c>
      <c r="AD216" s="29" t="str">
        <f>IF(TRIM(S216)="","Not Assigned",S216)</f>
        <v>Neha</v>
      </c>
      <c r="AE216" t="str">
        <f>PROPER(TRIM(F216))</f>
        <v>Pooja Shah</v>
      </c>
      <c r="AF216" t="str">
        <f>PROPER(TRIM(K216))</f>
        <v>Stationery</v>
      </c>
      <c r="AG216" t="str">
        <f>PROPER(TRIM(J216))</f>
        <v>West</v>
      </c>
      <c r="AH216" t="str">
        <f t="shared" si="6"/>
        <v>Stationery</v>
      </c>
      <c r="AI216" t="str">
        <f t="shared" si="7"/>
        <v>Stationery</v>
      </c>
      <c r="AK216">
        <f>IF(COUNTIF($A$2:A216,A216)=1,1,0)</f>
        <v>1</v>
      </c>
    </row>
    <row r="217" spans="1:37">
      <c r="A217" s="9" t="s">
        <v>718</v>
      </c>
      <c r="B217" s="10" t="s">
        <v>284</v>
      </c>
      <c r="C217" s="10" t="s">
        <v>322</v>
      </c>
      <c r="D217" s="10" t="s">
        <v>68</v>
      </c>
      <c r="E217" s="10" t="s">
        <v>91</v>
      </c>
      <c r="F217" s="10" t="s">
        <v>285</v>
      </c>
      <c r="G217" s="10" t="s">
        <v>239</v>
      </c>
      <c r="H217" s="11">
        <v>32913</v>
      </c>
      <c r="I217" s="10" t="s">
        <v>379</v>
      </c>
      <c r="J217" s="10" t="s">
        <v>21</v>
      </c>
      <c r="K217" s="10" t="s">
        <v>15</v>
      </c>
      <c r="L217" s="10" t="s">
        <v>325</v>
      </c>
      <c r="M217" s="10">
        <v>16</v>
      </c>
      <c r="N217" s="10">
        <v>8500</v>
      </c>
      <c r="O217" s="10">
        <v>0</v>
      </c>
      <c r="P217" s="10">
        <v>136000</v>
      </c>
      <c r="Q217" s="10">
        <v>4</v>
      </c>
      <c r="R217" s="10" t="s">
        <v>245</v>
      </c>
      <c r="S217" s="10" t="s">
        <v>255</v>
      </c>
      <c r="T217" s="10" t="s">
        <v>308</v>
      </c>
      <c r="U217" s="10">
        <v>9646917552</v>
      </c>
      <c r="V217" s="12" t="s">
        <v>257</v>
      </c>
      <c r="W217" t="str">
        <f>IF(OR(Q217&lt;=2,V217="Cancelled"),"Blacklisted",IF(AND(P217&gt;100000,Q217&gt;=4,O217&lt;=10%,V217="Completed"),"Platinum",IF(AND(P217&gt;=50000,Q217&gt;=3,V217="Completed"),"Gold",IF(AND(P217&lt;50000,V217="Completed"),"Silver",""))))</f>
        <v>Platinum</v>
      </c>
      <c r="X217" t="str">
        <f>PROPER(TRIM(F217))</f>
        <v>Priya Patel</v>
      </c>
      <c r="Y217" t="str">
        <f>LEFT(F217,3)&amp;MID(B217,2,3)&amp;LEFT(I217,2)</f>
        <v>Pri002Ko</v>
      </c>
      <c r="Z217" t="str">
        <f>IF(ISNUMBER(SEARCH("@",T217)),LOWER(TRIM(T217)),"invalid email")</f>
        <v>priya.patel@company.com</v>
      </c>
      <c r="AA217" t="str">
        <f ca="1">IF(H216="","",IFERROR(DATEDIF(IF(ISNUMBER(H216),H216,DATE(VALUE(RIGHT(H216,4)),VALUE(MID(H216,3,2)),VALUE(LEFT(H216,2)))),TODAY(),"Y"),""))</f>
        <v/>
      </c>
      <c r="AB217">
        <f>IF(OR(D217="",E217=""),"",IFERROR(DATE(MID(E217,7,4),MID(E217,4,2),LEFT(E217,2))-DATE(MID(D217,7,4),MID(D217,4,2),LEFT(D217,2)),""))</f>
        <v>2</v>
      </c>
      <c r="AC217" t="str">
        <f>IF(E217="","Pending",IF(AB217&lt;=5,"On time","Delayed"))</f>
        <v>On time</v>
      </c>
      <c r="AD217" s="29" t="str">
        <f>IF(TRIM(S217)="","Not Assigned",S217)</f>
        <v>Ritika</v>
      </c>
      <c r="AE217" t="str">
        <f>PROPER(TRIM(F217))</f>
        <v>Priya Patel</v>
      </c>
      <c r="AF217" t="str">
        <f>PROPER(TRIM(K217))</f>
        <v>Home Appliances</v>
      </c>
      <c r="AG217" t="str">
        <f>PROPER(TRIM(J217))</f>
        <v>East</v>
      </c>
      <c r="AH217" t="str">
        <f t="shared" si="6"/>
        <v>Home Appliances</v>
      </c>
      <c r="AI217" t="str">
        <f t="shared" si="7"/>
        <v>Home Appliances</v>
      </c>
      <c r="AK217">
        <f>IF(COUNTIF($A$2:A217,A217)=1,1,0)</f>
        <v>1</v>
      </c>
    </row>
    <row r="218" spans="1:37">
      <c r="A218" s="4" t="s">
        <v>719</v>
      </c>
      <c r="B218" s="5" t="s">
        <v>358</v>
      </c>
      <c r="C218" s="5" t="s">
        <v>280</v>
      </c>
      <c r="D218" s="5" t="s">
        <v>152</v>
      </c>
      <c r="E218" s="5" t="s">
        <v>720</v>
      </c>
      <c r="F218" s="5" t="s">
        <v>359</v>
      </c>
      <c r="G218" s="5" t="s">
        <v>239</v>
      </c>
      <c r="H218" s="6">
        <v>33642</v>
      </c>
      <c r="I218" s="5" t="s">
        <v>260</v>
      </c>
      <c r="J218" s="5" t="s">
        <v>261</v>
      </c>
      <c r="K218" s="5" t="s">
        <v>15</v>
      </c>
      <c r="L218" s="5" t="s">
        <v>282</v>
      </c>
      <c r="M218" s="5">
        <v>10</v>
      </c>
      <c r="N218" s="5">
        <v>3500</v>
      </c>
      <c r="O218" s="5">
        <v>5</v>
      </c>
      <c r="P218" s="5">
        <v>33250</v>
      </c>
      <c r="Q218" s="5">
        <v>3</v>
      </c>
      <c r="R218" s="5" t="s">
        <v>245</v>
      </c>
      <c r="S218" s="5" t="s">
        <v>292</v>
      </c>
      <c r="T218" s="5" t="s">
        <v>360</v>
      </c>
      <c r="U218" s="5">
        <v>9127548552</v>
      </c>
      <c r="V218" s="8" t="s">
        <v>257</v>
      </c>
      <c r="W218" t="str">
        <f>IF(OR(Q218&lt;=2,V218="Cancelled"),"Blacklisted",IF(AND(P218&gt;100000,Q218&gt;=4,O218&lt;=10%,V218="Completed"),"Platinum",IF(AND(P218&gt;=50000,Q218&gt;=3,V218="Completed"),"Gold",IF(AND(P218&lt;50000,V218="Completed"),"Silver",""))))</f>
        <v>Silver</v>
      </c>
      <c r="X218" t="str">
        <f>PROPER(TRIM(F218))</f>
        <v>Sneha Joshi</v>
      </c>
      <c r="Y218" t="str">
        <f>LEFT(F218,3)&amp;MID(B218,2,3)&amp;LEFT(I218,2)</f>
        <v>Sne006De</v>
      </c>
      <c r="Z218" t="str">
        <f>IF(ISNUMBER(SEARCH("@",T218)),LOWER(TRIM(T218)),"invalid email")</f>
        <v>sneha.joshi@company.com</v>
      </c>
      <c r="AA218">
        <f ca="1">IF(H217="","",IFERROR(DATEDIF(IF(ISNUMBER(H217),H217,DATE(VALUE(RIGHT(H217,4)),VALUE(MID(H217,3,2)),VALUE(LEFT(H217,2)))),TODAY(),"Y"),""))</f>
        <v>36</v>
      </c>
      <c r="AB218">
        <f>IF(OR(D218="",E218=""),"",IFERROR(DATE(MID(E218,7,4),MID(E218,4,2),LEFT(E218,2))-DATE(MID(D218,7,4),MID(D218,4,2),LEFT(D218,2)),""))</f>
        <v>2</v>
      </c>
      <c r="AC218" t="str">
        <f>IF(E218="","Pending",IF(AB218&lt;=5,"On time","Delayed"))</f>
        <v>On time</v>
      </c>
      <c r="AD218" s="29" t="str">
        <f>IF(TRIM(S218)="","Not Assigned",S218)</f>
        <v>Neha</v>
      </c>
      <c r="AE218" t="str">
        <f>PROPER(TRIM(F218))</f>
        <v>Sneha Joshi</v>
      </c>
      <c r="AF218" t="str">
        <f>PROPER(TRIM(K218))</f>
        <v>Home Appliances</v>
      </c>
      <c r="AG218" t="str">
        <f>PROPER(TRIM(J218))</f>
        <v>North</v>
      </c>
      <c r="AH218" t="str">
        <f t="shared" si="6"/>
        <v>Home Appliances</v>
      </c>
      <c r="AI218" t="str">
        <f t="shared" si="7"/>
        <v>Home Appliances</v>
      </c>
      <c r="AK218">
        <f>IF(COUNTIF($A$2:A218,A218)=1,1,0)</f>
        <v>1</v>
      </c>
    </row>
    <row r="219" spans="1:37">
      <c r="A219" s="9" t="s">
        <v>721</v>
      </c>
      <c r="B219" s="10" t="s">
        <v>235</v>
      </c>
      <c r="C219" s="10" t="s">
        <v>258</v>
      </c>
      <c r="D219" s="10" t="s">
        <v>74</v>
      </c>
      <c r="E219" s="10" t="s">
        <v>161</v>
      </c>
      <c r="F219" s="10" t="s">
        <v>318</v>
      </c>
      <c r="G219" s="10" t="s">
        <v>239</v>
      </c>
      <c r="H219" s="11">
        <v>29466</v>
      </c>
      <c r="I219" s="10" t="s">
        <v>379</v>
      </c>
      <c r="J219" s="10" t="s">
        <v>21</v>
      </c>
      <c r="K219" s="10" t="s">
        <v>243</v>
      </c>
      <c r="L219" s="10" t="s">
        <v>262</v>
      </c>
      <c r="M219" s="10">
        <v>1</v>
      </c>
      <c r="N219" s="10">
        <v>12000</v>
      </c>
      <c r="O219" s="10">
        <v>0</v>
      </c>
      <c r="P219" s="10">
        <v>12000</v>
      </c>
      <c r="Q219" s="10">
        <v>5</v>
      </c>
      <c r="R219" s="10" t="s">
        <v>277</v>
      </c>
      <c r="S219" s="10" t="s">
        <v>292</v>
      </c>
      <c r="T219" s="10" t="s">
        <v>247</v>
      </c>
      <c r="U219" s="10">
        <v>9712805603</v>
      </c>
      <c r="V219" s="12" t="s">
        <v>248</v>
      </c>
      <c r="W219" t="str">
        <f>IF(OR(Q219&lt;=2,V219="Cancelled"),"Blacklisted",IF(AND(P219&gt;100000,Q219&gt;=4,O219&lt;=10%,V219="Completed"),"Platinum",IF(AND(P219&gt;=50000,Q219&gt;=3,V219="Completed"),"Gold",IF(AND(P219&lt;50000,V219="Completed"),"Silver",""))))</f>
        <v/>
      </c>
      <c r="X219" t="str">
        <f>PROPER(TRIM(F219))</f>
        <v>Pooja Shah</v>
      </c>
      <c r="Y219" t="str">
        <f>LEFT(F219,3)&amp;MID(B219,2,3)&amp;LEFT(I219,2)</f>
        <v>Poo010Ko</v>
      </c>
      <c r="Z219" t="str">
        <f>IF(ISNUMBER(SEARCH("@",T219)),LOWER(TRIM(T219)),"invalid email")</f>
        <v>pooja.shah@company.com</v>
      </c>
      <c r="AA219">
        <f ca="1">IF(H218="","",IFERROR(DATEDIF(IF(ISNUMBER(H218),H218,DATE(VALUE(RIGHT(H218,4)),VALUE(MID(H218,3,2)),VALUE(LEFT(H218,2)))),TODAY(),"Y"),""))</f>
        <v>34</v>
      </c>
      <c r="AB219">
        <f>IF(OR(D219="",E219=""),"",IFERROR(DATE(MID(E219,7,4),MID(E219,4,2),LEFT(E219,2))-DATE(MID(D219,7,4),MID(D219,4,2),LEFT(D219,2)),""))</f>
        <v>8</v>
      </c>
      <c r="AC219" t="str">
        <f>IF(E219="","Pending",IF(AB219&lt;=5,"On time","Delayed"))</f>
        <v>Delayed</v>
      </c>
      <c r="AD219" s="29" t="str">
        <f>IF(TRIM(S219)="","Not Assigned",S219)</f>
        <v>Neha</v>
      </c>
      <c r="AE219" t="str">
        <f>PROPER(TRIM(F219))</f>
        <v>Pooja Shah</v>
      </c>
      <c r="AF219" t="str">
        <f>PROPER(TRIM(K219))</f>
        <v>Electronics</v>
      </c>
      <c r="AG219" t="str">
        <f>PROPER(TRIM(J219))</f>
        <v>East</v>
      </c>
      <c r="AH219" t="str">
        <f t="shared" si="6"/>
        <v>Electronics</v>
      </c>
      <c r="AI219" t="str">
        <f t="shared" si="7"/>
        <v>Electronics</v>
      </c>
      <c r="AK219">
        <f>IF(COUNTIF($A$2:A219,A219)=1,1,0)</f>
        <v>1</v>
      </c>
    </row>
    <row r="220" spans="1:37">
      <c r="A220" s="4" t="s">
        <v>722</v>
      </c>
      <c r="B220" s="5" t="s">
        <v>392</v>
      </c>
      <c r="C220" s="5" t="s">
        <v>362</v>
      </c>
      <c r="D220" s="6">
        <v>46058</v>
      </c>
      <c r="E220" s="6">
        <v>46300</v>
      </c>
      <c r="F220" s="5" t="s">
        <v>323</v>
      </c>
      <c r="G220" s="5" t="s">
        <v>269</v>
      </c>
      <c r="H220" s="5" t="s">
        <v>723</v>
      </c>
      <c r="I220" s="5" t="s">
        <v>379</v>
      </c>
      <c r="J220" s="5" t="s">
        <v>21</v>
      </c>
      <c r="K220" s="5" t="s">
        <v>295</v>
      </c>
      <c r="L220" s="5" t="s">
        <v>363</v>
      </c>
      <c r="M220" s="5">
        <v>19</v>
      </c>
      <c r="N220" s="5">
        <v>45</v>
      </c>
      <c r="O220" s="5">
        <v>15</v>
      </c>
      <c r="P220" s="5">
        <v>726.75</v>
      </c>
      <c r="Q220" s="5">
        <v>2</v>
      </c>
      <c r="R220" s="5" t="s">
        <v>277</v>
      </c>
      <c r="S220" s="5" t="s">
        <v>312</v>
      </c>
      <c r="T220" s="5" t="s">
        <v>395</v>
      </c>
      <c r="U220" s="5">
        <v>9798313682</v>
      </c>
      <c r="V220" s="8" t="s">
        <v>248</v>
      </c>
      <c r="W220" t="str">
        <f>IF(OR(Q220&lt;=2,V220="Cancelled"),"Blacklisted",IF(AND(P220&gt;100000,Q220&gt;=4,O220&lt;=10%,V220="Completed"),"Platinum",IF(AND(P220&gt;=50000,Q220&gt;=3,V220="Completed"),"Gold",IF(AND(P220&lt;50000,V220="Completed"),"Silver",""))))</f>
        <v>Blacklisted</v>
      </c>
      <c r="X220" t="str">
        <f>PROPER(TRIM(F220))</f>
        <v>Amit Sharma</v>
      </c>
      <c r="Y220" t="str">
        <f>LEFT(F220,3)&amp;MID(B220,2,3)&amp;LEFT(I220,2)</f>
        <v>Ami001Ko</v>
      </c>
      <c r="Z220" t="str">
        <f>IF(ISNUMBER(SEARCH("@",T220)),LOWER(TRIM(T220)),"invalid email")</f>
        <v>amit.sharma@company.com</v>
      </c>
      <c r="AA220">
        <f ca="1">IF(H219="","",IFERROR(DATEDIF(IF(ISNUMBER(H219),H219,DATE(VALUE(RIGHT(H219,4)),VALUE(MID(H219,3,2)),VALUE(LEFT(H219,2)))),TODAY(),"Y"),""))</f>
        <v>46</v>
      </c>
      <c r="AB220" t="str">
        <f>IF(OR(D220="",E220=""),"",IFERROR(DATE(MID(E220,7,4),MID(E220,4,2),LEFT(E220,2))-DATE(MID(D220,7,4),MID(D220,4,2),LEFT(D220,2)),""))</f>
        <v/>
      </c>
      <c r="AC220" t="str">
        <f>IF(E220="","Pending",IF(AB220&lt;=5,"On time","Delayed"))</f>
        <v>Delayed</v>
      </c>
      <c r="AD220" s="29" t="str">
        <f>IF(TRIM(S220)="","Not Assigned",S220)</f>
        <v>Karan</v>
      </c>
      <c r="AE220" t="str">
        <f>PROPER(TRIM(F220))</f>
        <v>Amit Sharma</v>
      </c>
      <c r="AF220" t="str">
        <f>PROPER(TRIM(K220))</f>
        <v>Stationery</v>
      </c>
      <c r="AG220" t="str">
        <f>PROPER(TRIM(J220))</f>
        <v>East</v>
      </c>
      <c r="AH220" t="str">
        <f t="shared" si="6"/>
        <v>Stationery</v>
      </c>
      <c r="AI220" t="str">
        <f t="shared" si="7"/>
        <v>Stationery</v>
      </c>
      <c r="AK220">
        <f>IF(COUNTIF($A$2:A220,A220)=1,1,0)</f>
        <v>1</v>
      </c>
    </row>
    <row r="221" spans="1:37">
      <c r="A221" s="9" t="s">
        <v>724</v>
      </c>
      <c r="B221" s="10" t="s">
        <v>249</v>
      </c>
      <c r="C221" s="10" t="s">
        <v>236</v>
      </c>
      <c r="D221" s="10" t="s">
        <v>205</v>
      </c>
      <c r="E221" s="11">
        <v>45699</v>
      </c>
      <c r="F221" s="10" t="s">
        <v>251</v>
      </c>
      <c r="G221" s="10" t="s">
        <v>239</v>
      </c>
      <c r="H221" s="11">
        <v>34251</v>
      </c>
      <c r="I221" s="10" t="s">
        <v>260</v>
      </c>
      <c r="J221" s="10" t="s">
        <v>261</v>
      </c>
      <c r="K221" s="10" t="s">
        <v>243</v>
      </c>
      <c r="L221" s="10" t="s">
        <v>244</v>
      </c>
      <c r="M221" s="10">
        <v>13</v>
      </c>
      <c r="N221" s="10">
        <v>55000</v>
      </c>
      <c r="O221" s="10">
        <v>5</v>
      </c>
      <c r="P221" s="10">
        <v>679250</v>
      </c>
      <c r="Q221" s="10">
        <v>4</v>
      </c>
      <c r="R221" s="10" t="s">
        <v>272</v>
      </c>
      <c r="S221" s="10" t="s">
        <v>263</v>
      </c>
      <c r="T221" s="10" t="s">
        <v>264</v>
      </c>
      <c r="U221" s="10">
        <v>9642822397</v>
      </c>
      <c r="V221" s="12" t="s">
        <v>265</v>
      </c>
      <c r="W221" t="str">
        <f>IF(OR(Q221&lt;=2,V221="Cancelled"),"Blacklisted",IF(AND(P221&gt;100000,Q221&gt;=4,O221&lt;=10%,V221="Completed"),"Platinum",IF(AND(P221&gt;=50000,Q221&gt;=3,V221="Completed"),"Gold",IF(AND(P221&lt;50000,V221="Completed"),"Silver",""))))</f>
        <v>Blacklisted</v>
      </c>
      <c r="X221" t="str">
        <f>PROPER(TRIM(F221))</f>
        <v>Kavya Nair</v>
      </c>
      <c r="Y221" t="str">
        <f>LEFT(F221,3)&amp;MID(B221,2,3)&amp;LEFT(I221,2)</f>
        <v>Kav008De</v>
      </c>
      <c r="Z221" t="str">
        <f>IF(ISNUMBER(SEARCH("@",T221)),LOWER(TRIM(T221)),"invalid email")</f>
        <v>kavya.nair@company.com</v>
      </c>
      <c r="AA221" t="str">
        <f ca="1">IF(H220="","",IFERROR(DATEDIF(IF(ISNUMBER(H220),H220,DATE(VALUE(RIGHT(H220,4)),VALUE(MID(H220,3,2)),VALUE(LEFT(H220,2)))),TODAY(),"Y"),""))</f>
        <v/>
      </c>
      <c r="AB221" t="str">
        <f>IF(OR(D221="",E221=""),"",IFERROR(DATE(MID(E221,7,4),MID(E221,4,2),LEFT(E221,2))-DATE(MID(D221,7,4),MID(D221,4,2),LEFT(D221,2)),""))</f>
        <v/>
      </c>
      <c r="AC221" t="str">
        <f>IF(E221="","Pending",IF(AB221&lt;=5,"On time","Delayed"))</f>
        <v>Delayed</v>
      </c>
      <c r="AD221" s="29" t="str">
        <f>IF(TRIM(S221)="","Not Assigned",S221)</f>
        <v>Rahul</v>
      </c>
      <c r="AE221" t="str">
        <f>PROPER(TRIM(F221))</f>
        <v>Kavya Nair</v>
      </c>
      <c r="AF221" t="str">
        <f>PROPER(TRIM(K221))</f>
        <v>Electronics</v>
      </c>
      <c r="AG221" t="str">
        <f>PROPER(TRIM(J221))</f>
        <v>North</v>
      </c>
      <c r="AH221" t="str">
        <f t="shared" si="6"/>
        <v>Electronics</v>
      </c>
      <c r="AI221" t="str">
        <f t="shared" si="7"/>
        <v>Electronics</v>
      </c>
      <c r="AK221">
        <f>IF(COUNTIF($A$2:A221,A221)=1,1,0)</f>
        <v>1</v>
      </c>
    </row>
    <row r="222" spans="1:37">
      <c r="A222" s="4" t="s">
        <v>725</v>
      </c>
      <c r="B222" s="5" t="s">
        <v>275</v>
      </c>
      <c r="C222" s="5" t="s">
        <v>362</v>
      </c>
      <c r="D222" s="5" t="s">
        <v>93</v>
      </c>
      <c r="E222" s="5" t="s">
        <v>157</v>
      </c>
      <c r="F222" s="5" t="s">
        <v>328</v>
      </c>
      <c r="G222" s="5" t="s">
        <v>269</v>
      </c>
      <c r="H222" s="5" t="s">
        <v>726</v>
      </c>
      <c r="I222" s="5" t="s">
        <v>286</v>
      </c>
      <c r="J222" s="5" t="s">
        <v>287</v>
      </c>
      <c r="K222" s="5" t="s">
        <v>295</v>
      </c>
      <c r="L222" s="5" t="s">
        <v>363</v>
      </c>
      <c r="M222" s="5">
        <v>2</v>
      </c>
      <c r="N222" s="5">
        <v>45</v>
      </c>
      <c r="O222" s="5">
        <v>15</v>
      </c>
      <c r="P222" s="5">
        <v>76.5</v>
      </c>
      <c r="Q222" s="5">
        <v>1</v>
      </c>
      <c r="R222" s="5" t="s">
        <v>245</v>
      </c>
      <c r="S222" s="5" t="s">
        <v>292</v>
      </c>
      <c r="T222" s="5" t="s">
        <v>278</v>
      </c>
      <c r="U222" s="5">
        <v>9490067655</v>
      </c>
      <c r="V222" s="8" t="s">
        <v>257</v>
      </c>
      <c r="W222" t="str">
        <f>IF(OR(Q222&lt;=2,V222="Cancelled"),"Blacklisted",IF(AND(P222&gt;100000,Q222&gt;=4,O222&lt;=10%,V222="Completed"),"Platinum",IF(AND(P222&gt;=50000,Q222&gt;=3,V222="Completed"),"Gold",IF(AND(P222&lt;50000,V222="Completed"),"Silver",""))))</f>
        <v>Blacklisted</v>
      </c>
      <c r="X222" t="str">
        <f>PROPER(TRIM(F222))</f>
        <v>Arjun Rao</v>
      </c>
      <c r="Y222" t="str">
        <f>LEFT(F222,3)&amp;MID(B222,2,3)&amp;LEFT(I222,2)</f>
        <v>Arj007Mu</v>
      </c>
      <c r="Z222" t="str">
        <f>IF(ISNUMBER(SEARCH("@",T222)),LOWER(TRIM(T222)),"invalid email")</f>
        <v>arjun.rao@company.com</v>
      </c>
      <c r="AA222">
        <f ca="1">IF(H221="","",IFERROR(DATEDIF(IF(ISNUMBER(H221),H221,DATE(VALUE(RIGHT(H221,4)),VALUE(MID(H221,3,2)),VALUE(LEFT(H221,2)))),TODAY(),"Y"),""))</f>
        <v>33</v>
      </c>
      <c r="AB222">
        <f>IF(OR(D222="",E222=""),"",IFERROR(DATE(MID(E222,7,4),MID(E222,4,2),LEFT(E222,2))-DATE(MID(D222,7,4),MID(D222,4,2),LEFT(D222,2)),""))</f>
        <v>6</v>
      </c>
      <c r="AC222" t="str">
        <f>IF(E222="","Pending",IF(AB222&lt;=5,"On time","Delayed"))</f>
        <v>Delayed</v>
      </c>
      <c r="AD222" s="29" t="str">
        <f>IF(TRIM(S222)="","Not Assigned",S222)</f>
        <v>Neha</v>
      </c>
      <c r="AE222" t="str">
        <f>PROPER(TRIM(F222))</f>
        <v>Arjun Rao</v>
      </c>
      <c r="AF222" t="str">
        <f>PROPER(TRIM(K222))</f>
        <v>Stationery</v>
      </c>
      <c r="AG222" t="str">
        <f>PROPER(TRIM(J222))</f>
        <v>West</v>
      </c>
      <c r="AH222" t="str">
        <f t="shared" si="6"/>
        <v>Stationery</v>
      </c>
      <c r="AI222" t="str">
        <f t="shared" si="7"/>
        <v>Stationery</v>
      </c>
      <c r="AK222">
        <f>IF(COUNTIF($A$2:A222,A222)=1,1,0)</f>
        <v>1</v>
      </c>
    </row>
    <row r="223" spans="1:37">
      <c r="A223" s="9" t="s">
        <v>727</v>
      </c>
      <c r="B223" s="10" t="s">
        <v>284</v>
      </c>
      <c r="C223" s="10" t="s">
        <v>347</v>
      </c>
      <c r="D223" s="10" t="s">
        <v>75</v>
      </c>
      <c r="E223" s="10" t="s">
        <v>728</v>
      </c>
      <c r="F223" s="10" t="s">
        <v>285</v>
      </c>
      <c r="G223" s="10" t="s">
        <v>239</v>
      </c>
      <c r="H223" s="10" t="s">
        <v>729</v>
      </c>
      <c r="I223" s="10" t="s">
        <v>252</v>
      </c>
      <c r="J223" s="10" t="s">
        <v>242</v>
      </c>
      <c r="K223" s="10" t="s">
        <v>295</v>
      </c>
      <c r="L223" s="10" t="s">
        <v>349</v>
      </c>
      <c r="M223" s="10">
        <v>8</v>
      </c>
      <c r="N223" s="10">
        <v>20</v>
      </c>
      <c r="O223" s="10">
        <v>15</v>
      </c>
      <c r="P223" s="10">
        <v>136</v>
      </c>
      <c r="Q223" s="10">
        <v>1</v>
      </c>
      <c r="R223" s="10" t="s">
        <v>272</v>
      </c>
      <c r="S223" s="10" t="s">
        <v>255</v>
      </c>
      <c r="T223" s="10" t="s">
        <v>308</v>
      </c>
      <c r="U223" s="10">
        <v>9389792144</v>
      </c>
      <c r="V223" s="12" t="s">
        <v>248</v>
      </c>
      <c r="W223" t="str">
        <f>IF(OR(Q223&lt;=2,V223="Cancelled"),"Blacklisted",IF(AND(P223&gt;100000,Q223&gt;=4,O223&lt;=10%,V223="Completed"),"Platinum",IF(AND(P223&gt;=50000,Q223&gt;=3,V223="Completed"),"Gold",IF(AND(P223&lt;50000,V223="Completed"),"Silver",""))))</f>
        <v>Blacklisted</v>
      </c>
      <c r="X223" t="str">
        <f>PROPER(TRIM(F223))</f>
        <v>Priya Patel</v>
      </c>
      <c r="Y223" t="str">
        <f>LEFT(F223,3)&amp;MID(B223,2,3)&amp;LEFT(I223,2)</f>
        <v>Pri002Hy</v>
      </c>
      <c r="Z223" t="str">
        <f>IF(ISNUMBER(SEARCH("@",T223)),LOWER(TRIM(T223)),"invalid email")</f>
        <v>priya.patel@company.com</v>
      </c>
      <c r="AA223" t="str">
        <f ca="1">IF(H222="","",IFERROR(DATEDIF(IF(ISNUMBER(H222),H222,DATE(VALUE(RIGHT(H222,4)),VALUE(MID(H222,3,2)),VALUE(LEFT(H222,2)))),TODAY(),"Y"),""))</f>
        <v/>
      </c>
      <c r="AB223">
        <f>IF(OR(D223="",E223=""),"",IFERROR(DATE(MID(E223,7,4),MID(E223,4,2),LEFT(E223,2))-DATE(MID(D223,7,4),MID(D223,4,2),LEFT(D223,2)),""))</f>
        <v>5</v>
      </c>
      <c r="AC223" t="str">
        <f>IF(E223="","Pending",IF(AB223&lt;=5,"On time","Delayed"))</f>
        <v>On time</v>
      </c>
      <c r="AD223" s="29" t="str">
        <f>IF(TRIM(S223)="","Not Assigned",S223)</f>
        <v>Ritika</v>
      </c>
      <c r="AE223" t="str">
        <f>PROPER(TRIM(F223))</f>
        <v>Priya Patel</v>
      </c>
      <c r="AF223" t="str">
        <f>PROPER(TRIM(K223))</f>
        <v>Stationery</v>
      </c>
      <c r="AG223" t="str">
        <f>PROPER(TRIM(J223))</f>
        <v>South</v>
      </c>
      <c r="AH223" t="str">
        <f t="shared" si="6"/>
        <v>Stationery</v>
      </c>
      <c r="AI223" t="str">
        <f t="shared" si="7"/>
        <v>Stationery</v>
      </c>
      <c r="AK223">
        <f>IF(COUNTIF($A$2:A223,A223)=1,1,0)</f>
        <v>1</v>
      </c>
    </row>
    <row r="224" spans="1:37">
      <c r="A224" s="4" t="s">
        <v>730</v>
      </c>
      <c r="B224" s="5" t="s">
        <v>321</v>
      </c>
      <c r="C224" s="5" t="s">
        <v>258</v>
      </c>
      <c r="D224" s="5" t="s">
        <v>89</v>
      </c>
      <c r="E224" s="6">
        <v>45662</v>
      </c>
      <c r="F224" s="5" t="s">
        <v>408</v>
      </c>
      <c r="G224" s="5" t="s">
        <v>239</v>
      </c>
      <c r="H224" s="5" t="s">
        <v>731</v>
      </c>
      <c r="I224" s="5" t="s">
        <v>252</v>
      </c>
      <c r="J224" s="5" t="s">
        <v>242</v>
      </c>
      <c r="K224" s="5" t="s">
        <v>243</v>
      </c>
      <c r="L224" s="5" t="s">
        <v>262</v>
      </c>
      <c r="M224" s="5">
        <v>9</v>
      </c>
      <c r="N224" s="5">
        <v>12000</v>
      </c>
      <c r="O224" s="5">
        <v>5</v>
      </c>
      <c r="P224" s="5">
        <v>102600</v>
      </c>
      <c r="Q224" s="5">
        <v>2</v>
      </c>
      <c r="R224" s="5" t="s">
        <v>272</v>
      </c>
      <c r="S224" s="5" t="s">
        <v>255</v>
      </c>
      <c r="T224" s="5" t="s">
        <v>326</v>
      </c>
      <c r="U224" s="5">
        <v>9736113863</v>
      </c>
      <c r="V224" s="8" t="s">
        <v>265</v>
      </c>
      <c r="W224" t="str">
        <f>IF(OR(Q224&lt;=2,V224="Cancelled"),"Blacklisted",IF(AND(P224&gt;100000,Q224&gt;=4,O224&lt;=10%,V224="Completed"),"Platinum",IF(AND(P224&gt;=50000,Q224&gt;=3,V224="Completed"),"Gold",IF(AND(P224&lt;50000,V224="Completed"),"Silver",""))))</f>
        <v>Blacklisted</v>
      </c>
      <c r="X224" t="str">
        <f>PROPER(TRIM(F224))</f>
        <v>Anita Gupta</v>
      </c>
      <c r="Y224" t="str">
        <f>LEFT(F224,3)&amp;MID(B224,2,3)&amp;LEFT(I224,2)</f>
        <v>Ani004Hy</v>
      </c>
      <c r="Z224" t="str">
        <f>IF(ISNUMBER(SEARCH("@",T224)),LOWER(TRIM(T224)),"invalid email")</f>
        <v>anita.gupta@company.com</v>
      </c>
      <c r="AA224" t="str">
        <f ca="1">IF(H223="","",IFERROR(DATEDIF(IF(ISNUMBER(H223),H223,DATE(VALUE(RIGHT(H223,4)),VALUE(MID(H223,3,2)),VALUE(LEFT(H223,2)))),TODAY(),"Y"),""))</f>
        <v/>
      </c>
      <c r="AB224" t="str">
        <f>IF(OR(D224="",E224=""),"",IFERROR(DATE(MID(E224,7,4),MID(E224,4,2),LEFT(E224,2))-DATE(MID(D224,7,4),MID(D224,4,2),LEFT(D224,2)),""))</f>
        <v/>
      </c>
      <c r="AC224" t="str">
        <f>IF(E224="","Pending",IF(AB224&lt;=5,"On time","Delayed"))</f>
        <v>Delayed</v>
      </c>
      <c r="AD224" s="29" t="str">
        <f>IF(TRIM(S224)="","Not Assigned",S224)</f>
        <v>Ritika</v>
      </c>
      <c r="AE224" t="str">
        <f>PROPER(TRIM(F224))</f>
        <v>Anita Gupta</v>
      </c>
      <c r="AF224" t="str">
        <f>PROPER(TRIM(K224))</f>
        <v>Electronics</v>
      </c>
      <c r="AG224" t="str">
        <f>PROPER(TRIM(J224))</f>
        <v>South</v>
      </c>
      <c r="AH224" t="str">
        <f t="shared" si="6"/>
        <v>Electronics</v>
      </c>
      <c r="AI224" t="str">
        <f t="shared" si="7"/>
        <v>Electronics</v>
      </c>
      <c r="AK224">
        <f>IF(COUNTIF($A$2:A224,A224)=1,1,0)</f>
        <v>1</v>
      </c>
    </row>
    <row r="225" spans="1:37">
      <c r="A225" s="9" t="s">
        <v>732</v>
      </c>
      <c r="B225" s="10" t="s">
        <v>266</v>
      </c>
      <c r="C225" s="10" t="s">
        <v>280</v>
      </c>
      <c r="D225" s="11">
        <v>45783</v>
      </c>
      <c r="E225" s="10" t="s">
        <v>733</v>
      </c>
      <c r="F225" s="10" t="s">
        <v>268</v>
      </c>
      <c r="G225" s="10" t="s">
        <v>269</v>
      </c>
      <c r="H225" s="11">
        <v>34612</v>
      </c>
      <c r="I225" s="10" t="s">
        <v>379</v>
      </c>
      <c r="J225" s="10" t="s">
        <v>21</v>
      </c>
      <c r="K225" s="10" t="s">
        <v>15</v>
      </c>
      <c r="L225" s="10" t="s">
        <v>282</v>
      </c>
      <c r="M225" s="10">
        <v>3</v>
      </c>
      <c r="N225" s="10">
        <v>3500</v>
      </c>
      <c r="O225" s="10">
        <v>15</v>
      </c>
      <c r="P225" s="10">
        <v>8925</v>
      </c>
      <c r="Q225" s="10">
        <v>1</v>
      </c>
      <c r="R225" s="10" t="s">
        <v>254</v>
      </c>
      <c r="S225" s="10" t="s">
        <v>263</v>
      </c>
      <c r="T225" s="10" t="s">
        <v>273</v>
      </c>
      <c r="U225" s="10">
        <v>9324634732</v>
      </c>
      <c r="V225" s="12" t="s">
        <v>265</v>
      </c>
      <c r="W225" t="str">
        <f>IF(OR(Q225&lt;=2,V225="Cancelled"),"Blacklisted",IF(AND(P225&gt;100000,Q225&gt;=4,O225&lt;=10%,V225="Completed"),"Platinum",IF(AND(P225&gt;=50000,Q225&gt;=3,V225="Completed"),"Gold",IF(AND(P225&lt;50000,V225="Completed"),"Silver",""))))</f>
        <v>Blacklisted</v>
      </c>
      <c r="X225" t="str">
        <f>PROPER(TRIM(F225))</f>
        <v>Mohit Verma</v>
      </c>
      <c r="Y225" t="str">
        <f>LEFT(F225,3)&amp;MID(B225,2,3)&amp;LEFT(I225,2)</f>
        <v>Moh009Ko</v>
      </c>
      <c r="Z225" t="str">
        <f>IF(ISNUMBER(SEARCH("@",T225)),LOWER(TRIM(T225)),"invalid email")</f>
        <v>mohit.verma@company.com</v>
      </c>
      <c r="AA225" t="str">
        <f ca="1">IF(H224="","",IFERROR(DATEDIF(IF(ISNUMBER(H224),H224,DATE(VALUE(RIGHT(H224,4)),VALUE(MID(H224,3,2)),VALUE(LEFT(H224,2)))),TODAY(),"Y"),""))</f>
        <v/>
      </c>
      <c r="AB225" t="str">
        <f>IF(OR(D225="",E225=""),"",IFERROR(DATE(MID(E225,7,4),MID(E225,4,2),LEFT(E225,2))-DATE(MID(D225,7,4),MID(D225,4,2),LEFT(D225,2)),""))</f>
        <v/>
      </c>
      <c r="AC225" t="str">
        <f>IF(E225="","Pending",IF(AB225&lt;=5,"On time","Delayed"))</f>
        <v>Delayed</v>
      </c>
      <c r="AD225" s="29" t="str">
        <f>IF(TRIM(S225)="","Not Assigned",S225)</f>
        <v>Rahul</v>
      </c>
      <c r="AE225" t="str">
        <f>PROPER(TRIM(F225))</f>
        <v>Mohit Verma</v>
      </c>
      <c r="AF225" t="str">
        <f>PROPER(TRIM(K225))</f>
        <v>Home Appliances</v>
      </c>
      <c r="AG225" t="str">
        <f>PROPER(TRIM(J225))</f>
        <v>East</v>
      </c>
      <c r="AH225" t="str">
        <f t="shared" si="6"/>
        <v>Home Appliances</v>
      </c>
      <c r="AI225" t="str">
        <f t="shared" si="7"/>
        <v>Home Appliances</v>
      </c>
      <c r="AK225">
        <f>IF(COUNTIF($A$2:A225,A225)=1,1,0)</f>
        <v>1</v>
      </c>
    </row>
    <row r="226" spans="1:37">
      <c r="A226" s="4" t="s">
        <v>734</v>
      </c>
      <c r="B226" s="5" t="s">
        <v>284</v>
      </c>
      <c r="C226" s="5" t="s">
        <v>330</v>
      </c>
      <c r="D226" s="5" t="s">
        <v>91</v>
      </c>
      <c r="E226" s="5" t="s">
        <v>735</v>
      </c>
      <c r="F226" s="5" t="s">
        <v>285</v>
      </c>
      <c r="G226" s="5" t="s">
        <v>239</v>
      </c>
      <c r="H226" s="5" t="s">
        <v>736</v>
      </c>
      <c r="I226" s="5" t="s">
        <v>252</v>
      </c>
      <c r="J226" s="5" t="s">
        <v>242</v>
      </c>
      <c r="K226" s="5" t="s">
        <v>243</v>
      </c>
      <c r="L226" s="5" t="s">
        <v>333</v>
      </c>
      <c r="M226" s="5">
        <v>18</v>
      </c>
      <c r="N226" s="5">
        <v>700</v>
      </c>
      <c r="O226" s="5">
        <v>20</v>
      </c>
      <c r="P226" s="5">
        <v>10080</v>
      </c>
      <c r="Q226" s="5">
        <v>1</v>
      </c>
      <c r="R226" s="5" t="s">
        <v>272</v>
      </c>
      <c r="S226" s="5" t="s">
        <v>312</v>
      </c>
      <c r="T226" s="5" t="s">
        <v>308</v>
      </c>
      <c r="U226" s="5">
        <v>9529968110</v>
      </c>
      <c r="V226" s="8" t="s">
        <v>257</v>
      </c>
      <c r="W226" t="str">
        <f>IF(OR(Q226&lt;=2,V226="Cancelled"),"Blacklisted",IF(AND(P226&gt;100000,Q226&gt;=4,O226&lt;=10%,V226="Completed"),"Platinum",IF(AND(P226&gt;=50000,Q226&gt;=3,V226="Completed"),"Gold",IF(AND(P226&lt;50000,V226="Completed"),"Silver",""))))</f>
        <v>Blacklisted</v>
      </c>
      <c r="X226" t="str">
        <f>PROPER(TRIM(F226))</f>
        <v>Priya Patel</v>
      </c>
      <c r="Y226" t="str">
        <f>LEFT(F226,3)&amp;MID(B226,2,3)&amp;LEFT(I226,2)</f>
        <v>Pri002Hy</v>
      </c>
      <c r="Z226" t="str">
        <f>IF(ISNUMBER(SEARCH("@",T226)),LOWER(TRIM(T226)),"invalid email")</f>
        <v>priya.patel@company.com</v>
      </c>
      <c r="AA226">
        <f ca="1">IF(H225="","",IFERROR(DATEDIF(IF(ISNUMBER(H225),H225,DATE(VALUE(RIGHT(H225,4)),VALUE(MID(H225,3,2)),VALUE(LEFT(H225,2)))),TODAY(),"Y"),""))</f>
        <v>32</v>
      </c>
      <c r="AB226">
        <f>IF(OR(D226="",E226=""),"",IFERROR(DATE(MID(E226,7,4),MID(E226,4,2),LEFT(E226,2))-DATE(MID(D226,7,4),MID(D226,4,2),LEFT(D226,2)),""))</f>
        <v>3</v>
      </c>
      <c r="AC226" t="str">
        <f>IF(E226="","Pending",IF(AB226&lt;=5,"On time","Delayed"))</f>
        <v>On time</v>
      </c>
      <c r="AD226" s="29" t="str">
        <f>IF(TRIM(S226)="","Not Assigned",S226)</f>
        <v>Karan</v>
      </c>
      <c r="AE226" t="str">
        <f>PROPER(TRIM(F226))</f>
        <v>Priya Patel</v>
      </c>
      <c r="AF226" t="str">
        <f>PROPER(TRIM(K226))</f>
        <v>Electronics</v>
      </c>
      <c r="AG226" t="str">
        <f>PROPER(TRIM(J226))</f>
        <v>South</v>
      </c>
      <c r="AH226" t="str">
        <f t="shared" si="6"/>
        <v>Electronics</v>
      </c>
      <c r="AI226" t="str">
        <f t="shared" si="7"/>
        <v>Electronics</v>
      </c>
      <c r="AK226">
        <f>IF(COUNTIF($A$2:A226,A226)=1,1,0)</f>
        <v>1</v>
      </c>
    </row>
    <row r="227" spans="1:37">
      <c r="A227" s="9" t="s">
        <v>737</v>
      </c>
      <c r="B227" s="10" t="s">
        <v>266</v>
      </c>
      <c r="C227" s="10" t="s">
        <v>280</v>
      </c>
      <c r="D227" s="10" t="s">
        <v>129</v>
      </c>
      <c r="E227" s="10" t="s">
        <v>202</v>
      </c>
      <c r="F227" s="10" t="s">
        <v>268</v>
      </c>
      <c r="G227" s="10" t="s">
        <v>269</v>
      </c>
      <c r="H227" s="10" t="s">
        <v>738</v>
      </c>
      <c r="I227" s="10" t="s">
        <v>291</v>
      </c>
      <c r="J227" s="10" t="s">
        <v>287</v>
      </c>
      <c r="K227" s="10" t="s">
        <v>15</v>
      </c>
      <c r="L227" s="10" t="s">
        <v>282</v>
      </c>
      <c r="M227" s="10">
        <v>14</v>
      </c>
      <c r="N227" s="10">
        <v>3500</v>
      </c>
      <c r="O227" s="10">
        <v>5</v>
      </c>
      <c r="P227" s="10">
        <v>46550</v>
      </c>
      <c r="Q227" s="10">
        <v>1</v>
      </c>
      <c r="R227" s="10" t="s">
        <v>254</v>
      </c>
      <c r="S227" s="10" t="s">
        <v>246</v>
      </c>
      <c r="T227" s="10" t="s">
        <v>273</v>
      </c>
      <c r="U227" s="10">
        <v>9102417647</v>
      </c>
      <c r="V227" s="12" t="s">
        <v>257</v>
      </c>
      <c r="W227" t="str">
        <f>IF(OR(Q227&lt;=2,V227="Cancelled"),"Blacklisted",IF(AND(P227&gt;100000,Q227&gt;=4,O227&lt;=10%,V227="Completed"),"Platinum",IF(AND(P227&gt;=50000,Q227&gt;=3,V227="Completed"),"Gold",IF(AND(P227&lt;50000,V227="Completed"),"Silver",""))))</f>
        <v>Blacklisted</v>
      </c>
      <c r="X227" t="str">
        <f>PROPER(TRIM(F227))</f>
        <v>Mohit Verma</v>
      </c>
      <c r="Y227" t="str">
        <f>LEFT(F227,3)&amp;MID(B227,2,3)&amp;LEFT(I227,2)</f>
        <v>Moh009Pu</v>
      </c>
      <c r="Z227" t="str">
        <f>IF(ISNUMBER(SEARCH("@",T227)),LOWER(TRIM(T227)),"invalid email")</f>
        <v>mohit.verma@company.com</v>
      </c>
      <c r="AA227" t="str">
        <f ca="1">IF(H226="","",IFERROR(DATEDIF(IF(ISNUMBER(H226),H226,DATE(VALUE(RIGHT(H226,4)),VALUE(MID(H226,3,2)),VALUE(LEFT(H226,2)))),TODAY(),"Y"),""))</f>
        <v/>
      </c>
      <c r="AB227">
        <f>IF(OR(D227="",E227=""),"",IFERROR(DATE(MID(E227,7,4),MID(E227,4,2),LEFT(E227,2))-DATE(MID(D227,7,4),MID(D227,4,2),LEFT(D227,2)),""))</f>
        <v>7</v>
      </c>
      <c r="AC227" t="str">
        <f>IF(E227="","Pending",IF(AB227&lt;=5,"On time","Delayed"))</f>
        <v>Delayed</v>
      </c>
      <c r="AD227" s="29" t="str">
        <f>IF(TRIM(S227)="","Not Assigned",S227)</f>
        <v>Aisha</v>
      </c>
      <c r="AE227" t="str">
        <f>PROPER(TRIM(F227))</f>
        <v>Mohit Verma</v>
      </c>
      <c r="AF227" t="str">
        <f>PROPER(TRIM(K227))</f>
        <v>Home Appliances</v>
      </c>
      <c r="AG227" t="str">
        <f>PROPER(TRIM(J227))</f>
        <v>West</v>
      </c>
      <c r="AH227" t="str">
        <f t="shared" si="6"/>
        <v>Home Appliances</v>
      </c>
      <c r="AI227" t="str">
        <f t="shared" si="7"/>
        <v>Home Appliances</v>
      </c>
      <c r="AK227">
        <f>IF(COUNTIF($A$2:A227,A227)=1,1,0)</f>
        <v>1</v>
      </c>
    </row>
    <row r="228" spans="1:37">
      <c r="A228" s="4" t="s">
        <v>739</v>
      </c>
      <c r="B228" s="5" t="s">
        <v>284</v>
      </c>
      <c r="C228" s="5" t="s">
        <v>330</v>
      </c>
      <c r="D228" s="6">
        <v>45694</v>
      </c>
      <c r="E228" s="6">
        <v>45753</v>
      </c>
      <c r="F228" s="5" t="s">
        <v>285</v>
      </c>
      <c r="G228" s="5" t="s">
        <v>239</v>
      </c>
      <c r="H228" s="5" t="s">
        <v>740</v>
      </c>
      <c r="I228" s="5" t="s">
        <v>379</v>
      </c>
      <c r="J228" s="5" t="s">
        <v>21</v>
      </c>
      <c r="K228" s="5" t="s">
        <v>243</v>
      </c>
      <c r="L228" s="5" t="s">
        <v>333</v>
      </c>
      <c r="M228" s="5">
        <v>6</v>
      </c>
      <c r="N228" s="5">
        <v>700</v>
      </c>
      <c r="O228" s="5">
        <v>5</v>
      </c>
      <c r="P228" s="5">
        <v>3990</v>
      </c>
      <c r="Q228" s="5">
        <v>5</v>
      </c>
      <c r="R228" s="5" t="s">
        <v>254</v>
      </c>
      <c r="S228" s="5" t="s">
        <v>255</v>
      </c>
      <c r="T228" s="5" t="s">
        <v>308</v>
      </c>
      <c r="U228" s="5">
        <v>9630302865</v>
      </c>
      <c r="V228" s="8" t="s">
        <v>257</v>
      </c>
      <c r="W228" t="str">
        <f>IF(OR(Q228&lt;=2,V228="Cancelled"),"Blacklisted",IF(AND(P228&gt;100000,Q228&gt;=4,O228&lt;=10%,V228="Completed"),"Platinum",IF(AND(P228&gt;=50000,Q228&gt;=3,V228="Completed"),"Gold",IF(AND(P228&lt;50000,V228="Completed"),"Silver",""))))</f>
        <v>Silver</v>
      </c>
      <c r="X228" t="str">
        <f>PROPER(TRIM(F228))</f>
        <v>Priya Patel</v>
      </c>
      <c r="Y228" t="str">
        <f>LEFT(F228,3)&amp;MID(B228,2,3)&amp;LEFT(I228,2)</f>
        <v>Pri002Ko</v>
      </c>
      <c r="Z228" t="str">
        <f>IF(ISNUMBER(SEARCH("@",T228)),LOWER(TRIM(T228)),"invalid email")</f>
        <v>priya.patel@company.com</v>
      </c>
      <c r="AA228" t="str">
        <f ca="1">IF(H227="","",IFERROR(DATEDIF(IF(ISNUMBER(H227),H227,DATE(VALUE(RIGHT(H227,4)),VALUE(MID(H227,3,2)),VALUE(LEFT(H227,2)))),TODAY(),"Y"),""))</f>
        <v/>
      </c>
      <c r="AB228" t="str">
        <f>IF(OR(D228="",E228=""),"",IFERROR(DATE(MID(E228,7,4),MID(E228,4,2),LEFT(E228,2))-DATE(MID(D228,7,4),MID(D228,4,2),LEFT(D228,2)),""))</f>
        <v/>
      </c>
      <c r="AC228" t="str">
        <f>IF(E228="","Pending",IF(AB228&lt;=5,"On time","Delayed"))</f>
        <v>Delayed</v>
      </c>
      <c r="AD228" s="29" t="str">
        <f>IF(TRIM(S228)="","Not Assigned",S228)</f>
        <v>Ritika</v>
      </c>
      <c r="AE228" t="str">
        <f>PROPER(TRIM(F228))</f>
        <v>Priya Patel</v>
      </c>
      <c r="AF228" t="str">
        <f>PROPER(TRIM(K228))</f>
        <v>Electronics</v>
      </c>
      <c r="AG228" t="str">
        <f>PROPER(TRIM(J228))</f>
        <v>East</v>
      </c>
      <c r="AH228" t="str">
        <f t="shared" si="6"/>
        <v>Electronics</v>
      </c>
      <c r="AI228" t="str">
        <f t="shared" si="7"/>
        <v>Electronics</v>
      </c>
      <c r="AK228">
        <f>IF(COUNTIF($A$2:A228,A228)=1,1,0)</f>
        <v>1</v>
      </c>
    </row>
    <row r="229" spans="1:37">
      <c r="A229" s="9" t="s">
        <v>741</v>
      </c>
      <c r="B229" s="10" t="s">
        <v>284</v>
      </c>
      <c r="C229" s="10" t="s">
        <v>280</v>
      </c>
      <c r="D229" s="11">
        <v>45967</v>
      </c>
      <c r="E229" s="10" t="s">
        <v>80</v>
      </c>
      <c r="F229" s="10" t="s">
        <v>285</v>
      </c>
      <c r="G229" s="10" t="s">
        <v>239</v>
      </c>
      <c r="H229" s="10" t="s">
        <v>742</v>
      </c>
      <c r="I229" s="10" t="s">
        <v>286</v>
      </c>
      <c r="J229" s="10" t="s">
        <v>287</v>
      </c>
      <c r="K229" s="10" t="s">
        <v>15</v>
      </c>
      <c r="L229" s="10" t="s">
        <v>282</v>
      </c>
      <c r="M229" s="10">
        <v>17</v>
      </c>
      <c r="N229" s="10">
        <v>3500</v>
      </c>
      <c r="O229" s="10">
        <v>15</v>
      </c>
      <c r="P229" s="10">
        <v>50575</v>
      </c>
      <c r="Q229" s="10">
        <v>3</v>
      </c>
      <c r="R229" s="10" t="s">
        <v>245</v>
      </c>
      <c r="S229" s="10" t="s">
        <v>263</v>
      </c>
      <c r="T229" s="10" t="s">
        <v>308</v>
      </c>
      <c r="U229" s="10">
        <v>9465353780</v>
      </c>
      <c r="V229" s="12" t="s">
        <v>248</v>
      </c>
      <c r="W229" t="str">
        <f>IF(OR(Q229&lt;=2,V229="Cancelled"),"Blacklisted",IF(AND(P229&gt;100000,Q229&gt;=4,O229&lt;=10%,V229="Completed"),"Platinum",IF(AND(P229&gt;=50000,Q229&gt;=3,V229="Completed"),"Gold",IF(AND(P229&lt;50000,V229="Completed"),"Silver",""))))</f>
        <v/>
      </c>
      <c r="X229" t="str">
        <f>PROPER(TRIM(F229))</f>
        <v>Priya Patel</v>
      </c>
      <c r="Y229" t="str">
        <f>LEFT(F229,3)&amp;MID(B229,2,3)&amp;LEFT(I229,2)</f>
        <v>Pri002Mu</v>
      </c>
      <c r="Z229" t="str">
        <f>IF(ISNUMBER(SEARCH("@",T229)),LOWER(TRIM(T229)),"invalid email")</f>
        <v>priya.patel@company.com</v>
      </c>
      <c r="AA229" t="str">
        <f ca="1">IF(H228="","",IFERROR(DATEDIF(IF(ISNUMBER(H228),H228,DATE(VALUE(RIGHT(H228,4)),VALUE(MID(H228,3,2)),VALUE(LEFT(H228,2)))),TODAY(),"Y"),""))</f>
        <v/>
      </c>
      <c r="AB229" t="str">
        <f>IF(OR(D229="",E229=""),"",IFERROR(DATE(MID(E229,7,4),MID(E229,4,2),LEFT(E229,2))-DATE(MID(D229,7,4),MID(D229,4,2),LEFT(D229,2)),""))</f>
        <v/>
      </c>
      <c r="AC229" t="str">
        <f>IF(E229="","Pending",IF(AB229&lt;=5,"On time","Delayed"))</f>
        <v>Delayed</v>
      </c>
      <c r="AD229" s="29" t="str">
        <f>IF(TRIM(S229)="","Not Assigned",S229)</f>
        <v>Rahul</v>
      </c>
      <c r="AE229" t="str">
        <f>PROPER(TRIM(F229))</f>
        <v>Priya Patel</v>
      </c>
      <c r="AF229" t="str">
        <f>PROPER(TRIM(K229))</f>
        <v>Home Appliances</v>
      </c>
      <c r="AG229" t="str">
        <f>PROPER(TRIM(J229))</f>
        <v>West</v>
      </c>
      <c r="AH229" t="str">
        <f t="shared" si="6"/>
        <v>Home Appliances</v>
      </c>
      <c r="AI229" t="str">
        <f t="shared" si="7"/>
        <v>Home Appliances</v>
      </c>
      <c r="AK229">
        <f>IF(COUNTIF($A$2:A229,A229)=1,1,0)</f>
        <v>1</v>
      </c>
    </row>
    <row r="230" spans="1:37">
      <c r="A230" s="4" t="s">
        <v>743</v>
      </c>
      <c r="B230" s="5" t="s">
        <v>358</v>
      </c>
      <c r="C230" s="5" t="s">
        <v>347</v>
      </c>
      <c r="D230" s="5" t="s">
        <v>41</v>
      </c>
      <c r="E230" s="5" t="s">
        <v>129</v>
      </c>
      <c r="F230" s="5" t="s">
        <v>359</v>
      </c>
      <c r="G230" s="5" t="s">
        <v>239</v>
      </c>
      <c r="H230" s="5" t="s">
        <v>744</v>
      </c>
      <c r="I230" s="5" t="s">
        <v>379</v>
      </c>
      <c r="J230" s="5" t="s">
        <v>21</v>
      </c>
      <c r="K230" s="5" t="s">
        <v>295</v>
      </c>
      <c r="L230" s="5" t="s">
        <v>349</v>
      </c>
      <c r="M230" s="5">
        <v>7</v>
      </c>
      <c r="N230" s="5">
        <v>20</v>
      </c>
      <c r="O230" s="5">
        <v>5</v>
      </c>
      <c r="P230" s="5">
        <v>133</v>
      </c>
      <c r="Q230" s="5">
        <v>2</v>
      </c>
      <c r="R230" s="5" t="s">
        <v>277</v>
      </c>
      <c r="S230" s="5" t="s">
        <v>312</v>
      </c>
      <c r="T230" s="5" t="s">
        <v>360</v>
      </c>
      <c r="U230" s="5">
        <v>9837426414</v>
      </c>
      <c r="V230" s="8" t="s">
        <v>257</v>
      </c>
      <c r="W230" t="str">
        <f>IF(OR(Q230&lt;=2,V230="Cancelled"),"Blacklisted",IF(AND(P230&gt;100000,Q230&gt;=4,O230&lt;=10%,V230="Completed"),"Platinum",IF(AND(P230&gt;=50000,Q230&gt;=3,V230="Completed"),"Gold",IF(AND(P230&lt;50000,V230="Completed"),"Silver",""))))</f>
        <v>Blacklisted</v>
      </c>
      <c r="X230" t="str">
        <f>PROPER(TRIM(F230))</f>
        <v>Sneha Joshi</v>
      </c>
      <c r="Y230" t="str">
        <f>LEFT(F230,3)&amp;MID(B230,2,3)&amp;LEFT(I230,2)</f>
        <v>Sne006Ko</v>
      </c>
      <c r="Z230" t="str">
        <f>IF(ISNUMBER(SEARCH("@",T230)),LOWER(TRIM(T230)),"invalid email")</f>
        <v>sneha.joshi@company.com</v>
      </c>
      <c r="AA230" t="str">
        <f ca="1">IF(H229="","",IFERROR(DATEDIF(IF(ISNUMBER(H229),H229,DATE(VALUE(RIGHT(H229,4)),VALUE(MID(H229,3,2)),VALUE(LEFT(H229,2)))),TODAY(),"Y"),""))</f>
        <v/>
      </c>
      <c r="AB230">
        <f>IF(OR(D230="",E230=""),"",IFERROR(DATE(MID(E230,7,4),MID(E230,4,2),LEFT(E230,2))-DATE(MID(D230,7,4),MID(D230,4,2),LEFT(D230,2)),""))</f>
        <v>8</v>
      </c>
      <c r="AC230" t="str">
        <f>IF(E230="","Pending",IF(AB230&lt;=5,"On time","Delayed"))</f>
        <v>Delayed</v>
      </c>
      <c r="AD230" s="29" t="str">
        <f>IF(TRIM(S230)="","Not Assigned",S230)</f>
        <v>Karan</v>
      </c>
      <c r="AE230" t="str">
        <f>PROPER(TRIM(F230))</f>
        <v>Sneha Joshi</v>
      </c>
      <c r="AF230" t="str">
        <f>PROPER(TRIM(K230))</f>
        <v>Stationery</v>
      </c>
      <c r="AG230" t="str">
        <f>PROPER(TRIM(J230))</f>
        <v>East</v>
      </c>
      <c r="AH230" t="str">
        <f t="shared" si="6"/>
        <v>Stationery</v>
      </c>
      <c r="AI230" t="str">
        <f t="shared" si="7"/>
        <v>Stationery</v>
      </c>
      <c r="AK230">
        <f>IF(COUNTIF($A$2:A230,A230)=1,1,0)</f>
        <v>1</v>
      </c>
    </row>
    <row r="231" spans="1:37">
      <c r="A231" s="9" t="s">
        <v>745</v>
      </c>
      <c r="B231" s="10" t="s">
        <v>249</v>
      </c>
      <c r="C231" s="10" t="s">
        <v>250</v>
      </c>
      <c r="D231" s="10" t="s">
        <v>87</v>
      </c>
      <c r="E231" s="11">
        <v>46115</v>
      </c>
      <c r="F231" s="10" t="s">
        <v>251</v>
      </c>
      <c r="G231" s="10" t="s">
        <v>239</v>
      </c>
      <c r="H231" s="10" t="s">
        <v>746</v>
      </c>
      <c r="I231" s="10" t="s">
        <v>241</v>
      </c>
      <c r="J231" s="10" t="s">
        <v>242</v>
      </c>
      <c r="K231" s="10" t="s">
        <v>15</v>
      </c>
      <c r="L231" s="10" t="s">
        <v>253</v>
      </c>
      <c r="M231" s="10">
        <v>15</v>
      </c>
      <c r="N231" s="10">
        <v>2200</v>
      </c>
      <c r="O231" s="10">
        <v>20</v>
      </c>
      <c r="P231" s="10">
        <v>26400</v>
      </c>
      <c r="Q231" s="10">
        <v>2</v>
      </c>
      <c r="R231" s="10" t="s">
        <v>254</v>
      </c>
      <c r="S231" s="10" t="s">
        <v>246</v>
      </c>
      <c r="T231" s="10" t="s">
        <v>264</v>
      </c>
      <c r="U231" s="10">
        <v>9249918272</v>
      </c>
      <c r="V231" s="12" t="s">
        <v>257</v>
      </c>
      <c r="W231" t="str">
        <f>IF(OR(Q231&lt;=2,V231="Cancelled"),"Blacklisted",IF(AND(P231&gt;100000,Q231&gt;=4,O231&lt;=10%,V231="Completed"),"Platinum",IF(AND(P231&gt;=50000,Q231&gt;=3,V231="Completed"),"Gold",IF(AND(P231&lt;50000,V231="Completed"),"Silver",""))))</f>
        <v>Blacklisted</v>
      </c>
      <c r="X231" t="str">
        <f>PROPER(TRIM(F231))</f>
        <v>Kavya Nair</v>
      </c>
      <c r="Y231" t="str">
        <f>LEFT(F231,3)&amp;MID(B231,2,3)&amp;LEFT(I231,2)</f>
        <v>Kav008Be</v>
      </c>
      <c r="Z231" t="str">
        <f>IF(ISNUMBER(SEARCH("@",T231)),LOWER(TRIM(T231)),"invalid email")</f>
        <v>kavya.nair@company.com</v>
      </c>
      <c r="AA231" t="str">
        <f ca="1">IF(H230="","",IFERROR(DATEDIF(IF(ISNUMBER(H230),H230,DATE(VALUE(RIGHT(H230,4)),VALUE(MID(H230,3,2)),VALUE(LEFT(H230,2)))),TODAY(),"Y"),""))</f>
        <v/>
      </c>
      <c r="AB231" t="str">
        <f>IF(OR(D231="",E231=""),"",IFERROR(DATE(MID(E231,7,4),MID(E231,4,2),LEFT(E231,2))-DATE(MID(D231,7,4),MID(D231,4,2),LEFT(D231,2)),""))</f>
        <v/>
      </c>
      <c r="AC231" t="str">
        <f>IF(E231="","Pending",IF(AB231&lt;=5,"On time","Delayed"))</f>
        <v>Delayed</v>
      </c>
      <c r="AD231" s="29" t="str">
        <f>IF(TRIM(S231)="","Not Assigned",S231)</f>
        <v>Aisha</v>
      </c>
      <c r="AE231" t="str">
        <f>PROPER(TRIM(F231))</f>
        <v>Kavya Nair</v>
      </c>
      <c r="AF231" t="str">
        <f>PROPER(TRIM(K231))</f>
        <v>Home Appliances</v>
      </c>
      <c r="AG231" t="str">
        <f>PROPER(TRIM(J231))</f>
        <v>South</v>
      </c>
      <c r="AH231" t="str">
        <f t="shared" si="6"/>
        <v>Home Appliances</v>
      </c>
      <c r="AI231" t="str">
        <f t="shared" si="7"/>
        <v>Home Appliances</v>
      </c>
      <c r="AK231">
        <f>IF(COUNTIF($A$2:A231,A231)=1,1,0)</f>
        <v>1</v>
      </c>
    </row>
    <row r="232" spans="1:37">
      <c r="A232" s="4" t="s">
        <v>747</v>
      </c>
      <c r="B232" s="5" t="s">
        <v>266</v>
      </c>
      <c r="C232" s="5" t="s">
        <v>347</v>
      </c>
      <c r="D232" s="5" t="s">
        <v>56</v>
      </c>
      <c r="E232" s="5" t="s">
        <v>139</v>
      </c>
      <c r="F232" s="5" t="s">
        <v>268</v>
      </c>
      <c r="G232" s="5" t="s">
        <v>269</v>
      </c>
      <c r="H232" s="6">
        <v>29170</v>
      </c>
      <c r="I232" s="5" t="s">
        <v>286</v>
      </c>
      <c r="J232" s="5" t="s">
        <v>287</v>
      </c>
      <c r="K232" s="5" t="s">
        <v>295</v>
      </c>
      <c r="L232" s="5" t="s">
        <v>349</v>
      </c>
      <c r="M232" s="5">
        <v>5</v>
      </c>
      <c r="N232" s="5">
        <v>20</v>
      </c>
      <c r="O232" s="5">
        <v>0</v>
      </c>
      <c r="P232" s="5">
        <v>100</v>
      </c>
      <c r="Q232" s="5">
        <v>3</v>
      </c>
      <c r="R232" s="5" t="s">
        <v>254</v>
      </c>
      <c r="S232" s="5" t="s">
        <v>312</v>
      </c>
      <c r="T232" s="5" t="s">
        <v>273</v>
      </c>
      <c r="U232" s="5">
        <v>9265580582</v>
      </c>
      <c r="V232" s="8" t="s">
        <v>257</v>
      </c>
      <c r="W232" t="str">
        <f>IF(OR(Q232&lt;=2,V232="Cancelled"),"Blacklisted",IF(AND(P232&gt;100000,Q232&gt;=4,O232&lt;=10%,V232="Completed"),"Platinum",IF(AND(P232&gt;=50000,Q232&gt;=3,V232="Completed"),"Gold",IF(AND(P232&lt;50000,V232="Completed"),"Silver",""))))</f>
        <v>Silver</v>
      </c>
      <c r="X232" t="str">
        <f>PROPER(TRIM(F232))</f>
        <v>Mohit Verma</v>
      </c>
      <c r="Y232" t="str">
        <f>LEFT(F232,3)&amp;MID(B232,2,3)&amp;LEFT(I232,2)</f>
        <v>Moh009Mu</v>
      </c>
      <c r="Z232" t="str">
        <f>IF(ISNUMBER(SEARCH("@",T232)),LOWER(TRIM(T232)),"invalid email")</f>
        <v>mohit.verma@company.com</v>
      </c>
      <c r="AA232" t="str">
        <f ca="1">IF(H231="","",IFERROR(DATEDIF(IF(ISNUMBER(H231),H231,DATE(VALUE(RIGHT(H231,4)),VALUE(MID(H231,3,2)),VALUE(LEFT(H231,2)))),TODAY(),"Y"),""))</f>
        <v/>
      </c>
      <c r="AB232">
        <f>IF(OR(D232="",E232=""),"",IFERROR(DATE(MID(E232,7,4),MID(E232,4,2),LEFT(E232,2))-DATE(MID(D232,7,4),MID(D232,4,2),LEFT(D232,2)),""))</f>
        <v>8</v>
      </c>
      <c r="AC232" t="str">
        <f>IF(E232="","Pending",IF(AB232&lt;=5,"On time","Delayed"))</f>
        <v>Delayed</v>
      </c>
      <c r="AD232" s="29" t="str">
        <f>IF(TRIM(S232)="","Not Assigned",S232)</f>
        <v>Karan</v>
      </c>
      <c r="AE232" t="str">
        <f>PROPER(TRIM(F232))</f>
        <v>Mohit Verma</v>
      </c>
      <c r="AF232" t="str">
        <f>PROPER(TRIM(K232))</f>
        <v>Stationery</v>
      </c>
      <c r="AG232" t="str">
        <f>PROPER(TRIM(J232))</f>
        <v>West</v>
      </c>
      <c r="AH232" t="str">
        <f t="shared" si="6"/>
        <v>Stationery</v>
      </c>
      <c r="AI232" t="str">
        <f t="shared" si="7"/>
        <v>Stationery</v>
      </c>
      <c r="AK232">
        <f>IF(COUNTIF($A$2:A232,A232)=1,1,0)</f>
        <v>1</v>
      </c>
    </row>
    <row r="233" spans="1:37">
      <c r="A233" s="9" t="s">
        <v>748</v>
      </c>
      <c r="B233" s="10" t="s">
        <v>299</v>
      </c>
      <c r="C233" s="10" t="s">
        <v>258</v>
      </c>
      <c r="D233" s="11">
        <v>45907</v>
      </c>
      <c r="E233" s="10" t="s">
        <v>29</v>
      </c>
      <c r="F233" s="10" t="s">
        <v>301</v>
      </c>
      <c r="G233" s="10" t="s">
        <v>269</v>
      </c>
      <c r="H233" s="10" t="s">
        <v>749</v>
      </c>
      <c r="I233" s="10" t="s">
        <v>260</v>
      </c>
      <c r="J233" s="10" t="s">
        <v>261</v>
      </c>
      <c r="K233" s="10" t="s">
        <v>243</v>
      </c>
      <c r="L233" s="10" t="s">
        <v>262</v>
      </c>
      <c r="M233" s="10">
        <v>8</v>
      </c>
      <c r="N233" s="10">
        <v>12000</v>
      </c>
      <c r="O233" s="10">
        <v>20</v>
      </c>
      <c r="P233" s="10">
        <v>76800</v>
      </c>
      <c r="Q233" s="10">
        <v>3</v>
      </c>
      <c r="R233" s="10" t="s">
        <v>272</v>
      </c>
      <c r="S233" s="10" t="s">
        <v>246</v>
      </c>
      <c r="T233" s="10" t="s">
        <v>302</v>
      </c>
      <c r="U233" s="10">
        <v>9751049833</v>
      </c>
      <c r="V233" s="12" t="s">
        <v>248</v>
      </c>
      <c r="W233" t="str">
        <f>IF(OR(Q233&lt;=2,V233="Cancelled"),"Blacklisted",IF(AND(P233&gt;100000,Q233&gt;=4,O233&lt;=10%,V233="Completed"),"Platinum",IF(AND(P233&gt;=50000,Q233&gt;=3,V233="Completed"),"Gold",IF(AND(P233&lt;50000,V233="Completed"),"Silver",""))))</f>
        <v/>
      </c>
      <c r="X233" t="str">
        <f>PROPER(TRIM(F233))</f>
        <v>Rohit Singh</v>
      </c>
      <c r="Y233" t="str">
        <f>LEFT(F233,3)&amp;MID(B233,2,3)&amp;LEFT(I233,2)</f>
        <v>Roh003De</v>
      </c>
      <c r="Z233" t="str">
        <f>IF(ISNUMBER(SEARCH("@",T233)),LOWER(TRIM(T233)),"invalid email")</f>
        <v>rohit.singh@company.com</v>
      </c>
      <c r="AA233">
        <f ca="1">IF(H232="","",IFERROR(DATEDIF(IF(ISNUMBER(H232),H232,DATE(VALUE(RIGHT(H232,4)),VALUE(MID(H232,3,2)),VALUE(LEFT(H232,2)))),TODAY(),"Y"),""))</f>
        <v>46</v>
      </c>
      <c r="AB233" t="str">
        <f>IF(OR(D233="",E233=""),"",IFERROR(DATE(MID(E233,7,4),MID(E233,4,2),LEFT(E233,2))-DATE(MID(D233,7,4),MID(D233,4,2),LEFT(D233,2)),""))</f>
        <v/>
      </c>
      <c r="AC233" t="str">
        <f>IF(E233="","Pending",IF(AB233&lt;=5,"On time","Delayed"))</f>
        <v>Delayed</v>
      </c>
      <c r="AD233" s="29" t="str">
        <f>IF(TRIM(S233)="","Not Assigned",S233)</f>
        <v>Aisha</v>
      </c>
      <c r="AE233" t="str">
        <f>PROPER(TRIM(F233))</f>
        <v>Rohit Singh</v>
      </c>
      <c r="AF233" t="str">
        <f>PROPER(TRIM(K233))</f>
        <v>Electronics</v>
      </c>
      <c r="AG233" t="str">
        <f>PROPER(TRIM(J233))</f>
        <v>North</v>
      </c>
      <c r="AH233" t="str">
        <f t="shared" si="6"/>
        <v>Electronics</v>
      </c>
      <c r="AI233" t="str">
        <f t="shared" si="7"/>
        <v>Electronics</v>
      </c>
      <c r="AK233">
        <f>IF(COUNTIF($A$2:A233,A233)=1,1,0)</f>
        <v>1</v>
      </c>
    </row>
    <row r="234" spans="1:37">
      <c r="A234" s="4" t="s">
        <v>750</v>
      </c>
      <c r="B234" s="5" t="s">
        <v>299</v>
      </c>
      <c r="C234" s="5" t="s">
        <v>280</v>
      </c>
      <c r="D234" s="6">
        <v>45871</v>
      </c>
      <c r="E234" s="5" t="s">
        <v>42</v>
      </c>
      <c r="F234" s="5" t="s">
        <v>301</v>
      </c>
      <c r="G234" s="5" t="s">
        <v>269</v>
      </c>
      <c r="H234" s="5" t="s">
        <v>751</v>
      </c>
      <c r="I234" s="5" t="s">
        <v>286</v>
      </c>
      <c r="J234" s="5" t="s">
        <v>287</v>
      </c>
      <c r="K234" s="5" t="s">
        <v>15</v>
      </c>
      <c r="L234" s="5" t="s">
        <v>282</v>
      </c>
      <c r="M234" s="5">
        <v>4</v>
      </c>
      <c r="N234" s="5">
        <v>3500</v>
      </c>
      <c r="O234" s="5">
        <v>20</v>
      </c>
      <c r="P234" s="5">
        <v>11200</v>
      </c>
      <c r="Q234" s="5">
        <v>1</v>
      </c>
      <c r="R234" s="5" t="s">
        <v>272</v>
      </c>
      <c r="S234" s="5" t="s">
        <v>292</v>
      </c>
      <c r="T234" s="5" t="s">
        <v>302</v>
      </c>
      <c r="U234" s="5">
        <v>9741671507</v>
      </c>
      <c r="V234" s="8" t="s">
        <v>257</v>
      </c>
      <c r="W234" t="str">
        <f>IF(OR(Q234&lt;=2,V234="Cancelled"),"Blacklisted",IF(AND(P234&gt;100000,Q234&gt;=4,O234&lt;=10%,V234="Completed"),"Platinum",IF(AND(P234&gt;=50000,Q234&gt;=3,V234="Completed"),"Gold",IF(AND(P234&lt;50000,V234="Completed"),"Silver",""))))</f>
        <v>Blacklisted</v>
      </c>
      <c r="X234" t="str">
        <f>PROPER(TRIM(F234))</f>
        <v>Rohit Singh</v>
      </c>
      <c r="Y234" t="str">
        <f>LEFT(F234,3)&amp;MID(B234,2,3)&amp;LEFT(I234,2)</f>
        <v>Roh003Mu</v>
      </c>
      <c r="Z234" t="str">
        <f>IF(ISNUMBER(SEARCH("@",T234)),LOWER(TRIM(T234)),"invalid email")</f>
        <v>rohit.singh@company.com</v>
      </c>
      <c r="AA234" t="str">
        <f ca="1">IF(H233="","",IFERROR(DATEDIF(IF(ISNUMBER(H233),H233,DATE(VALUE(RIGHT(H233,4)),VALUE(MID(H233,3,2)),VALUE(LEFT(H233,2)))),TODAY(),"Y"),""))</f>
        <v/>
      </c>
      <c r="AB234" t="str">
        <f>IF(OR(D234="",E234=""),"",IFERROR(DATE(MID(E234,7,4),MID(E234,4,2),LEFT(E234,2))-DATE(MID(D234,7,4),MID(D234,4,2),LEFT(D234,2)),""))</f>
        <v/>
      </c>
      <c r="AC234" t="str">
        <f>IF(E234="","Pending",IF(AB234&lt;=5,"On time","Delayed"))</f>
        <v>Delayed</v>
      </c>
      <c r="AD234" s="29" t="str">
        <f>IF(TRIM(S234)="","Not Assigned",S234)</f>
        <v>Neha</v>
      </c>
      <c r="AE234" t="str">
        <f>PROPER(TRIM(F234))</f>
        <v>Rohit Singh</v>
      </c>
      <c r="AF234" t="str">
        <f>PROPER(TRIM(K234))</f>
        <v>Home Appliances</v>
      </c>
      <c r="AG234" t="str">
        <f>PROPER(TRIM(J234))</f>
        <v>West</v>
      </c>
      <c r="AH234" t="str">
        <f t="shared" si="6"/>
        <v>Home Appliances</v>
      </c>
      <c r="AI234" t="str">
        <f t="shared" si="7"/>
        <v>Home Appliances</v>
      </c>
      <c r="AK234">
        <f>IF(COUNTIF($A$2:A234,A234)=1,1,0)</f>
        <v>1</v>
      </c>
    </row>
    <row r="235" spans="1:37">
      <c r="A235" s="9" t="s">
        <v>752</v>
      </c>
      <c r="B235" s="10" t="s">
        <v>346</v>
      </c>
      <c r="C235" s="10" t="s">
        <v>362</v>
      </c>
      <c r="D235" s="10" t="s">
        <v>138</v>
      </c>
      <c r="E235" s="11">
        <v>45750</v>
      </c>
      <c r="F235" s="10" t="s">
        <v>348</v>
      </c>
      <c r="G235" s="10" t="s">
        <v>269</v>
      </c>
      <c r="H235" s="10" t="s">
        <v>753</v>
      </c>
      <c r="I235" s="10" t="s">
        <v>252</v>
      </c>
      <c r="J235" s="10" t="s">
        <v>242</v>
      </c>
      <c r="K235" s="10" t="s">
        <v>295</v>
      </c>
      <c r="L235" s="10" t="s">
        <v>363</v>
      </c>
      <c r="M235" s="10">
        <v>19</v>
      </c>
      <c r="N235" s="10">
        <v>45</v>
      </c>
      <c r="O235" s="10">
        <v>10</v>
      </c>
      <c r="P235" s="10">
        <v>769.5</v>
      </c>
      <c r="Q235" s="10">
        <v>1</v>
      </c>
      <c r="R235" s="10" t="s">
        <v>254</v>
      </c>
      <c r="S235" s="10" t="s">
        <v>292</v>
      </c>
      <c r="T235" s="10" t="s">
        <v>350</v>
      </c>
      <c r="U235" s="10">
        <v>9367541035</v>
      </c>
      <c r="V235" s="12" t="s">
        <v>257</v>
      </c>
      <c r="W235" t="str">
        <f>IF(OR(Q235&lt;=2,V235="Cancelled"),"Blacklisted",IF(AND(P235&gt;100000,Q235&gt;=4,O235&lt;=10%,V235="Completed"),"Platinum",IF(AND(P235&gt;=50000,Q235&gt;=3,V235="Completed"),"Gold",IF(AND(P235&lt;50000,V235="Completed"),"Silver",""))))</f>
        <v>Blacklisted</v>
      </c>
      <c r="X235" t="str">
        <f>PROPER(TRIM(F235))</f>
        <v>Vikas Mehta</v>
      </c>
      <c r="Y235" t="str">
        <f>LEFT(F235,3)&amp;MID(B235,2,3)&amp;LEFT(I235,2)</f>
        <v>Vik005Hy</v>
      </c>
      <c r="Z235" t="str">
        <f>IF(ISNUMBER(SEARCH("@",T235)),LOWER(TRIM(T235)),"invalid email")</f>
        <v>vikas.mehta@company.com</v>
      </c>
      <c r="AA235" t="str">
        <f ca="1">IF(H234="","",IFERROR(DATEDIF(IF(ISNUMBER(H234),H234,DATE(VALUE(RIGHT(H234,4)),VALUE(MID(H234,3,2)),VALUE(LEFT(H234,2)))),TODAY(),"Y"),""))</f>
        <v/>
      </c>
      <c r="AB235" t="str">
        <f>IF(OR(D235="",E235=""),"",IFERROR(DATE(MID(E235,7,4),MID(E235,4,2),LEFT(E235,2))-DATE(MID(D235,7,4),MID(D235,4,2),LEFT(D235,2)),""))</f>
        <v/>
      </c>
      <c r="AC235" t="str">
        <f>IF(E235="","Pending",IF(AB235&lt;=5,"On time","Delayed"))</f>
        <v>Delayed</v>
      </c>
      <c r="AD235" s="29" t="str">
        <f>IF(TRIM(S235)="","Not Assigned",S235)</f>
        <v>Neha</v>
      </c>
      <c r="AE235" t="str">
        <f>PROPER(TRIM(F235))</f>
        <v>Vikas Mehta</v>
      </c>
      <c r="AF235" t="str">
        <f>PROPER(TRIM(K235))</f>
        <v>Stationery</v>
      </c>
      <c r="AG235" t="str">
        <f>PROPER(TRIM(J235))</f>
        <v>South</v>
      </c>
      <c r="AH235" t="str">
        <f t="shared" si="6"/>
        <v>Stationery</v>
      </c>
      <c r="AI235" t="str">
        <f t="shared" si="7"/>
        <v>Stationery</v>
      </c>
      <c r="AK235">
        <f>IF(COUNTIF($A$2:A235,A235)=1,1,0)</f>
        <v>1</v>
      </c>
    </row>
    <row r="236" spans="1:37">
      <c r="A236" s="4" t="s">
        <v>754</v>
      </c>
      <c r="B236" s="5" t="s">
        <v>235</v>
      </c>
      <c r="C236" s="5" t="s">
        <v>362</v>
      </c>
      <c r="D236" s="5" t="s">
        <v>161</v>
      </c>
      <c r="E236" s="6">
        <v>46175</v>
      </c>
      <c r="F236" s="5" t="s">
        <v>318</v>
      </c>
      <c r="G236" s="5" t="s">
        <v>239</v>
      </c>
      <c r="H236" s="6">
        <v>28552</v>
      </c>
      <c r="I236" s="5" t="s">
        <v>291</v>
      </c>
      <c r="J236" s="5" t="s">
        <v>287</v>
      </c>
      <c r="K236" s="5" t="s">
        <v>295</v>
      </c>
      <c r="L236" s="5" t="s">
        <v>363</v>
      </c>
      <c r="M236" s="5">
        <v>10</v>
      </c>
      <c r="N236" s="5">
        <v>45</v>
      </c>
      <c r="O236" s="5">
        <v>0</v>
      </c>
      <c r="P236" s="5">
        <v>450</v>
      </c>
      <c r="Q236" s="5">
        <v>4</v>
      </c>
      <c r="R236" s="5" t="s">
        <v>277</v>
      </c>
      <c r="S236" s="5" t="s">
        <v>246</v>
      </c>
      <c r="T236" s="5" t="s">
        <v>247</v>
      </c>
      <c r="U236" s="5">
        <v>9323696971</v>
      </c>
      <c r="V236" s="8" t="s">
        <v>257</v>
      </c>
      <c r="W236" t="str">
        <f>IF(OR(Q236&lt;=2,V236="Cancelled"),"Blacklisted",IF(AND(P236&gt;100000,Q236&gt;=4,O236&lt;=10%,V236="Completed"),"Platinum",IF(AND(P236&gt;=50000,Q236&gt;=3,V236="Completed"),"Gold",IF(AND(P236&lt;50000,V236="Completed"),"Silver",""))))</f>
        <v>Silver</v>
      </c>
      <c r="X236" t="str">
        <f>PROPER(TRIM(F236))</f>
        <v>Pooja Shah</v>
      </c>
      <c r="Y236" t="str">
        <f>LEFT(F236,3)&amp;MID(B236,2,3)&amp;LEFT(I236,2)</f>
        <v>Poo010Pu</v>
      </c>
      <c r="Z236" t="str">
        <f>IF(ISNUMBER(SEARCH("@",T236)),LOWER(TRIM(T236)),"invalid email")</f>
        <v>pooja.shah@company.com</v>
      </c>
      <c r="AA236" t="str">
        <f ca="1">IF(H235="","",IFERROR(DATEDIF(IF(ISNUMBER(H235),H235,DATE(VALUE(RIGHT(H235,4)),VALUE(MID(H235,3,2)),VALUE(LEFT(H235,2)))),TODAY(),"Y"),""))</f>
        <v/>
      </c>
      <c r="AB236" t="str">
        <f>IF(OR(D236="",E236=""),"",IFERROR(DATE(MID(E236,7,4),MID(E236,4,2),LEFT(E236,2))-DATE(MID(D236,7,4),MID(D236,4,2),LEFT(D236,2)),""))</f>
        <v/>
      </c>
      <c r="AC236" t="str">
        <f>IF(E236="","Pending",IF(AB236&lt;=5,"On time","Delayed"))</f>
        <v>Delayed</v>
      </c>
      <c r="AD236" s="29" t="str">
        <f>IF(TRIM(S236)="","Not Assigned",S236)</f>
        <v>Aisha</v>
      </c>
      <c r="AE236" t="str">
        <f>PROPER(TRIM(F236))</f>
        <v>Pooja Shah</v>
      </c>
      <c r="AF236" t="str">
        <f>PROPER(TRIM(K236))</f>
        <v>Stationery</v>
      </c>
      <c r="AG236" t="str">
        <f>PROPER(TRIM(J236))</f>
        <v>West</v>
      </c>
      <c r="AH236" t="str">
        <f t="shared" si="6"/>
        <v>Stationery</v>
      </c>
      <c r="AI236" t="str">
        <f t="shared" si="7"/>
        <v>Stationery</v>
      </c>
      <c r="AK236">
        <f>IF(COUNTIF($A$2:A236,A236)=1,1,0)</f>
        <v>1</v>
      </c>
    </row>
    <row r="237" spans="1:37">
      <c r="A237" s="9" t="s">
        <v>755</v>
      </c>
      <c r="B237" s="10" t="s">
        <v>235</v>
      </c>
      <c r="C237" s="10" t="s">
        <v>362</v>
      </c>
      <c r="D237" s="11">
        <v>46235</v>
      </c>
      <c r="E237" s="10" t="s">
        <v>54</v>
      </c>
      <c r="F237" s="10" t="s">
        <v>318</v>
      </c>
      <c r="G237" s="10" t="s">
        <v>239</v>
      </c>
      <c r="H237" s="10" t="s">
        <v>756</v>
      </c>
      <c r="I237" s="10" t="s">
        <v>252</v>
      </c>
      <c r="J237" s="10" t="s">
        <v>242</v>
      </c>
      <c r="K237" s="10" t="s">
        <v>295</v>
      </c>
      <c r="L237" s="10" t="s">
        <v>363</v>
      </c>
      <c r="M237" s="10">
        <v>16</v>
      </c>
      <c r="N237" s="10">
        <v>45</v>
      </c>
      <c r="O237" s="10">
        <v>15</v>
      </c>
      <c r="P237" s="10">
        <v>612</v>
      </c>
      <c r="Q237" s="10">
        <v>3</v>
      </c>
      <c r="R237" s="10" t="s">
        <v>254</v>
      </c>
      <c r="S237" s="10" t="s">
        <v>292</v>
      </c>
      <c r="T237" s="10" t="s">
        <v>247</v>
      </c>
      <c r="U237" s="10">
        <v>9786384529</v>
      </c>
      <c r="V237" s="12" t="s">
        <v>265</v>
      </c>
      <c r="W237" t="str">
        <f>IF(OR(Q237&lt;=2,V237="Cancelled"),"Blacklisted",IF(AND(P237&gt;100000,Q237&gt;=4,O237&lt;=10%,V237="Completed"),"Platinum",IF(AND(P237&gt;=50000,Q237&gt;=3,V237="Completed"),"Gold",IF(AND(P237&lt;50000,V237="Completed"),"Silver",""))))</f>
        <v>Blacklisted</v>
      </c>
      <c r="X237" t="str">
        <f>PROPER(TRIM(F237))</f>
        <v>Pooja Shah</v>
      </c>
      <c r="Y237" t="str">
        <f>LEFT(F237,3)&amp;MID(B237,2,3)&amp;LEFT(I237,2)</f>
        <v>Poo010Hy</v>
      </c>
      <c r="Z237" t="str">
        <f>IF(ISNUMBER(SEARCH("@",T237)),LOWER(TRIM(T237)),"invalid email")</f>
        <v>pooja.shah@company.com</v>
      </c>
      <c r="AA237">
        <f ca="1">IF(H236="","",IFERROR(DATEDIF(IF(ISNUMBER(H236),H236,DATE(VALUE(RIGHT(H236,4)),VALUE(MID(H236,3,2)),VALUE(LEFT(H236,2)))),TODAY(),"Y"),""))</f>
        <v>48</v>
      </c>
      <c r="AB237" t="str">
        <f>IF(OR(D237="",E237=""),"",IFERROR(DATE(MID(E237,7,4),MID(E237,4,2),LEFT(E237,2))-DATE(MID(D237,7,4),MID(D237,4,2),LEFT(D237,2)),""))</f>
        <v/>
      </c>
      <c r="AC237" t="str">
        <f>IF(E237="","Pending",IF(AB237&lt;=5,"On time","Delayed"))</f>
        <v>Delayed</v>
      </c>
      <c r="AD237" s="29" t="str">
        <f>IF(TRIM(S237)="","Not Assigned",S237)</f>
        <v>Neha</v>
      </c>
      <c r="AE237" t="str">
        <f>PROPER(TRIM(F237))</f>
        <v>Pooja Shah</v>
      </c>
      <c r="AF237" t="str">
        <f>PROPER(TRIM(K237))</f>
        <v>Stationery</v>
      </c>
      <c r="AG237" t="str">
        <f>PROPER(TRIM(J237))</f>
        <v>South</v>
      </c>
      <c r="AH237" t="str">
        <f t="shared" si="6"/>
        <v>Stationery</v>
      </c>
      <c r="AI237" t="str">
        <f t="shared" si="7"/>
        <v>Stationery</v>
      </c>
      <c r="AK237">
        <f>IF(COUNTIF($A$2:A237,A237)=1,1,0)</f>
        <v>1</v>
      </c>
    </row>
    <row r="238" spans="1:37">
      <c r="A238" s="4" t="s">
        <v>757</v>
      </c>
      <c r="B238" s="5" t="s">
        <v>321</v>
      </c>
      <c r="C238" s="5" t="s">
        <v>322</v>
      </c>
      <c r="D238" s="5" t="s">
        <v>140</v>
      </c>
      <c r="E238" s="5" t="s">
        <v>163</v>
      </c>
      <c r="F238" s="5" t="s">
        <v>408</v>
      </c>
      <c r="G238" s="5" t="s">
        <v>239</v>
      </c>
      <c r="H238" s="5" t="s">
        <v>758</v>
      </c>
      <c r="I238" s="5" t="s">
        <v>291</v>
      </c>
      <c r="J238" s="5" t="s">
        <v>287</v>
      </c>
      <c r="K238" s="5" t="s">
        <v>15</v>
      </c>
      <c r="L238" s="5" t="s">
        <v>325</v>
      </c>
      <c r="M238" s="5">
        <v>16</v>
      </c>
      <c r="N238" s="5">
        <v>8500</v>
      </c>
      <c r="O238" s="5">
        <v>15</v>
      </c>
      <c r="P238" s="5">
        <v>115600</v>
      </c>
      <c r="Q238" s="5">
        <v>4</v>
      </c>
      <c r="R238" s="5" t="s">
        <v>245</v>
      </c>
      <c r="S238" s="5" t="s">
        <v>255</v>
      </c>
      <c r="T238" s="5" t="s">
        <v>326</v>
      </c>
      <c r="U238" s="5">
        <v>9444900541</v>
      </c>
      <c r="V238" s="8" t="s">
        <v>265</v>
      </c>
      <c r="W238" t="str">
        <f>IF(OR(Q238&lt;=2,V238="Cancelled"),"Blacklisted",IF(AND(P238&gt;100000,Q238&gt;=4,O238&lt;=10%,V238="Completed"),"Platinum",IF(AND(P238&gt;=50000,Q238&gt;=3,V238="Completed"),"Gold",IF(AND(P238&lt;50000,V238="Completed"),"Silver",""))))</f>
        <v>Blacklisted</v>
      </c>
      <c r="X238" t="str">
        <f>PROPER(TRIM(F238))</f>
        <v>Anita Gupta</v>
      </c>
      <c r="Y238" t="str">
        <f>LEFT(F238,3)&amp;MID(B238,2,3)&amp;LEFT(I238,2)</f>
        <v>Ani004Pu</v>
      </c>
      <c r="Z238" t="str">
        <f>IF(ISNUMBER(SEARCH("@",T238)),LOWER(TRIM(T238)),"invalid email")</f>
        <v>anita.gupta@company.com</v>
      </c>
      <c r="AA238" t="str">
        <f ca="1">IF(H237="","",IFERROR(DATEDIF(IF(ISNUMBER(H237),H237,DATE(VALUE(RIGHT(H237,4)),VALUE(MID(H237,3,2)),VALUE(LEFT(H237,2)))),TODAY(),"Y"),""))</f>
        <v/>
      </c>
      <c r="AB238">
        <f>IF(OR(D238="",E238=""),"",IFERROR(DATE(MID(E238,7,4),MID(E238,4,2),LEFT(E238,2))-DATE(MID(D238,7,4),MID(D238,4,2),LEFT(D238,2)),""))</f>
        <v>2</v>
      </c>
      <c r="AC238" t="str">
        <f>IF(E238="","Pending",IF(AB238&lt;=5,"On time","Delayed"))</f>
        <v>On time</v>
      </c>
      <c r="AD238" s="29" t="str">
        <f>IF(TRIM(S238)="","Not Assigned",S238)</f>
        <v>Ritika</v>
      </c>
      <c r="AE238" t="str">
        <f>PROPER(TRIM(F238))</f>
        <v>Anita Gupta</v>
      </c>
      <c r="AF238" t="str">
        <f>PROPER(TRIM(K238))</f>
        <v>Home Appliances</v>
      </c>
      <c r="AG238" t="str">
        <f>PROPER(TRIM(J238))</f>
        <v>West</v>
      </c>
      <c r="AH238" t="str">
        <f t="shared" si="6"/>
        <v>Home Appliances</v>
      </c>
      <c r="AI238" t="str">
        <f t="shared" si="7"/>
        <v>Home Appliances</v>
      </c>
      <c r="AK238">
        <f>IF(COUNTIF($A$2:A238,A238)=1,1,0)</f>
        <v>1</v>
      </c>
    </row>
    <row r="239" spans="1:37">
      <c r="A239" s="9" t="s">
        <v>759</v>
      </c>
      <c r="B239" s="10" t="s">
        <v>321</v>
      </c>
      <c r="C239" s="10" t="s">
        <v>347</v>
      </c>
      <c r="D239" s="11">
        <v>45666</v>
      </c>
      <c r="E239" s="11">
        <v>46000</v>
      </c>
      <c r="F239" s="10" t="s">
        <v>408</v>
      </c>
      <c r="G239" s="10" t="s">
        <v>239</v>
      </c>
      <c r="H239" s="11">
        <v>35159</v>
      </c>
      <c r="I239" s="10" t="s">
        <v>379</v>
      </c>
      <c r="J239" s="10" t="s">
        <v>21</v>
      </c>
      <c r="K239" s="10" t="s">
        <v>295</v>
      </c>
      <c r="L239" s="10" t="s">
        <v>349</v>
      </c>
      <c r="M239" s="10">
        <v>15</v>
      </c>
      <c r="N239" s="10">
        <v>20</v>
      </c>
      <c r="O239" s="10">
        <v>20</v>
      </c>
      <c r="P239" s="10">
        <v>240</v>
      </c>
      <c r="Q239" s="10">
        <v>3</v>
      </c>
      <c r="R239" s="10" t="s">
        <v>245</v>
      </c>
      <c r="S239" s="10" t="s">
        <v>263</v>
      </c>
      <c r="T239" s="10" t="s">
        <v>326</v>
      </c>
      <c r="U239" s="10">
        <v>9108024911</v>
      </c>
      <c r="V239" s="12" t="s">
        <v>265</v>
      </c>
      <c r="W239" t="str">
        <f>IF(OR(Q239&lt;=2,V239="Cancelled"),"Blacklisted",IF(AND(P239&gt;100000,Q239&gt;=4,O239&lt;=10%,V239="Completed"),"Platinum",IF(AND(P239&gt;=50000,Q239&gt;=3,V239="Completed"),"Gold",IF(AND(P239&lt;50000,V239="Completed"),"Silver",""))))</f>
        <v>Blacklisted</v>
      </c>
      <c r="X239" t="str">
        <f>PROPER(TRIM(F239))</f>
        <v>Anita Gupta</v>
      </c>
      <c r="Y239" t="str">
        <f>LEFT(F239,3)&amp;MID(B239,2,3)&amp;LEFT(I239,2)</f>
        <v>Ani004Ko</v>
      </c>
      <c r="Z239" t="str">
        <f>IF(ISNUMBER(SEARCH("@",T239)),LOWER(TRIM(T239)),"invalid email")</f>
        <v>anita.gupta@company.com</v>
      </c>
      <c r="AA239" t="str">
        <f ca="1">IF(H238="","",IFERROR(DATEDIF(IF(ISNUMBER(H238),H238,DATE(VALUE(RIGHT(H238,4)),VALUE(MID(H238,3,2)),VALUE(LEFT(H238,2)))),TODAY(),"Y"),""))</f>
        <v/>
      </c>
      <c r="AB239" t="str">
        <f>IF(OR(D239="",E239=""),"",IFERROR(DATE(MID(E239,7,4),MID(E239,4,2),LEFT(E239,2))-DATE(MID(D239,7,4),MID(D239,4,2),LEFT(D239,2)),""))</f>
        <v/>
      </c>
      <c r="AC239" t="str">
        <f>IF(E239="","Pending",IF(AB239&lt;=5,"On time","Delayed"))</f>
        <v>Delayed</v>
      </c>
      <c r="AD239" s="29" t="str">
        <f>IF(TRIM(S239)="","Not Assigned",S239)</f>
        <v>Rahul</v>
      </c>
      <c r="AE239" t="str">
        <f>PROPER(TRIM(F239))</f>
        <v>Anita Gupta</v>
      </c>
      <c r="AF239" t="str">
        <f>PROPER(TRIM(K239))</f>
        <v>Stationery</v>
      </c>
      <c r="AG239" t="str">
        <f>PROPER(TRIM(J239))</f>
        <v>East</v>
      </c>
      <c r="AH239" t="str">
        <f t="shared" si="6"/>
        <v>Stationery</v>
      </c>
      <c r="AI239" t="str">
        <f t="shared" si="7"/>
        <v>Stationery</v>
      </c>
      <c r="AK239">
        <f>IF(COUNTIF($A$2:A239,A239)=1,1,0)</f>
        <v>1</v>
      </c>
    </row>
    <row r="240" spans="1:37">
      <c r="A240" s="4" t="s">
        <v>760</v>
      </c>
      <c r="B240" s="5" t="s">
        <v>275</v>
      </c>
      <c r="C240" s="5" t="s">
        <v>294</v>
      </c>
      <c r="D240" s="6">
        <v>46266</v>
      </c>
      <c r="E240" s="5" t="s">
        <v>6</v>
      </c>
      <c r="F240" s="5" t="s">
        <v>328</v>
      </c>
      <c r="G240" s="5" t="s">
        <v>269</v>
      </c>
      <c r="H240" s="6">
        <v>37144</v>
      </c>
      <c r="I240" s="5" t="s">
        <v>241</v>
      </c>
      <c r="J240" s="5" t="s">
        <v>242</v>
      </c>
      <c r="K240" s="5" t="s">
        <v>295</v>
      </c>
      <c r="L240" s="5" t="s">
        <v>296</v>
      </c>
      <c r="M240" s="5">
        <v>14</v>
      </c>
      <c r="N240" s="5">
        <v>60</v>
      </c>
      <c r="O240" s="5">
        <v>5</v>
      </c>
      <c r="P240" s="5">
        <v>798</v>
      </c>
      <c r="Q240" s="5">
        <v>4</v>
      </c>
      <c r="R240" s="5" t="s">
        <v>254</v>
      </c>
      <c r="S240" s="5" t="s">
        <v>263</v>
      </c>
      <c r="T240" s="5" t="s">
        <v>278</v>
      </c>
      <c r="U240" s="5">
        <v>9897181325</v>
      </c>
      <c r="V240" s="8" t="s">
        <v>257</v>
      </c>
      <c r="W240" t="str">
        <f>IF(OR(Q240&lt;=2,V240="Cancelled"),"Blacklisted",IF(AND(P240&gt;100000,Q240&gt;=4,O240&lt;=10%,V240="Completed"),"Platinum",IF(AND(P240&gt;=50000,Q240&gt;=3,V240="Completed"),"Gold",IF(AND(P240&lt;50000,V240="Completed"),"Silver",""))))</f>
        <v>Silver</v>
      </c>
      <c r="X240" t="str">
        <f>PROPER(TRIM(F240))</f>
        <v>Arjun Rao</v>
      </c>
      <c r="Y240" t="str">
        <f>LEFT(F240,3)&amp;MID(B240,2,3)&amp;LEFT(I240,2)</f>
        <v>Arj007Be</v>
      </c>
      <c r="Z240" t="str">
        <f>IF(ISNUMBER(SEARCH("@",T240)),LOWER(TRIM(T240)),"invalid email")</f>
        <v>arjun.rao@company.com</v>
      </c>
      <c r="AA240">
        <f ca="1">IF(H239="","",IFERROR(DATEDIF(IF(ISNUMBER(H239),H239,DATE(VALUE(RIGHT(H239,4)),VALUE(MID(H239,3,2)),VALUE(LEFT(H239,2)))),TODAY(),"Y"),""))</f>
        <v>30</v>
      </c>
      <c r="AB240" t="str">
        <f>IF(OR(D240="",E240=""),"",IFERROR(DATE(MID(E240,7,4),MID(E240,4,2),LEFT(E240,2))-DATE(MID(D240,7,4),MID(D240,4,2),LEFT(D240,2)),""))</f>
        <v/>
      </c>
      <c r="AC240" t="str">
        <f>IF(E240="","Pending",IF(AB240&lt;=5,"On time","Delayed"))</f>
        <v>Delayed</v>
      </c>
      <c r="AD240" s="29" t="str">
        <f>IF(TRIM(S240)="","Not Assigned",S240)</f>
        <v>Rahul</v>
      </c>
      <c r="AE240" t="str">
        <f>PROPER(TRIM(F240))</f>
        <v>Arjun Rao</v>
      </c>
      <c r="AF240" t="str">
        <f>PROPER(TRIM(K240))</f>
        <v>Stationery</v>
      </c>
      <c r="AG240" t="str">
        <f>PROPER(TRIM(J240))</f>
        <v>South</v>
      </c>
      <c r="AH240" t="str">
        <f t="shared" si="6"/>
        <v>Stationery</v>
      </c>
      <c r="AI240" t="str">
        <f t="shared" si="7"/>
        <v>Stationery</v>
      </c>
      <c r="AK240">
        <f>IF(COUNTIF($A$2:A240,A240)=1,1,0)</f>
        <v>1</v>
      </c>
    </row>
    <row r="241" spans="1:37">
      <c r="A241" s="9" t="s">
        <v>761</v>
      </c>
      <c r="B241" s="10" t="s">
        <v>235</v>
      </c>
      <c r="C241" s="10" t="s">
        <v>267</v>
      </c>
      <c r="D241" s="10" t="s">
        <v>47</v>
      </c>
      <c r="E241" s="10" t="s">
        <v>762</v>
      </c>
      <c r="F241" s="10" t="s">
        <v>318</v>
      </c>
      <c r="G241" s="10" t="s">
        <v>239</v>
      </c>
      <c r="H241" s="11">
        <v>35007</v>
      </c>
      <c r="I241" s="10" t="s">
        <v>286</v>
      </c>
      <c r="J241" s="10" t="s">
        <v>287</v>
      </c>
      <c r="K241" s="10" t="s">
        <v>243</v>
      </c>
      <c r="L241" s="10" t="s">
        <v>271</v>
      </c>
      <c r="M241" s="10">
        <v>19</v>
      </c>
      <c r="N241" s="10">
        <v>1200</v>
      </c>
      <c r="O241" s="10">
        <v>20</v>
      </c>
      <c r="P241" s="10">
        <v>18240</v>
      </c>
      <c r="Q241" s="10">
        <v>2</v>
      </c>
      <c r="R241" s="10" t="s">
        <v>254</v>
      </c>
      <c r="S241" s="10" t="s">
        <v>292</v>
      </c>
      <c r="T241" s="10" t="s">
        <v>247</v>
      </c>
      <c r="U241" s="10">
        <v>9554719621</v>
      </c>
      <c r="V241" s="12" t="s">
        <v>265</v>
      </c>
      <c r="W241" t="str">
        <f>IF(OR(Q241&lt;=2,V241="Cancelled"),"Blacklisted",IF(AND(P241&gt;100000,Q241&gt;=4,O241&lt;=10%,V241="Completed"),"Platinum",IF(AND(P241&gt;=50000,Q241&gt;=3,V241="Completed"),"Gold",IF(AND(P241&lt;50000,V241="Completed"),"Silver",""))))</f>
        <v>Blacklisted</v>
      </c>
      <c r="X241" t="str">
        <f>PROPER(TRIM(F241))</f>
        <v>Pooja Shah</v>
      </c>
      <c r="Y241" t="str">
        <f>LEFT(F241,3)&amp;MID(B241,2,3)&amp;LEFT(I241,2)</f>
        <v>Poo010Mu</v>
      </c>
      <c r="Z241" t="str">
        <f>IF(ISNUMBER(SEARCH("@",T241)),LOWER(TRIM(T241)),"invalid email")</f>
        <v>pooja.shah@company.com</v>
      </c>
      <c r="AA241">
        <f ca="1">IF(H240="","",IFERROR(DATEDIF(IF(ISNUMBER(H240),H240,DATE(VALUE(RIGHT(H240,4)),VALUE(MID(H240,3,2)),VALUE(LEFT(H240,2)))),TODAY(),"Y"),""))</f>
        <v>25</v>
      </c>
      <c r="AB241">
        <f>IF(OR(D241="",E241=""),"",IFERROR(DATE(MID(E241,7,4),MID(E241,4,2),LEFT(E241,2))-DATE(MID(D241,7,4),MID(D241,4,2),LEFT(D241,2)),""))</f>
        <v>3</v>
      </c>
      <c r="AC241" t="str">
        <f>IF(E241="","Pending",IF(AB241&lt;=5,"On time","Delayed"))</f>
        <v>On time</v>
      </c>
      <c r="AD241" s="29" t="str">
        <f>IF(TRIM(S241)="","Not Assigned",S241)</f>
        <v>Neha</v>
      </c>
      <c r="AE241" t="str">
        <f>PROPER(TRIM(F241))</f>
        <v>Pooja Shah</v>
      </c>
      <c r="AF241" t="str">
        <f>PROPER(TRIM(K241))</f>
        <v>Electronics</v>
      </c>
      <c r="AG241" t="str">
        <f>PROPER(TRIM(J241))</f>
        <v>West</v>
      </c>
      <c r="AH241" t="str">
        <f t="shared" si="6"/>
        <v>Electronics</v>
      </c>
      <c r="AI241" t="str">
        <f t="shared" si="7"/>
        <v>Electronics</v>
      </c>
      <c r="AK241">
        <f>IF(COUNTIF($A$2:A241,A241)=1,1,0)</f>
        <v>1</v>
      </c>
    </row>
    <row r="242" spans="1:37">
      <c r="A242" s="4" t="s">
        <v>763</v>
      </c>
      <c r="B242" s="5" t="s">
        <v>249</v>
      </c>
      <c r="C242" s="5" t="s">
        <v>362</v>
      </c>
      <c r="D242" s="5" t="s">
        <v>20</v>
      </c>
      <c r="E242" s="5" t="s">
        <v>401</v>
      </c>
      <c r="F242" s="5" t="s">
        <v>251</v>
      </c>
      <c r="G242" s="5" t="s">
        <v>239</v>
      </c>
      <c r="H242" s="6">
        <v>36621</v>
      </c>
      <c r="I242" s="5" t="s">
        <v>241</v>
      </c>
      <c r="J242" s="5" t="s">
        <v>242</v>
      </c>
      <c r="K242" s="5" t="s">
        <v>295</v>
      </c>
      <c r="L242" s="5" t="s">
        <v>363</v>
      </c>
      <c r="M242" s="5">
        <v>5</v>
      </c>
      <c r="N242" s="5">
        <v>45</v>
      </c>
      <c r="O242" s="5">
        <v>15</v>
      </c>
      <c r="P242" s="5">
        <v>191.25</v>
      </c>
      <c r="Q242" s="5">
        <v>2</v>
      </c>
      <c r="R242" s="5" t="s">
        <v>254</v>
      </c>
      <c r="S242" s="5" t="s">
        <v>246</v>
      </c>
      <c r="T242" s="5" t="s">
        <v>264</v>
      </c>
      <c r="U242" s="5">
        <v>9815899217</v>
      </c>
      <c r="V242" s="8" t="s">
        <v>265</v>
      </c>
      <c r="W242" t="str">
        <f>IF(OR(Q242&lt;=2,V242="Cancelled"),"Blacklisted",IF(AND(P242&gt;100000,Q242&gt;=4,O242&lt;=10%,V242="Completed"),"Platinum",IF(AND(P242&gt;=50000,Q242&gt;=3,V242="Completed"),"Gold",IF(AND(P242&lt;50000,V242="Completed"),"Silver",""))))</f>
        <v>Blacklisted</v>
      </c>
      <c r="X242" t="str">
        <f>PROPER(TRIM(F242))</f>
        <v>Kavya Nair</v>
      </c>
      <c r="Y242" t="str">
        <f>LEFT(F242,3)&amp;MID(B242,2,3)&amp;LEFT(I242,2)</f>
        <v>Kav008Be</v>
      </c>
      <c r="Z242" t="str">
        <f>IF(ISNUMBER(SEARCH("@",T242)),LOWER(TRIM(T242)),"invalid email")</f>
        <v>kavya.nair@company.com</v>
      </c>
      <c r="AA242">
        <f ca="1">IF(H241="","",IFERROR(DATEDIF(IF(ISNUMBER(H241),H241,DATE(VALUE(RIGHT(H241,4)),VALUE(MID(H241,3,2)),VALUE(LEFT(H241,2)))),TODAY(),"Y"),""))</f>
        <v>30</v>
      </c>
      <c r="AB242">
        <f>IF(OR(D242="",E242=""),"",IFERROR(DATE(MID(E242,7,4),MID(E242,4,2),LEFT(E242,2))-DATE(MID(D242,7,4),MID(D242,4,2),LEFT(D242,2)),""))</f>
        <v>1</v>
      </c>
      <c r="AC242" t="str">
        <f>IF(E242="","Pending",IF(AB242&lt;=5,"On time","Delayed"))</f>
        <v>On time</v>
      </c>
      <c r="AD242" s="29" t="str">
        <f>IF(TRIM(S242)="","Not Assigned",S242)</f>
        <v>Aisha</v>
      </c>
      <c r="AE242" t="str">
        <f>PROPER(TRIM(F242))</f>
        <v>Kavya Nair</v>
      </c>
      <c r="AF242" t="str">
        <f>PROPER(TRIM(K242))</f>
        <v>Stationery</v>
      </c>
      <c r="AG242" t="str">
        <f>PROPER(TRIM(J242))</f>
        <v>South</v>
      </c>
      <c r="AH242" t="str">
        <f t="shared" si="6"/>
        <v>Stationery</v>
      </c>
      <c r="AI242" t="str">
        <f t="shared" si="7"/>
        <v>Stationery</v>
      </c>
      <c r="AK242">
        <f>IF(COUNTIF($A$2:A242,A242)=1,1,0)</f>
        <v>1</v>
      </c>
    </row>
    <row r="243" spans="1:37">
      <c r="A243" s="9" t="s">
        <v>764</v>
      </c>
      <c r="B243" s="10" t="s">
        <v>392</v>
      </c>
      <c r="C243" s="10" t="s">
        <v>330</v>
      </c>
      <c r="D243" s="10" t="s">
        <v>143</v>
      </c>
      <c r="E243" s="11">
        <v>45663</v>
      </c>
      <c r="F243" s="10" t="s">
        <v>323</v>
      </c>
      <c r="G243" s="10" t="s">
        <v>269</v>
      </c>
      <c r="H243" s="11">
        <v>37259</v>
      </c>
      <c r="I243" s="10" t="s">
        <v>252</v>
      </c>
      <c r="J243" s="10" t="s">
        <v>242</v>
      </c>
      <c r="K243" s="10" t="s">
        <v>243</v>
      </c>
      <c r="L243" s="10" t="s">
        <v>333</v>
      </c>
      <c r="M243" s="10">
        <v>19</v>
      </c>
      <c r="N243" s="10">
        <v>700</v>
      </c>
      <c r="O243" s="10">
        <v>5</v>
      </c>
      <c r="P243" s="10">
        <v>12635</v>
      </c>
      <c r="Q243" s="10">
        <v>5</v>
      </c>
      <c r="R243" s="10" t="s">
        <v>277</v>
      </c>
      <c r="S243" s="10" t="s">
        <v>312</v>
      </c>
      <c r="T243" s="10" t="s">
        <v>395</v>
      </c>
      <c r="U243" s="10">
        <v>9308497039</v>
      </c>
      <c r="V243" s="12" t="s">
        <v>257</v>
      </c>
      <c r="W243" t="str">
        <f>IF(OR(Q243&lt;=2,V243="Cancelled"),"Blacklisted",IF(AND(P243&gt;100000,Q243&gt;=4,O243&lt;=10%,V243="Completed"),"Platinum",IF(AND(P243&gt;=50000,Q243&gt;=3,V243="Completed"),"Gold",IF(AND(P243&lt;50000,V243="Completed"),"Silver",""))))</f>
        <v>Silver</v>
      </c>
      <c r="X243" t="str">
        <f>PROPER(TRIM(F243))</f>
        <v>Amit Sharma</v>
      </c>
      <c r="Y243" t="str">
        <f>LEFT(F243,3)&amp;MID(B243,2,3)&amp;LEFT(I243,2)</f>
        <v>Ami001Hy</v>
      </c>
      <c r="Z243" t="str">
        <f>IF(ISNUMBER(SEARCH("@",T243)),LOWER(TRIM(T243)),"invalid email")</f>
        <v>amit.sharma@company.com</v>
      </c>
      <c r="AA243">
        <f ca="1">IF(H242="","",IFERROR(DATEDIF(IF(ISNUMBER(H242),H242,DATE(VALUE(RIGHT(H242,4)),VALUE(MID(H242,3,2)),VALUE(LEFT(H242,2)))),TODAY(),"Y"),""))</f>
        <v>26</v>
      </c>
      <c r="AB243" t="str">
        <f>IF(OR(D243="",E243=""),"",IFERROR(DATE(MID(E243,7,4),MID(E243,4,2),LEFT(E243,2))-DATE(MID(D243,7,4),MID(D243,4,2),LEFT(D243,2)),""))</f>
        <v/>
      </c>
      <c r="AC243" t="str">
        <f>IF(E243="","Pending",IF(AB243&lt;=5,"On time","Delayed"))</f>
        <v>Delayed</v>
      </c>
      <c r="AD243" s="29" t="str">
        <f>IF(TRIM(S243)="","Not Assigned",S243)</f>
        <v>Karan</v>
      </c>
      <c r="AE243" t="str">
        <f>PROPER(TRIM(F243))</f>
        <v>Amit Sharma</v>
      </c>
      <c r="AF243" t="str">
        <f>PROPER(TRIM(K243))</f>
        <v>Electronics</v>
      </c>
      <c r="AG243" t="str">
        <f>PROPER(TRIM(J243))</f>
        <v>South</v>
      </c>
      <c r="AH243" t="str">
        <f t="shared" si="6"/>
        <v>Electronics</v>
      </c>
      <c r="AI243" t="str">
        <f t="shared" si="7"/>
        <v>Electronics</v>
      </c>
      <c r="AK243">
        <f>IF(COUNTIF($A$2:A243,A243)=1,1,0)</f>
        <v>1</v>
      </c>
    </row>
    <row r="244" spans="1:37">
      <c r="A244" s="4" t="s">
        <v>765</v>
      </c>
      <c r="B244" s="5" t="s">
        <v>299</v>
      </c>
      <c r="C244" s="5" t="s">
        <v>294</v>
      </c>
      <c r="D244" s="6">
        <v>46082</v>
      </c>
      <c r="E244" s="6">
        <v>46113</v>
      </c>
      <c r="F244" s="5" t="s">
        <v>301</v>
      </c>
      <c r="G244" s="5" t="s">
        <v>269</v>
      </c>
      <c r="H244" s="5" t="s">
        <v>766</v>
      </c>
      <c r="I244" s="5" t="s">
        <v>379</v>
      </c>
      <c r="J244" s="5" t="s">
        <v>21</v>
      </c>
      <c r="K244" s="5" t="s">
        <v>295</v>
      </c>
      <c r="L244" s="5" t="s">
        <v>296</v>
      </c>
      <c r="M244" s="5">
        <v>7</v>
      </c>
      <c r="N244" s="5">
        <v>60</v>
      </c>
      <c r="O244" s="5">
        <v>0</v>
      </c>
      <c r="P244" s="5">
        <v>420</v>
      </c>
      <c r="Q244" s="5">
        <v>4</v>
      </c>
      <c r="R244" s="5" t="s">
        <v>254</v>
      </c>
      <c r="S244" s="5" t="s">
        <v>292</v>
      </c>
      <c r="T244" s="5" t="s">
        <v>302</v>
      </c>
      <c r="U244" s="5">
        <v>9882054354</v>
      </c>
      <c r="V244" s="8" t="s">
        <v>248</v>
      </c>
      <c r="W244" t="str">
        <f>IF(OR(Q244&lt;=2,V244="Cancelled"),"Blacklisted",IF(AND(P244&gt;100000,Q244&gt;=4,O244&lt;=10%,V244="Completed"),"Platinum",IF(AND(P244&gt;=50000,Q244&gt;=3,V244="Completed"),"Gold",IF(AND(P244&lt;50000,V244="Completed"),"Silver",""))))</f>
        <v/>
      </c>
      <c r="X244" t="str">
        <f>PROPER(TRIM(F244))</f>
        <v>Rohit Singh</v>
      </c>
      <c r="Y244" t="str">
        <f>LEFT(F244,3)&amp;MID(B244,2,3)&amp;LEFT(I244,2)</f>
        <v>Roh003Ko</v>
      </c>
      <c r="Z244" t="str">
        <f>IF(ISNUMBER(SEARCH("@",T244)),LOWER(TRIM(T244)),"invalid email")</f>
        <v>rohit.singh@company.com</v>
      </c>
      <c r="AA244">
        <f ca="1">IF(H243="","",IFERROR(DATEDIF(IF(ISNUMBER(H243),H243,DATE(VALUE(RIGHT(H243,4)),VALUE(MID(H243,3,2)),VALUE(LEFT(H243,2)))),TODAY(),"Y"),""))</f>
        <v>24</v>
      </c>
      <c r="AB244" t="str">
        <f>IF(OR(D244="",E244=""),"",IFERROR(DATE(MID(E244,7,4),MID(E244,4,2),LEFT(E244,2))-DATE(MID(D244,7,4),MID(D244,4,2),LEFT(D244,2)),""))</f>
        <v/>
      </c>
      <c r="AC244" t="str">
        <f>IF(E244="","Pending",IF(AB244&lt;=5,"On time","Delayed"))</f>
        <v>Delayed</v>
      </c>
      <c r="AD244" s="29" t="str">
        <f>IF(TRIM(S244)="","Not Assigned",S244)</f>
        <v>Neha</v>
      </c>
      <c r="AE244" t="str">
        <f>PROPER(TRIM(F244))</f>
        <v>Rohit Singh</v>
      </c>
      <c r="AF244" t="str">
        <f>PROPER(TRIM(K244))</f>
        <v>Stationery</v>
      </c>
      <c r="AG244" t="str">
        <f>PROPER(TRIM(J244))</f>
        <v>East</v>
      </c>
      <c r="AH244" t="str">
        <f t="shared" si="6"/>
        <v>Stationery</v>
      </c>
      <c r="AI244" t="str">
        <f t="shared" si="7"/>
        <v>Stationery</v>
      </c>
      <c r="AK244">
        <f>IF(COUNTIF($A$2:A244,A244)=1,1,0)</f>
        <v>1</v>
      </c>
    </row>
    <row r="245" spans="1:37">
      <c r="A245" s="9" t="s">
        <v>767</v>
      </c>
      <c r="B245" s="10" t="s">
        <v>266</v>
      </c>
      <c r="C245" s="10" t="s">
        <v>250</v>
      </c>
      <c r="D245" s="10" t="s">
        <v>117</v>
      </c>
      <c r="E245" s="11">
        <v>46054</v>
      </c>
      <c r="F245" s="10" t="s">
        <v>268</v>
      </c>
      <c r="G245" s="10" t="s">
        <v>269</v>
      </c>
      <c r="H245" s="11">
        <v>32185</v>
      </c>
      <c r="I245" s="10" t="s">
        <v>286</v>
      </c>
      <c r="J245" s="10" t="s">
        <v>287</v>
      </c>
      <c r="K245" s="10" t="s">
        <v>15</v>
      </c>
      <c r="L245" s="10" t="s">
        <v>253</v>
      </c>
      <c r="M245" s="10">
        <v>13</v>
      </c>
      <c r="N245" s="10">
        <v>2200</v>
      </c>
      <c r="O245" s="10">
        <v>10</v>
      </c>
      <c r="P245" s="10">
        <v>25740</v>
      </c>
      <c r="Q245" s="10">
        <v>1</v>
      </c>
      <c r="R245" s="10" t="s">
        <v>272</v>
      </c>
      <c r="S245" s="10" t="s">
        <v>312</v>
      </c>
      <c r="T245" s="10" t="s">
        <v>273</v>
      </c>
      <c r="U245" s="10">
        <v>9193016830</v>
      </c>
      <c r="V245" s="12" t="s">
        <v>257</v>
      </c>
      <c r="W245" t="str">
        <f>IF(OR(Q245&lt;=2,V245="Cancelled"),"Blacklisted",IF(AND(P245&gt;100000,Q245&gt;=4,O245&lt;=10%,V245="Completed"),"Platinum",IF(AND(P245&gt;=50000,Q245&gt;=3,V245="Completed"),"Gold",IF(AND(P245&lt;50000,V245="Completed"),"Silver",""))))</f>
        <v>Blacklisted</v>
      </c>
      <c r="X245" t="str">
        <f>PROPER(TRIM(F245))</f>
        <v>Mohit Verma</v>
      </c>
      <c r="Y245" t="str">
        <f>LEFT(F245,3)&amp;MID(B245,2,3)&amp;LEFT(I245,2)</f>
        <v>Moh009Mu</v>
      </c>
      <c r="Z245" t="str">
        <f>IF(ISNUMBER(SEARCH("@",T245)),LOWER(TRIM(T245)),"invalid email")</f>
        <v>mohit.verma@company.com</v>
      </c>
      <c r="AA245" t="str">
        <f ca="1">IF(H244="","",IFERROR(DATEDIF(IF(ISNUMBER(H244),H244,DATE(VALUE(RIGHT(H244,4)),VALUE(MID(H244,3,2)),VALUE(LEFT(H244,2)))),TODAY(),"Y"),""))</f>
        <v/>
      </c>
      <c r="AB245" t="str">
        <f>IF(OR(D245="",E245=""),"",IFERROR(DATE(MID(E245,7,4),MID(E245,4,2),LEFT(E245,2))-DATE(MID(D245,7,4),MID(D245,4,2),LEFT(D245,2)),""))</f>
        <v/>
      </c>
      <c r="AC245" t="str">
        <f>IF(E245="","Pending",IF(AB245&lt;=5,"On time","Delayed"))</f>
        <v>Delayed</v>
      </c>
      <c r="AD245" s="29" t="str">
        <f>IF(TRIM(S245)="","Not Assigned",S245)</f>
        <v>Karan</v>
      </c>
      <c r="AE245" t="str">
        <f>PROPER(TRIM(F245))</f>
        <v>Mohit Verma</v>
      </c>
      <c r="AF245" t="str">
        <f>PROPER(TRIM(K245))</f>
        <v>Home Appliances</v>
      </c>
      <c r="AG245" t="str">
        <f>PROPER(TRIM(J245))</f>
        <v>West</v>
      </c>
      <c r="AH245" t="str">
        <f t="shared" si="6"/>
        <v>Home Appliances</v>
      </c>
      <c r="AI245" t="str">
        <f t="shared" si="7"/>
        <v>Home Appliances</v>
      </c>
      <c r="AK245">
        <f>IF(COUNTIF($A$2:A245,A245)=1,1,0)</f>
        <v>1</v>
      </c>
    </row>
    <row r="246" spans="1:37">
      <c r="A246" s="4" t="s">
        <v>768</v>
      </c>
      <c r="B246" s="5" t="s">
        <v>266</v>
      </c>
      <c r="C246" s="5" t="s">
        <v>250</v>
      </c>
      <c r="D246" s="5" t="s">
        <v>183</v>
      </c>
      <c r="E246" s="6">
        <v>46143</v>
      </c>
      <c r="F246" s="5" t="s">
        <v>268</v>
      </c>
      <c r="G246" s="5" t="s">
        <v>269</v>
      </c>
      <c r="H246" s="6">
        <v>30845</v>
      </c>
      <c r="I246" s="5" t="s">
        <v>241</v>
      </c>
      <c r="J246" s="5" t="s">
        <v>242</v>
      </c>
      <c r="K246" s="5" t="s">
        <v>15</v>
      </c>
      <c r="L246" s="5" t="s">
        <v>253</v>
      </c>
      <c r="M246" s="5">
        <v>9</v>
      </c>
      <c r="N246" s="5">
        <v>2200</v>
      </c>
      <c r="O246" s="5">
        <v>10</v>
      </c>
      <c r="P246" s="5">
        <v>17820</v>
      </c>
      <c r="Q246" s="5">
        <v>2</v>
      </c>
      <c r="R246" s="5" t="s">
        <v>769</v>
      </c>
      <c r="S246" s="5" t="s">
        <v>246</v>
      </c>
      <c r="T246" s="5" t="s">
        <v>273</v>
      </c>
      <c r="U246" s="5">
        <v>9921470418</v>
      </c>
      <c r="V246" s="8" t="s">
        <v>265</v>
      </c>
      <c r="W246" t="str">
        <f>IF(OR(Q246&lt;=2,V246="Cancelled"),"Blacklisted",IF(AND(P246&gt;100000,Q246&gt;=4,O246&lt;=10%,V246="Completed"),"Platinum",IF(AND(P246&gt;=50000,Q246&gt;=3,V246="Completed"),"Gold",IF(AND(P246&lt;50000,V246="Completed"),"Silver",""))))</f>
        <v>Blacklisted</v>
      </c>
      <c r="X246" t="str">
        <f>PROPER(TRIM(F246))</f>
        <v>Mohit Verma</v>
      </c>
      <c r="Y246" t="str">
        <f>LEFT(F246,3)&amp;MID(B246,2,3)&amp;LEFT(I246,2)</f>
        <v>Moh009Be</v>
      </c>
      <c r="Z246" t="str">
        <f>IF(ISNUMBER(SEARCH("@",T246)),LOWER(TRIM(T246)),"invalid email")</f>
        <v>mohit.verma@company.com</v>
      </c>
      <c r="AA246">
        <f ca="1">IF(H245="","",IFERROR(DATEDIF(IF(ISNUMBER(H245),H245,DATE(VALUE(RIGHT(H245,4)),VALUE(MID(H245,3,2)),VALUE(LEFT(H245,2)))),TODAY(),"Y"),""))</f>
        <v>38</v>
      </c>
      <c r="AB246" t="str">
        <f>IF(OR(D246="",E246=""),"",IFERROR(DATE(MID(E246,7,4),MID(E246,4,2),LEFT(E246,2))-DATE(MID(D246,7,4),MID(D246,4,2),LEFT(D246,2)),""))</f>
        <v/>
      </c>
      <c r="AC246" t="str">
        <f>IF(E246="","Pending",IF(AB246&lt;=5,"On time","Delayed"))</f>
        <v>Delayed</v>
      </c>
      <c r="AD246" s="29" t="str">
        <f>IF(TRIM(S246)="","Not Assigned",S246)</f>
        <v>Aisha</v>
      </c>
      <c r="AE246" t="str">
        <f>PROPER(TRIM(F246))</f>
        <v>Mohit Verma</v>
      </c>
      <c r="AF246" t="str">
        <f>PROPER(TRIM(K246))</f>
        <v>Home Appliances</v>
      </c>
      <c r="AG246" t="str">
        <f>PROPER(TRIM(J246))</f>
        <v>South</v>
      </c>
      <c r="AH246" t="str">
        <f t="shared" si="6"/>
        <v>Home Appliances</v>
      </c>
      <c r="AI246" t="str">
        <f t="shared" si="7"/>
        <v>Home Appliances</v>
      </c>
      <c r="AK246">
        <f>IF(COUNTIF($A$2:A246,A246)=1,1,0)</f>
        <v>1</v>
      </c>
    </row>
    <row r="247" spans="1:37">
      <c r="A247" s="9" t="s">
        <v>770</v>
      </c>
      <c r="B247" s="10" t="s">
        <v>392</v>
      </c>
      <c r="C247" s="10" t="s">
        <v>322</v>
      </c>
      <c r="D247" s="10" t="s">
        <v>34</v>
      </c>
      <c r="E247" s="10" t="s">
        <v>771</v>
      </c>
      <c r="F247" s="10" t="s">
        <v>323</v>
      </c>
      <c r="G247" s="10" t="s">
        <v>269</v>
      </c>
      <c r="H247" s="11">
        <v>32878</v>
      </c>
      <c r="I247" s="10" t="s">
        <v>241</v>
      </c>
      <c r="J247" s="10" t="s">
        <v>242</v>
      </c>
      <c r="K247" s="10" t="s">
        <v>15</v>
      </c>
      <c r="L247" s="10" t="s">
        <v>325</v>
      </c>
      <c r="M247" s="10">
        <v>6</v>
      </c>
      <c r="N247" s="10">
        <v>8500</v>
      </c>
      <c r="O247" s="10">
        <v>15</v>
      </c>
      <c r="P247" s="10">
        <v>43350</v>
      </c>
      <c r="Q247" s="10">
        <v>2</v>
      </c>
      <c r="R247" s="10" t="s">
        <v>254</v>
      </c>
      <c r="S247" s="10" t="s">
        <v>312</v>
      </c>
      <c r="T247" s="10" t="s">
        <v>395</v>
      </c>
      <c r="U247" s="10">
        <v>9686979026</v>
      </c>
      <c r="V247" s="12" t="s">
        <v>265</v>
      </c>
      <c r="W247" t="str">
        <f>IF(OR(Q247&lt;=2,V247="Cancelled"),"Blacklisted",IF(AND(P247&gt;100000,Q247&gt;=4,O247&lt;=10%,V247="Completed"),"Platinum",IF(AND(P247&gt;=50000,Q247&gt;=3,V247="Completed"),"Gold",IF(AND(P247&lt;50000,V247="Completed"),"Silver",""))))</f>
        <v>Blacklisted</v>
      </c>
      <c r="X247" t="str">
        <f>PROPER(TRIM(F247))</f>
        <v>Amit Sharma</v>
      </c>
      <c r="Y247" t="str">
        <f>LEFT(F247,3)&amp;MID(B247,2,3)&amp;LEFT(I247,2)</f>
        <v>Ami001Be</v>
      </c>
      <c r="Z247" t="str">
        <f>IF(ISNUMBER(SEARCH("@",T247)),LOWER(TRIM(T247)),"invalid email")</f>
        <v>amit.sharma@company.com</v>
      </c>
      <c r="AA247">
        <f ca="1">IF(H246="","",IFERROR(DATEDIF(IF(ISNUMBER(H246),H246,DATE(VALUE(RIGHT(H246,4)),VALUE(MID(H246,3,2)),VALUE(LEFT(H246,2)))),TODAY(),"Y"),""))</f>
        <v>42</v>
      </c>
      <c r="AB247">
        <f>IF(OR(D247="",E247=""),"",IFERROR(DATE(MID(E247,7,4),MID(E247,4,2),LEFT(E247,2))-DATE(MID(D247,7,4),MID(D247,4,2),LEFT(D247,2)),""))</f>
        <v>2</v>
      </c>
      <c r="AC247" t="str">
        <f>IF(E247="","Pending",IF(AB247&lt;=5,"On time","Delayed"))</f>
        <v>On time</v>
      </c>
      <c r="AD247" s="29" t="str">
        <f>IF(TRIM(S247)="","Not Assigned",S247)</f>
        <v>Karan</v>
      </c>
      <c r="AE247" t="str">
        <f>PROPER(TRIM(F247))</f>
        <v>Amit Sharma</v>
      </c>
      <c r="AF247" t="str">
        <f>PROPER(TRIM(K247))</f>
        <v>Home Appliances</v>
      </c>
      <c r="AG247" t="str">
        <f>PROPER(TRIM(J247))</f>
        <v>South</v>
      </c>
      <c r="AH247" t="str">
        <f t="shared" si="6"/>
        <v>Home Appliances</v>
      </c>
      <c r="AI247" t="str">
        <f t="shared" si="7"/>
        <v>Home Appliances</v>
      </c>
      <c r="AK247">
        <f>IF(COUNTIF($A$2:A247,A247)=1,1,0)</f>
        <v>1</v>
      </c>
    </row>
    <row r="248" spans="1:37">
      <c r="A248" s="4" t="s">
        <v>772</v>
      </c>
      <c r="B248" s="5" t="s">
        <v>346</v>
      </c>
      <c r="C248" s="5" t="s">
        <v>250</v>
      </c>
      <c r="D248" s="5" t="s">
        <v>56</v>
      </c>
      <c r="E248" s="5" t="s">
        <v>139</v>
      </c>
      <c r="F248" s="5" t="s">
        <v>348</v>
      </c>
      <c r="G248" s="5" t="s">
        <v>269</v>
      </c>
      <c r="H248" s="6">
        <v>32388</v>
      </c>
      <c r="I248" s="5" t="s">
        <v>260</v>
      </c>
      <c r="J248" s="5" t="s">
        <v>261</v>
      </c>
      <c r="K248" s="5" t="s">
        <v>15</v>
      </c>
      <c r="L248" s="5" t="s">
        <v>253</v>
      </c>
      <c r="M248" s="5">
        <v>9</v>
      </c>
      <c r="N248" s="5">
        <v>2200</v>
      </c>
      <c r="O248" s="5">
        <v>10</v>
      </c>
      <c r="P248" s="5">
        <v>17820</v>
      </c>
      <c r="Q248" s="5">
        <v>3</v>
      </c>
      <c r="R248" s="5" t="s">
        <v>272</v>
      </c>
      <c r="S248" s="5" t="s">
        <v>255</v>
      </c>
      <c r="T248" s="5" t="s">
        <v>350</v>
      </c>
      <c r="U248" s="5">
        <v>9569007422</v>
      </c>
      <c r="V248" s="8" t="s">
        <v>248</v>
      </c>
      <c r="W248" t="str">
        <f>IF(OR(Q248&lt;=2,V248="Cancelled"),"Blacklisted",IF(AND(P248&gt;100000,Q248&gt;=4,O248&lt;=10%,V248="Completed"),"Platinum",IF(AND(P248&gt;=50000,Q248&gt;=3,V248="Completed"),"Gold",IF(AND(P248&lt;50000,V248="Completed"),"Silver",""))))</f>
        <v/>
      </c>
      <c r="X248" t="str">
        <f>PROPER(TRIM(F248))</f>
        <v>Vikas Mehta</v>
      </c>
      <c r="Y248" t="str">
        <f>LEFT(F248,3)&amp;MID(B248,2,3)&amp;LEFT(I248,2)</f>
        <v>Vik005De</v>
      </c>
      <c r="Z248" t="str">
        <f>IF(ISNUMBER(SEARCH("@",T248)),LOWER(TRIM(T248)),"invalid email")</f>
        <v>vikas.mehta@company.com</v>
      </c>
      <c r="AA248">
        <f ca="1">IF(H247="","",IFERROR(DATEDIF(IF(ISNUMBER(H247),H247,DATE(VALUE(RIGHT(H247,4)),VALUE(MID(H247,3,2)),VALUE(LEFT(H247,2)))),TODAY(),"Y"),""))</f>
        <v>36</v>
      </c>
      <c r="AB248">
        <f>IF(OR(D248="",E248=""),"",IFERROR(DATE(MID(E248,7,4),MID(E248,4,2),LEFT(E248,2))-DATE(MID(D248,7,4),MID(D248,4,2),LEFT(D248,2)),""))</f>
        <v>8</v>
      </c>
      <c r="AC248" t="str">
        <f>IF(E248="","Pending",IF(AB248&lt;=5,"On time","Delayed"))</f>
        <v>Delayed</v>
      </c>
      <c r="AD248" s="29" t="str">
        <f>IF(TRIM(S248)="","Not Assigned",S248)</f>
        <v>Ritika</v>
      </c>
      <c r="AE248" t="str">
        <f>PROPER(TRIM(F248))</f>
        <v>Vikas Mehta</v>
      </c>
      <c r="AF248" t="str">
        <f>PROPER(TRIM(K248))</f>
        <v>Home Appliances</v>
      </c>
      <c r="AG248" t="str">
        <f>PROPER(TRIM(J248))</f>
        <v>North</v>
      </c>
      <c r="AH248" t="str">
        <f t="shared" si="6"/>
        <v>Home Appliances</v>
      </c>
      <c r="AI248" t="str">
        <f t="shared" si="7"/>
        <v>Home Appliances</v>
      </c>
      <c r="AK248">
        <f>IF(COUNTIF($A$2:A248,A248)=1,1,0)</f>
        <v>1</v>
      </c>
    </row>
    <row r="249" spans="1:37">
      <c r="A249" s="9" t="s">
        <v>773</v>
      </c>
      <c r="B249" s="10" t="s">
        <v>249</v>
      </c>
      <c r="C249" s="10" t="s">
        <v>322</v>
      </c>
      <c r="D249" s="10" t="s">
        <v>120</v>
      </c>
      <c r="E249" s="10" t="s">
        <v>151</v>
      </c>
      <c r="F249" s="10" t="s">
        <v>251</v>
      </c>
      <c r="G249" s="10" t="s">
        <v>239</v>
      </c>
      <c r="H249" s="10" t="s">
        <v>774</v>
      </c>
      <c r="I249" s="10" t="s">
        <v>379</v>
      </c>
      <c r="J249" s="10" t="s">
        <v>21</v>
      </c>
      <c r="K249" s="10" t="s">
        <v>15</v>
      </c>
      <c r="L249" s="10" t="s">
        <v>325</v>
      </c>
      <c r="M249" s="10">
        <v>16</v>
      </c>
      <c r="N249" s="10">
        <v>8500</v>
      </c>
      <c r="O249" s="10">
        <v>0</v>
      </c>
      <c r="P249" s="10">
        <v>136000</v>
      </c>
      <c r="Q249" s="10">
        <v>5</v>
      </c>
      <c r="R249" s="10" t="s">
        <v>277</v>
      </c>
      <c r="S249" s="10" t="s">
        <v>292</v>
      </c>
      <c r="T249" s="10" t="s">
        <v>264</v>
      </c>
      <c r="U249" s="10">
        <v>9180820441</v>
      </c>
      <c r="V249" s="12" t="s">
        <v>265</v>
      </c>
      <c r="W249" t="str">
        <f>IF(OR(Q249&lt;=2,V249="Cancelled"),"Blacklisted",IF(AND(P249&gt;100000,Q249&gt;=4,O249&lt;=10%,V249="Completed"),"Platinum",IF(AND(P249&gt;=50000,Q249&gt;=3,V249="Completed"),"Gold",IF(AND(P249&lt;50000,V249="Completed"),"Silver",""))))</f>
        <v>Blacklisted</v>
      </c>
      <c r="X249" t="str">
        <f>PROPER(TRIM(F249))</f>
        <v>Kavya Nair</v>
      </c>
      <c r="Y249" t="str">
        <f>LEFT(F249,3)&amp;MID(B249,2,3)&amp;LEFT(I249,2)</f>
        <v>Kav008Ko</v>
      </c>
      <c r="Z249" t="str">
        <f>IF(ISNUMBER(SEARCH("@",T249)),LOWER(TRIM(T249)),"invalid email")</f>
        <v>kavya.nair@company.com</v>
      </c>
      <c r="AA249">
        <f ca="1">IF(H248="","",IFERROR(DATEDIF(IF(ISNUMBER(H248),H248,DATE(VALUE(RIGHT(H248,4)),VALUE(MID(H248,3,2)),VALUE(LEFT(H248,2)))),TODAY(),"Y"),""))</f>
        <v>38</v>
      </c>
      <c r="AB249">
        <f>IF(OR(D249="",E249=""),"",IFERROR(DATE(MID(E249,7,4),MID(E249,4,2),LEFT(E249,2))-DATE(MID(D249,7,4),MID(D249,4,2),LEFT(D249,2)),""))</f>
        <v>3</v>
      </c>
      <c r="AC249" t="str">
        <f>IF(E249="","Pending",IF(AB249&lt;=5,"On time","Delayed"))</f>
        <v>On time</v>
      </c>
      <c r="AD249" s="29" t="str">
        <f>IF(TRIM(S249)="","Not Assigned",S249)</f>
        <v>Neha</v>
      </c>
      <c r="AE249" t="str">
        <f>PROPER(TRIM(F249))</f>
        <v>Kavya Nair</v>
      </c>
      <c r="AF249" t="str">
        <f>PROPER(TRIM(K249))</f>
        <v>Home Appliances</v>
      </c>
      <c r="AG249" t="str">
        <f>PROPER(TRIM(J249))</f>
        <v>East</v>
      </c>
      <c r="AH249" t="str">
        <f t="shared" si="6"/>
        <v>Home Appliances</v>
      </c>
      <c r="AI249" t="str">
        <f t="shared" si="7"/>
        <v>Home Appliances</v>
      </c>
      <c r="AK249">
        <f>IF(COUNTIF($A$2:A249,A249)=1,1,0)</f>
        <v>1</v>
      </c>
    </row>
    <row r="250" spans="1:37">
      <c r="A250" s="4" t="s">
        <v>775</v>
      </c>
      <c r="B250" s="5" t="s">
        <v>392</v>
      </c>
      <c r="C250" s="5" t="s">
        <v>267</v>
      </c>
      <c r="D250" s="5" t="s">
        <v>39</v>
      </c>
      <c r="E250" s="5" t="s">
        <v>52</v>
      </c>
      <c r="F250" s="5" t="s">
        <v>323</v>
      </c>
      <c r="G250" s="5" t="s">
        <v>269</v>
      </c>
      <c r="H250" s="5" t="s">
        <v>776</v>
      </c>
      <c r="I250" s="5" t="s">
        <v>260</v>
      </c>
      <c r="J250" s="5" t="s">
        <v>261</v>
      </c>
      <c r="K250" s="5" t="s">
        <v>243</v>
      </c>
      <c r="L250" s="5" t="s">
        <v>271</v>
      </c>
      <c r="M250" s="5">
        <v>10</v>
      </c>
      <c r="N250" s="5">
        <v>1200</v>
      </c>
      <c r="O250" s="5">
        <v>15</v>
      </c>
      <c r="P250" s="5">
        <v>10200</v>
      </c>
      <c r="Q250" s="5">
        <v>5</v>
      </c>
      <c r="R250" s="5" t="s">
        <v>254</v>
      </c>
      <c r="S250" s="5" t="s">
        <v>263</v>
      </c>
      <c r="T250" s="5" t="s">
        <v>395</v>
      </c>
      <c r="U250" s="5">
        <v>9769075826</v>
      </c>
      <c r="V250" s="8" t="s">
        <v>257</v>
      </c>
      <c r="W250" t="str">
        <f>IF(OR(Q250&lt;=2,V250="Cancelled"),"Blacklisted",IF(AND(P250&gt;100000,Q250&gt;=4,O250&lt;=10%,V250="Completed"),"Platinum",IF(AND(P250&gt;=50000,Q250&gt;=3,V250="Completed"),"Gold",IF(AND(P250&lt;50000,V250="Completed"),"Silver",""))))</f>
        <v>Silver</v>
      </c>
      <c r="X250" t="str">
        <f>PROPER(TRIM(F250))</f>
        <v>Amit Sharma</v>
      </c>
      <c r="Y250" t="str">
        <f>LEFT(F250,3)&amp;MID(B250,2,3)&amp;LEFT(I250,2)</f>
        <v>Ami001De</v>
      </c>
      <c r="Z250" t="str">
        <f>IF(ISNUMBER(SEARCH("@",T250)),LOWER(TRIM(T250)),"invalid email")</f>
        <v>amit.sharma@company.com</v>
      </c>
      <c r="AA250" t="str">
        <f ca="1">IF(H249="","",IFERROR(DATEDIF(IF(ISNUMBER(H249),H249,DATE(VALUE(RIGHT(H249,4)),VALUE(MID(H249,3,2)),VALUE(LEFT(H249,2)))),TODAY(),"Y"),""))</f>
        <v/>
      </c>
      <c r="AB250">
        <f>IF(OR(D250="",E250=""),"",IFERROR(DATE(MID(E250,7,4),MID(E250,4,2),LEFT(E250,2))-DATE(MID(D250,7,4),MID(D250,4,2),LEFT(D250,2)),""))</f>
        <v>1</v>
      </c>
      <c r="AC250" t="str">
        <f>IF(E250="","Pending",IF(AB250&lt;=5,"On time","Delayed"))</f>
        <v>On time</v>
      </c>
      <c r="AD250" s="29" t="str">
        <f>IF(TRIM(S250)="","Not Assigned",S250)</f>
        <v>Rahul</v>
      </c>
      <c r="AE250" t="str">
        <f>PROPER(TRIM(F250))</f>
        <v>Amit Sharma</v>
      </c>
      <c r="AF250" t="str">
        <f>PROPER(TRIM(K250))</f>
        <v>Electronics</v>
      </c>
      <c r="AG250" t="str">
        <f>PROPER(TRIM(J250))</f>
        <v>North</v>
      </c>
      <c r="AH250" t="str">
        <f t="shared" si="6"/>
        <v>Electronics</v>
      </c>
      <c r="AI250" t="str">
        <f t="shared" si="7"/>
        <v>Electronics</v>
      </c>
      <c r="AK250">
        <f>IF(COUNTIF($A$2:A250,A250)=1,1,0)</f>
        <v>1</v>
      </c>
    </row>
    <row r="251" spans="1:37">
      <c r="A251" s="9" t="s">
        <v>777</v>
      </c>
      <c r="B251" s="10" t="s">
        <v>299</v>
      </c>
      <c r="C251" s="10" t="s">
        <v>258</v>
      </c>
      <c r="D251" s="11">
        <v>45780</v>
      </c>
      <c r="E251" s="10" t="s">
        <v>304</v>
      </c>
      <c r="F251" s="10" t="s">
        <v>301</v>
      </c>
      <c r="G251" s="10" t="s">
        <v>269</v>
      </c>
      <c r="H251" s="11">
        <v>37688</v>
      </c>
      <c r="I251" s="10" t="s">
        <v>379</v>
      </c>
      <c r="J251" s="10" t="s">
        <v>21</v>
      </c>
      <c r="K251" s="10" t="s">
        <v>243</v>
      </c>
      <c r="L251" s="10" t="s">
        <v>262</v>
      </c>
      <c r="M251" s="10">
        <v>7</v>
      </c>
      <c r="N251" s="10">
        <v>12000</v>
      </c>
      <c r="O251" s="10">
        <v>0</v>
      </c>
      <c r="P251" s="10">
        <v>84000</v>
      </c>
      <c r="Q251" s="10">
        <v>1</v>
      </c>
      <c r="R251" s="10" t="s">
        <v>277</v>
      </c>
      <c r="S251" s="10" t="s">
        <v>312</v>
      </c>
      <c r="T251" s="10" t="s">
        <v>302</v>
      </c>
      <c r="U251" s="10">
        <v>9467916296</v>
      </c>
      <c r="V251" s="12" t="s">
        <v>248</v>
      </c>
      <c r="W251" t="str">
        <f>IF(OR(Q251&lt;=2,V251="Cancelled"),"Blacklisted",IF(AND(P251&gt;100000,Q251&gt;=4,O251&lt;=10%,V251="Completed"),"Platinum",IF(AND(P251&gt;=50000,Q251&gt;=3,V251="Completed"),"Gold",IF(AND(P251&lt;50000,V251="Completed"),"Silver",""))))</f>
        <v>Blacklisted</v>
      </c>
      <c r="X251" t="str">
        <f>PROPER(TRIM(F251))</f>
        <v>Rohit Singh</v>
      </c>
      <c r="Y251" t="str">
        <f>LEFT(F251,3)&amp;MID(B251,2,3)&amp;LEFT(I251,2)</f>
        <v>Roh003Ko</v>
      </c>
      <c r="Z251" t="str">
        <f>IF(ISNUMBER(SEARCH("@",T251)),LOWER(TRIM(T251)),"invalid email")</f>
        <v>rohit.singh@company.com</v>
      </c>
      <c r="AA251" t="str">
        <f ca="1">IF(H250="","",IFERROR(DATEDIF(IF(ISNUMBER(H250),H250,DATE(VALUE(RIGHT(H250,4)),VALUE(MID(H250,3,2)),VALUE(LEFT(H250,2)))),TODAY(),"Y"),""))</f>
        <v/>
      </c>
      <c r="AB251" t="str">
        <f>IF(OR(D251="",E251=""),"",IFERROR(DATE(MID(E251,7,4),MID(E251,4,2),LEFT(E251,2))-DATE(MID(D251,7,4),MID(D251,4,2),LEFT(D251,2)),""))</f>
        <v/>
      </c>
      <c r="AC251" t="str">
        <f>IF(E251="","Pending",IF(AB251&lt;=5,"On time","Delayed"))</f>
        <v>Delayed</v>
      </c>
      <c r="AD251" s="29" t="str">
        <f>IF(TRIM(S251)="","Not Assigned",S251)</f>
        <v>Karan</v>
      </c>
      <c r="AE251" t="str">
        <f>PROPER(TRIM(F251))</f>
        <v>Rohit Singh</v>
      </c>
      <c r="AF251" t="str">
        <f>PROPER(TRIM(K251))</f>
        <v>Electronics</v>
      </c>
      <c r="AG251" t="str">
        <f>PROPER(TRIM(J251))</f>
        <v>East</v>
      </c>
      <c r="AH251" t="str">
        <f t="shared" si="6"/>
        <v>Electronics</v>
      </c>
      <c r="AI251" t="str">
        <f t="shared" si="7"/>
        <v>Electronics</v>
      </c>
      <c r="AK251">
        <f>IF(COUNTIF($A$2:A251,A251)=1,1,0)</f>
        <v>1</v>
      </c>
    </row>
    <row r="252" spans="1:37">
      <c r="A252" s="4" t="s">
        <v>778</v>
      </c>
      <c r="B252" s="5" t="s">
        <v>346</v>
      </c>
      <c r="C252" s="5" t="s">
        <v>258</v>
      </c>
      <c r="D252" s="5" t="s">
        <v>83</v>
      </c>
      <c r="E252" s="6">
        <v>45667</v>
      </c>
      <c r="F252" s="5" t="s">
        <v>348</v>
      </c>
      <c r="G252" s="5" t="s">
        <v>269</v>
      </c>
      <c r="H252" s="6">
        <v>31568</v>
      </c>
      <c r="I252" s="5" t="s">
        <v>291</v>
      </c>
      <c r="J252" s="5" t="s">
        <v>287</v>
      </c>
      <c r="K252" s="5" t="s">
        <v>243</v>
      </c>
      <c r="L252" s="5" t="s">
        <v>262</v>
      </c>
      <c r="M252" s="5">
        <v>3</v>
      </c>
      <c r="N252" s="5">
        <v>12000</v>
      </c>
      <c r="O252" s="5">
        <v>10</v>
      </c>
      <c r="P252" s="5">
        <v>32400</v>
      </c>
      <c r="Q252" s="5">
        <v>4</v>
      </c>
      <c r="R252" s="5" t="s">
        <v>272</v>
      </c>
      <c r="S252" s="5" t="s">
        <v>312</v>
      </c>
      <c r="T252" s="5" t="s">
        <v>350</v>
      </c>
      <c r="U252" s="5">
        <v>9477052923</v>
      </c>
      <c r="V252" s="8" t="s">
        <v>257</v>
      </c>
      <c r="W252" t="str">
        <f>IF(OR(Q252&lt;=2,V252="Cancelled"),"Blacklisted",IF(AND(P252&gt;100000,Q252&gt;=4,O252&lt;=10%,V252="Completed"),"Platinum",IF(AND(P252&gt;=50000,Q252&gt;=3,V252="Completed"),"Gold",IF(AND(P252&lt;50000,V252="Completed"),"Silver",""))))</f>
        <v>Silver</v>
      </c>
      <c r="X252" t="str">
        <f>PROPER(TRIM(F252))</f>
        <v>Vikas Mehta</v>
      </c>
      <c r="Y252" t="str">
        <f>LEFT(F252,3)&amp;MID(B252,2,3)&amp;LEFT(I252,2)</f>
        <v>Vik005Pu</v>
      </c>
      <c r="Z252" t="str">
        <f>IF(ISNUMBER(SEARCH("@",T252)),LOWER(TRIM(T252)),"invalid email")</f>
        <v>vikas.mehta@company.com</v>
      </c>
      <c r="AA252">
        <f ca="1">IF(H251="","",IFERROR(DATEDIF(IF(ISNUMBER(H251),H251,DATE(VALUE(RIGHT(H251,4)),VALUE(MID(H251,3,2)),VALUE(LEFT(H251,2)))),TODAY(),"Y"),""))</f>
        <v>23</v>
      </c>
      <c r="AB252" t="str">
        <f>IF(OR(D252="",E252=""),"",IFERROR(DATE(MID(E252,7,4),MID(E252,4,2),LEFT(E252,2))-DATE(MID(D252,7,4),MID(D252,4,2),LEFT(D252,2)),""))</f>
        <v/>
      </c>
      <c r="AC252" t="str">
        <f>IF(E252="","Pending",IF(AB252&lt;=5,"On time","Delayed"))</f>
        <v>Delayed</v>
      </c>
      <c r="AD252" s="29" t="str">
        <f>IF(TRIM(S252)="","Not Assigned",S252)</f>
        <v>Karan</v>
      </c>
      <c r="AE252" t="str">
        <f>PROPER(TRIM(F252))</f>
        <v>Vikas Mehta</v>
      </c>
      <c r="AF252" t="str">
        <f>PROPER(TRIM(K252))</f>
        <v>Electronics</v>
      </c>
      <c r="AG252" t="str">
        <f>PROPER(TRIM(J252))</f>
        <v>West</v>
      </c>
      <c r="AH252" t="str">
        <f t="shared" si="6"/>
        <v>Electronics</v>
      </c>
      <c r="AI252" t="str">
        <f t="shared" si="7"/>
        <v>Electronics</v>
      </c>
      <c r="AK252">
        <f>IF(COUNTIF($A$2:A252,A252)=1,1,0)</f>
        <v>1</v>
      </c>
    </row>
    <row r="253" spans="1:37">
      <c r="A253" s="9" t="s">
        <v>779</v>
      </c>
      <c r="B253" s="10" t="s">
        <v>346</v>
      </c>
      <c r="C253" s="10" t="s">
        <v>258</v>
      </c>
      <c r="D253" s="11">
        <v>45727</v>
      </c>
      <c r="E253" s="11">
        <v>45911</v>
      </c>
      <c r="F253" s="10" t="s">
        <v>348</v>
      </c>
      <c r="G253" s="10" t="s">
        <v>269</v>
      </c>
      <c r="H253" s="11">
        <v>32600</v>
      </c>
      <c r="I253" s="10" t="s">
        <v>252</v>
      </c>
      <c r="J253" s="10" t="s">
        <v>242</v>
      </c>
      <c r="K253" s="10" t="s">
        <v>243</v>
      </c>
      <c r="L253" s="10" t="s">
        <v>262</v>
      </c>
      <c r="M253" s="10">
        <v>4</v>
      </c>
      <c r="N253" s="10">
        <v>12000</v>
      </c>
      <c r="O253" s="10">
        <v>15</v>
      </c>
      <c r="P253" s="10">
        <v>40800</v>
      </c>
      <c r="Q253" s="10">
        <v>3</v>
      </c>
      <c r="R253" s="10" t="s">
        <v>272</v>
      </c>
      <c r="S253" s="10" t="s">
        <v>255</v>
      </c>
      <c r="T253" s="10" t="s">
        <v>350</v>
      </c>
      <c r="U253" s="10">
        <v>9184311420</v>
      </c>
      <c r="V253" s="12" t="s">
        <v>248</v>
      </c>
      <c r="W253" t="str">
        <f>IF(OR(Q253&lt;=2,V253="Cancelled"),"Blacklisted",IF(AND(P253&gt;100000,Q253&gt;=4,O253&lt;=10%,V253="Completed"),"Platinum",IF(AND(P253&gt;=50000,Q253&gt;=3,V253="Completed"),"Gold",IF(AND(P253&lt;50000,V253="Completed"),"Silver",""))))</f>
        <v/>
      </c>
      <c r="X253" t="str">
        <f>PROPER(TRIM(F253))</f>
        <v>Vikas Mehta</v>
      </c>
      <c r="Y253" t="str">
        <f>LEFT(F253,3)&amp;MID(B253,2,3)&amp;LEFT(I253,2)</f>
        <v>Vik005Hy</v>
      </c>
      <c r="Z253" t="str">
        <f>IF(ISNUMBER(SEARCH("@",T253)),LOWER(TRIM(T253)),"invalid email")</f>
        <v>vikas.mehta@company.com</v>
      </c>
      <c r="AA253">
        <f ca="1">IF(H252="","",IFERROR(DATEDIF(IF(ISNUMBER(H252),H252,DATE(VALUE(RIGHT(H252,4)),VALUE(MID(H252,3,2)),VALUE(LEFT(H252,2)))),TODAY(),"Y"),""))</f>
        <v>40</v>
      </c>
      <c r="AB253" t="str">
        <f>IF(OR(D253="",E253=""),"",IFERROR(DATE(MID(E253,7,4),MID(E253,4,2),LEFT(E253,2))-DATE(MID(D253,7,4),MID(D253,4,2),LEFT(D253,2)),""))</f>
        <v/>
      </c>
      <c r="AC253" t="str">
        <f>IF(E253="","Pending",IF(AB253&lt;=5,"On time","Delayed"))</f>
        <v>Delayed</v>
      </c>
      <c r="AD253" s="29" t="str">
        <f>IF(TRIM(S253)="","Not Assigned",S253)</f>
        <v>Ritika</v>
      </c>
      <c r="AE253" t="str">
        <f>PROPER(TRIM(F253))</f>
        <v>Vikas Mehta</v>
      </c>
      <c r="AF253" t="str">
        <f>PROPER(TRIM(K253))</f>
        <v>Electronics</v>
      </c>
      <c r="AG253" t="str">
        <f>PROPER(TRIM(J253))</f>
        <v>South</v>
      </c>
      <c r="AH253" t="str">
        <f t="shared" si="6"/>
        <v>Electronics</v>
      </c>
      <c r="AI253" t="str">
        <f t="shared" si="7"/>
        <v>Electronics</v>
      </c>
      <c r="AK253">
        <f>IF(COUNTIF($A$2:A253,A253)=1,1,0)</f>
        <v>1</v>
      </c>
    </row>
    <row r="254" spans="1:37">
      <c r="A254" s="4" t="s">
        <v>780</v>
      </c>
      <c r="B254" s="5" t="s">
        <v>299</v>
      </c>
      <c r="C254" s="5" t="s">
        <v>258</v>
      </c>
      <c r="D254" s="5" t="s">
        <v>48</v>
      </c>
      <c r="E254" s="5" t="s">
        <v>466</v>
      </c>
      <c r="F254" s="5" t="s">
        <v>301</v>
      </c>
      <c r="G254" s="5" t="s">
        <v>269</v>
      </c>
      <c r="H254" s="6">
        <v>29435</v>
      </c>
      <c r="I254" s="5" t="s">
        <v>252</v>
      </c>
      <c r="J254" s="5" t="s">
        <v>242</v>
      </c>
      <c r="K254" s="5" t="s">
        <v>243</v>
      </c>
      <c r="L254" s="5" t="s">
        <v>262</v>
      </c>
      <c r="M254" s="5">
        <v>13</v>
      </c>
      <c r="N254" s="5">
        <v>12000</v>
      </c>
      <c r="O254" s="5">
        <v>10</v>
      </c>
      <c r="P254" s="5">
        <v>140400</v>
      </c>
      <c r="Q254" s="5">
        <v>2</v>
      </c>
      <c r="R254" s="5" t="s">
        <v>254</v>
      </c>
      <c r="S254" s="5" t="s">
        <v>312</v>
      </c>
      <c r="T254" s="5" t="s">
        <v>302</v>
      </c>
      <c r="U254" s="5">
        <v>9630913127</v>
      </c>
      <c r="V254" s="8" t="s">
        <v>265</v>
      </c>
      <c r="W254" t="str">
        <f>IF(OR(Q254&lt;=2,V254="Cancelled"),"Blacklisted",IF(AND(P254&gt;100000,Q254&gt;=4,O254&lt;=10%,V254="Completed"),"Platinum",IF(AND(P254&gt;=50000,Q254&gt;=3,V254="Completed"),"Gold",IF(AND(P254&lt;50000,V254="Completed"),"Silver",""))))</f>
        <v>Blacklisted</v>
      </c>
      <c r="X254" t="str">
        <f>PROPER(TRIM(F254))</f>
        <v>Rohit Singh</v>
      </c>
      <c r="Y254" t="str">
        <f>LEFT(F254,3)&amp;MID(B254,2,3)&amp;LEFT(I254,2)</f>
        <v>Roh003Hy</v>
      </c>
      <c r="Z254" t="str">
        <f>IF(ISNUMBER(SEARCH("@",T254)),LOWER(TRIM(T254)),"invalid email")</f>
        <v>rohit.singh@company.com</v>
      </c>
      <c r="AA254">
        <f ca="1">IF(H253="","",IFERROR(DATEDIF(IF(ISNUMBER(H253),H253,DATE(VALUE(RIGHT(H253,4)),VALUE(MID(H253,3,2)),VALUE(LEFT(H253,2)))),TODAY(),"Y"),""))</f>
        <v>37</v>
      </c>
      <c r="AB254">
        <f>IF(OR(D254="",E254=""),"",IFERROR(DATE(MID(E254,7,4),MID(E254,4,2),LEFT(E254,2))-DATE(MID(D254,7,4),MID(D254,4,2),LEFT(D254,2)),""))</f>
        <v>2</v>
      </c>
      <c r="AC254" t="str">
        <f>IF(E254="","Pending",IF(AB254&lt;=5,"On time","Delayed"))</f>
        <v>On time</v>
      </c>
      <c r="AD254" s="29" t="str">
        <f>IF(TRIM(S254)="","Not Assigned",S254)</f>
        <v>Karan</v>
      </c>
      <c r="AE254" t="str">
        <f>PROPER(TRIM(F254))</f>
        <v>Rohit Singh</v>
      </c>
      <c r="AF254" t="str">
        <f>PROPER(TRIM(K254))</f>
        <v>Electronics</v>
      </c>
      <c r="AG254" t="str">
        <f>PROPER(TRIM(J254))</f>
        <v>South</v>
      </c>
      <c r="AH254" t="str">
        <f t="shared" si="6"/>
        <v>Electronics</v>
      </c>
      <c r="AI254" t="str">
        <f t="shared" si="7"/>
        <v>Electronics</v>
      </c>
      <c r="AK254">
        <f>IF(COUNTIF($A$2:A254,A254)=1,1,0)</f>
        <v>1</v>
      </c>
    </row>
    <row r="255" spans="1:37">
      <c r="A255" s="9" t="s">
        <v>781</v>
      </c>
      <c r="B255" s="10" t="s">
        <v>249</v>
      </c>
      <c r="C255" s="10" t="s">
        <v>280</v>
      </c>
      <c r="D255" s="11">
        <v>45753</v>
      </c>
      <c r="E255" s="11">
        <v>45967</v>
      </c>
      <c r="F255" s="10" t="s">
        <v>251</v>
      </c>
      <c r="G255" s="10" t="s">
        <v>239</v>
      </c>
      <c r="H255" s="10" t="s">
        <v>782</v>
      </c>
      <c r="I255" s="10" t="s">
        <v>241</v>
      </c>
      <c r="J255" s="10" t="s">
        <v>242</v>
      </c>
      <c r="K255" s="10" t="s">
        <v>15</v>
      </c>
      <c r="L255" s="10" t="s">
        <v>282</v>
      </c>
      <c r="M255" s="10">
        <v>19</v>
      </c>
      <c r="N255" s="10">
        <v>3500</v>
      </c>
      <c r="O255" s="10">
        <v>20</v>
      </c>
      <c r="P255" s="10">
        <v>53200</v>
      </c>
      <c r="Q255" s="10">
        <v>1</v>
      </c>
      <c r="R255" s="10" t="s">
        <v>254</v>
      </c>
      <c r="S255" s="10" t="s">
        <v>246</v>
      </c>
      <c r="T255" s="10" t="s">
        <v>264</v>
      </c>
      <c r="U255" s="10">
        <v>9997515828</v>
      </c>
      <c r="V255" s="12" t="s">
        <v>265</v>
      </c>
      <c r="W255" t="str">
        <f>IF(OR(Q255&lt;=2,V255="Cancelled"),"Blacklisted",IF(AND(P255&gt;100000,Q255&gt;=4,O255&lt;=10%,V255="Completed"),"Platinum",IF(AND(P255&gt;=50000,Q255&gt;=3,V255="Completed"),"Gold",IF(AND(P255&lt;50000,V255="Completed"),"Silver",""))))</f>
        <v>Blacklisted</v>
      </c>
      <c r="X255" t="str">
        <f>PROPER(TRIM(F255))</f>
        <v>Kavya Nair</v>
      </c>
      <c r="Y255" t="str">
        <f>LEFT(F255,3)&amp;MID(B255,2,3)&amp;LEFT(I255,2)</f>
        <v>Kav008Be</v>
      </c>
      <c r="Z255" t="str">
        <f>IF(ISNUMBER(SEARCH("@",T255)),LOWER(TRIM(T255)),"invalid email")</f>
        <v>kavya.nair@company.com</v>
      </c>
      <c r="AA255">
        <f ca="1">IF(H254="","",IFERROR(DATEDIF(IF(ISNUMBER(H254),H254,DATE(VALUE(RIGHT(H254,4)),VALUE(MID(H254,3,2)),VALUE(LEFT(H254,2)))),TODAY(),"Y"),""))</f>
        <v>46</v>
      </c>
      <c r="AB255" t="str">
        <f>IF(OR(D255="",E255=""),"",IFERROR(DATE(MID(E255,7,4),MID(E255,4,2),LEFT(E255,2))-DATE(MID(D255,7,4),MID(D255,4,2),LEFT(D255,2)),""))</f>
        <v/>
      </c>
      <c r="AC255" t="str">
        <f>IF(E255="","Pending",IF(AB255&lt;=5,"On time","Delayed"))</f>
        <v>Delayed</v>
      </c>
      <c r="AD255" s="29" t="str">
        <f>IF(TRIM(S255)="","Not Assigned",S255)</f>
        <v>Aisha</v>
      </c>
      <c r="AE255" t="str">
        <f>PROPER(TRIM(F255))</f>
        <v>Kavya Nair</v>
      </c>
      <c r="AF255" t="str">
        <f>PROPER(TRIM(K255))</f>
        <v>Home Appliances</v>
      </c>
      <c r="AG255" t="str">
        <f>PROPER(TRIM(J255))</f>
        <v>South</v>
      </c>
      <c r="AH255" t="str">
        <f t="shared" si="6"/>
        <v>Home Appliances</v>
      </c>
      <c r="AI255" t="str">
        <f t="shared" si="7"/>
        <v>Home Appliances</v>
      </c>
      <c r="AK255">
        <f>IF(COUNTIF($A$2:A255,A255)=1,1,0)</f>
        <v>1</v>
      </c>
    </row>
    <row r="256" spans="1:37">
      <c r="A256" s="4" t="s">
        <v>783</v>
      </c>
      <c r="B256" s="5" t="s">
        <v>249</v>
      </c>
      <c r="C256" s="5" t="s">
        <v>250</v>
      </c>
      <c r="D256" s="6">
        <v>45840</v>
      </c>
      <c r="E256" s="6">
        <v>45993</v>
      </c>
      <c r="F256" s="5" t="s">
        <v>251</v>
      </c>
      <c r="G256" s="5" t="s">
        <v>239</v>
      </c>
      <c r="H256" s="5" t="s">
        <v>784</v>
      </c>
      <c r="I256" s="5" t="s">
        <v>286</v>
      </c>
      <c r="J256" s="5" t="s">
        <v>287</v>
      </c>
      <c r="K256" s="5" t="s">
        <v>15</v>
      </c>
      <c r="L256" s="5" t="s">
        <v>253</v>
      </c>
      <c r="M256" s="5">
        <v>7</v>
      </c>
      <c r="N256" s="5">
        <v>2200</v>
      </c>
      <c r="O256" s="5">
        <v>5</v>
      </c>
      <c r="P256" s="5">
        <v>14630</v>
      </c>
      <c r="Q256" s="5">
        <v>3</v>
      </c>
      <c r="R256" s="5" t="s">
        <v>277</v>
      </c>
      <c r="S256" s="5" t="s">
        <v>246</v>
      </c>
      <c r="T256" s="5" t="s">
        <v>264</v>
      </c>
      <c r="U256" s="5">
        <v>9394291182</v>
      </c>
      <c r="V256" s="8" t="s">
        <v>265</v>
      </c>
      <c r="W256" t="str">
        <f>IF(OR(Q256&lt;=2,V256="Cancelled"),"Blacklisted",IF(AND(P256&gt;100000,Q256&gt;=4,O256&lt;=10%,V256="Completed"),"Platinum",IF(AND(P256&gt;=50000,Q256&gt;=3,V256="Completed"),"Gold",IF(AND(P256&lt;50000,V256="Completed"),"Silver",""))))</f>
        <v>Blacklisted</v>
      </c>
      <c r="X256" t="str">
        <f>PROPER(TRIM(F256))</f>
        <v>Kavya Nair</v>
      </c>
      <c r="Y256" t="str">
        <f>LEFT(F256,3)&amp;MID(B256,2,3)&amp;LEFT(I256,2)</f>
        <v>Kav008Mu</v>
      </c>
      <c r="Z256" t="str">
        <f>IF(ISNUMBER(SEARCH("@",T256)),LOWER(TRIM(T256)),"invalid email")</f>
        <v>kavya.nair@company.com</v>
      </c>
      <c r="AA256" t="str">
        <f ca="1">IF(H255="","",IFERROR(DATEDIF(IF(ISNUMBER(H255),H255,DATE(VALUE(RIGHT(H255,4)),VALUE(MID(H255,3,2)),VALUE(LEFT(H255,2)))),TODAY(),"Y"),""))</f>
        <v/>
      </c>
      <c r="AB256" t="str">
        <f>IF(OR(D256="",E256=""),"",IFERROR(DATE(MID(E256,7,4),MID(E256,4,2),LEFT(E256,2))-DATE(MID(D256,7,4),MID(D256,4,2),LEFT(D256,2)),""))</f>
        <v/>
      </c>
      <c r="AC256" t="str">
        <f>IF(E256="","Pending",IF(AB256&lt;=5,"On time","Delayed"))</f>
        <v>Delayed</v>
      </c>
      <c r="AD256" s="29" t="str">
        <f>IF(TRIM(S256)="","Not Assigned",S256)</f>
        <v>Aisha</v>
      </c>
      <c r="AE256" t="str">
        <f>PROPER(TRIM(F256))</f>
        <v>Kavya Nair</v>
      </c>
      <c r="AF256" t="str">
        <f>PROPER(TRIM(K256))</f>
        <v>Home Appliances</v>
      </c>
      <c r="AG256" t="str">
        <f>PROPER(TRIM(J256))</f>
        <v>West</v>
      </c>
      <c r="AH256" t="str">
        <f t="shared" si="6"/>
        <v>Home Appliances</v>
      </c>
      <c r="AI256" t="str">
        <f t="shared" si="7"/>
        <v>Home Appliances</v>
      </c>
      <c r="AK256">
        <f>IF(COUNTIF($A$2:A256,A256)=1,1,0)</f>
        <v>1</v>
      </c>
    </row>
    <row r="257" spans="1:37">
      <c r="A257" s="9" t="s">
        <v>785</v>
      </c>
      <c r="B257" s="10" t="s">
        <v>275</v>
      </c>
      <c r="C257" s="10" t="s">
        <v>330</v>
      </c>
      <c r="D257" s="11">
        <v>46270</v>
      </c>
      <c r="E257" s="10" t="s">
        <v>16</v>
      </c>
      <c r="F257" s="10" t="s">
        <v>328</v>
      </c>
      <c r="G257" s="10" t="s">
        <v>269</v>
      </c>
      <c r="H257" s="11">
        <v>34036</v>
      </c>
      <c r="I257" s="10" t="s">
        <v>342</v>
      </c>
      <c r="J257" s="10" t="s">
        <v>261</v>
      </c>
      <c r="K257" s="10" t="s">
        <v>243</v>
      </c>
      <c r="L257" s="10" t="s">
        <v>333</v>
      </c>
      <c r="M257" s="10">
        <v>18</v>
      </c>
      <c r="N257" s="10">
        <v>700</v>
      </c>
      <c r="O257" s="10">
        <v>5</v>
      </c>
      <c r="P257" s="10">
        <v>11970</v>
      </c>
      <c r="Q257" s="10">
        <v>2</v>
      </c>
      <c r="R257" s="10" t="s">
        <v>277</v>
      </c>
      <c r="S257" s="10" t="s">
        <v>246</v>
      </c>
      <c r="T257" s="10" t="s">
        <v>278</v>
      </c>
      <c r="U257" s="10">
        <v>9616853220</v>
      </c>
      <c r="V257" s="12" t="s">
        <v>265</v>
      </c>
      <c r="W257" t="str">
        <f>IF(OR(Q257&lt;=2,V257="Cancelled"),"Blacklisted",IF(AND(P257&gt;100000,Q257&gt;=4,O257&lt;=10%,V257="Completed"),"Platinum",IF(AND(P257&gt;=50000,Q257&gt;=3,V257="Completed"),"Gold",IF(AND(P257&lt;50000,V257="Completed"),"Silver",""))))</f>
        <v>Blacklisted</v>
      </c>
      <c r="X257" t="str">
        <f>PROPER(TRIM(F257))</f>
        <v>Arjun Rao</v>
      </c>
      <c r="Y257" t="str">
        <f>LEFT(F257,3)&amp;MID(B257,2,3)&amp;LEFT(I257,2)</f>
        <v>Arj007Ja</v>
      </c>
      <c r="Z257" t="str">
        <f>IF(ISNUMBER(SEARCH("@",T257)),LOWER(TRIM(T257)),"invalid email")</f>
        <v>arjun.rao@company.com</v>
      </c>
      <c r="AA257" t="str">
        <f ca="1">IF(H256="","",IFERROR(DATEDIF(IF(ISNUMBER(H256),H256,DATE(VALUE(RIGHT(H256,4)),VALUE(MID(H256,3,2)),VALUE(LEFT(H256,2)))),TODAY(),"Y"),""))</f>
        <v/>
      </c>
      <c r="AB257" t="str">
        <f>IF(OR(D257="",E257=""),"",IFERROR(DATE(MID(E257,7,4),MID(E257,4,2),LEFT(E257,2))-DATE(MID(D257,7,4),MID(D257,4,2),LEFT(D257,2)),""))</f>
        <v/>
      </c>
      <c r="AC257" t="str">
        <f>IF(E257="","Pending",IF(AB257&lt;=5,"On time","Delayed"))</f>
        <v>Delayed</v>
      </c>
      <c r="AD257" s="29" t="str">
        <f>IF(TRIM(S257)="","Not Assigned",S257)</f>
        <v>Aisha</v>
      </c>
      <c r="AE257" t="str">
        <f>PROPER(TRIM(F257))</f>
        <v>Arjun Rao</v>
      </c>
      <c r="AF257" t="str">
        <f>PROPER(TRIM(K257))</f>
        <v>Electronics</v>
      </c>
      <c r="AG257" t="str">
        <f>PROPER(TRIM(J257))</f>
        <v>North</v>
      </c>
      <c r="AH257" t="str">
        <f t="shared" si="6"/>
        <v>Electronics</v>
      </c>
      <c r="AI257" t="str">
        <f t="shared" si="7"/>
        <v>Electronics</v>
      </c>
      <c r="AK257">
        <f>IF(COUNTIF($A$2:A257,A257)=1,1,0)</f>
        <v>1</v>
      </c>
    </row>
    <row r="258" spans="1:37">
      <c r="A258" s="4" t="s">
        <v>786</v>
      </c>
      <c r="B258" s="5" t="s">
        <v>249</v>
      </c>
      <c r="C258" s="5" t="s">
        <v>347</v>
      </c>
      <c r="D258" s="5" t="s">
        <v>93</v>
      </c>
      <c r="E258" s="5" t="s">
        <v>198</v>
      </c>
      <c r="F258" s="5" t="s">
        <v>251</v>
      </c>
      <c r="G258" s="5" t="s">
        <v>239</v>
      </c>
      <c r="H258" s="5" t="s">
        <v>787</v>
      </c>
      <c r="I258" s="5" t="s">
        <v>379</v>
      </c>
      <c r="J258" s="5" t="s">
        <v>21</v>
      </c>
      <c r="K258" s="5" t="s">
        <v>295</v>
      </c>
      <c r="L258" s="5" t="s">
        <v>349</v>
      </c>
      <c r="M258" s="5">
        <v>11</v>
      </c>
      <c r="N258" s="5">
        <v>20</v>
      </c>
      <c r="O258" s="5">
        <v>0</v>
      </c>
      <c r="P258" s="5">
        <v>220</v>
      </c>
      <c r="Q258" s="5">
        <v>2</v>
      </c>
      <c r="R258" s="5" t="s">
        <v>245</v>
      </c>
      <c r="S258" s="5" t="s">
        <v>292</v>
      </c>
      <c r="T258" s="5" t="s">
        <v>264</v>
      </c>
      <c r="U258" s="5">
        <v>9147552626</v>
      </c>
      <c r="V258" s="8" t="s">
        <v>265</v>
      </c>
      <c r="W258" t="str">
        <f>IF(OR(Q258&lt;=2,V258="Cancelled"),"Blacklisted",IF(AND(P258&gt;100000,Q258&gt;=4,O258&lt;=10%,V258="Completed"),"Platinum",IF(AND(P258&gt;=50000,Q258&gt;=3,V258="Completed"),"Gold",IF(AND(P258&lt;50000,V258="Completed"),"Silver",""))))</f>
        <v>Blacklisted</v>
      </c>
      <c r="X258" t="str">
        <f>PROPER(TRIM(F258))</f>
        <v>Kavya Nair</v>
      </c>
      <c r="Y258" t="str">
        <f>LEFT(F258,3)&amp;MID(B258,2,3)&amp;LEFT(I258,2)</f>
        <v>Kav008Ko</v>
      </c>
      <c r="Z258" t="str">
        <f>IF(ISNUMBER(SEARCH("@",T258)),LOWER(TRIM(T258)),"invalid email")</f>
        <v>kavya.nair@company.com</v>
      </c>
      <c r="AA258">
        <f ca="1">IF(H257="","",IFERROR(DATEDIF(IF(ISNUMBER(H257),H257,DATE(VALUE(RIGHT(H257,4)),VALUE(MID(H257,3,2)),VALUE(LEFT(H257,2)))),TODAY(),"Y"),""))</f>
        <v>33</v>
      </c>
      <c r="AB258">
        <f>IF(OR(D258="",E258=""),"",IFERROR(DATE(MID(E258,7,4),MID(E258,4,2),LEFT(E258,2))-DATE(MID(D258,7,4),MID(D258,4,2),LEFT(D258,2)),""))</f>
        <v>10</v>
      </c>
      <c r="AC258" t="str">
        <f>IF(E258="","Pending",IF(AB258&lt;=5,"On time","Delayed"))</f>
        <v>Delayed</v>
      </c>
      <c r="AD258" s="29" t="str">
        <f>IF(TRIM(S258)="","Not Assigned",S258)</f>
        <v>Neha</v>
      </c>
      <c r="AE258" t="str">
        <f>PROPER(TRIM(F258))</f>
        <v>Kavya Nair</v>
      </c>
      <c r="AF258" t="str">
        <f>PROPER(TRIM(K258))</f>
        <v>Stationery</v>
      </c>
      <c r="AG258" t="str">
        <f>PROPER(TRIM(J258))</f>
        <v>East</v>
      </c>
      <c r="AH258" t="str">
        <f t="shared" si="6"/>
        <v>Stationery</v>
      </c>
      <c r="AI258" t="str">
        <f t="shared" si="7"/>
        <v>Stationery</v>
      </c>
      <c r="AK258">
        <f>IF(COUNTIF($A$2:A258,A258)=1,1,0)</f>
        <v>1</v>
      </c>
    </row>
    <row r="259" spans="1:37">
      <c r="A259" s="9" t="s">
        <v>788</v>
      </c>
      <c r="B259" s="10" t="s">
        <v>392</v>
      </c>
      <c r="C259" s="10" t="s">
        <v>258</v>
      </c>
      <c r="D259" s="10" t="s">
        <v>175</v>
      </c>
      <c r="E259" s="11">
        <v>45841</v>
      </c>
      <c r="F259" s="10" t="s">
        <v>323</v>
      </c>
      <c r="G259" s="10" t="s">
        <v>269</v>
      </c>
      <c r="H259" s="10" t="s">
        <v>789</v>
      </c>
      <c r="I259" s="10" t="s">
        <v>291</v>
      </c>
      <c r="J259" s="10" t="s">
        <v>287</v>
      </c>
      <c r="K259" s="10" t="s">
        <v>243</v>
      </c>
      <c r="L259" s="10" t="s">
        <v>262</v>
      </c>
      <c r="M259" s="10">
        <v>17</v>
      </c>
      <c r="N259" s="10">
        <v>12000</v>
      </c>
      <c r="O259" s="10">
        <v>20</v>
      </c>
      <c r="P259" s="10">
        <v>163200</v>
      </c>
      <c r="Q259" s="10">
        <v>4</v>
      </c>
      <c r="R259" s="10" t="s">
        <v>277</v>
      </c>
      <c r="S259" s="10" t="s">
        <v>312</v>
      </c>
      <c r="T259" s="10" t="s">
        <v>395</v>
      </c>
      <c r="U259" s="10">
        <v>9724197033</v>
      </c>
      <c r="V259" s="12" t="s">
        <v>257</v>
      </c>
      <c r="W259" t="str">
        <f>IF(OR(Q259&lt;=2,V259="Cancelled"),"Blacklisted",IF(AND(P259&gt;100000,Q259&gt;=4,O259&lt;=10%,V259="Completed"),"Platinum",IF(AND(P259&gt;=50000,Q259&gt;=3,V259="Completed"),"Gold",IF(AND(P259&lt;50000,V259="Completed"),"Silver",""))))</f>
        <v>Gold</v>
      </c>
      <c r="X259" t="str">
        <f>PROPER(TRIM(F259))</f>
        <v>Amit Sharma</v>
      </c>
      <c r="Y259" t="str">
        <f>LEFT(F259,3)&amp;MID(B259,2,3)&amp;LEFT(I259,2)</f>
        <v>Ami001Pu</v>
      </c>
      <c r="Z259" t="str">
        <f>IF(ISNUMBER(SEARCH("@",T259)),LOWER(TRIM(T259)),"invalid email")</f>
        <v>amit.sharma@company.com</v>
      </c>
      <c r="AA259" t="str">
        <f ca="1">IF(H258="","",IFERROR(DATEDIF(IF(ISNUMBER(H258),H258,DATE(VALUE(RIGHT(H258,4)),VALUE(MID(H258,3,2)),VALUE(LEFT(H258,2)))),TODAY(),"Y"),""))</f>
        <v/>
      </c>
      <c r="AB259" t="str">
        <f>IF(OR(D259="",E259=""),"",IFERROR(DATE(MID(E259,7,4),MID(E259,4,2),LEFT(E259,2))-DATE(MID(D259,7,4),MID(D259,4,2),LEFT(D259,2)),""))</f>
        <v/>
      </c>
      <c r="AC259" t="str">
        <f>IF(E259="","Pending",IF(AB259&lt;=5,"On time","Delayed"))</f>
        <v>Delayed</v>
      </c>
      <c r="AD259" s="29" t="str">
        <f>IF(TRIM(S259)="","Not Assigned",S259)</f>
        <v>Karan</v>
      </c>
      <c r="AE259" t="str">
        <f>PROPER(TRIM(F259))</f>
        <v>Amit Sharma</v>
      </c>
      <c r="AF259" t="str">
        <f>PROPER(TRIM(K259))</f>
        <v>Electronics</v>
      </c>
      <c r="AG259" t="str">
        <f>PROPER(TRIM(J259))</f>
        <v>West</v>
      </c>
      <c r="AH259" t="str">
        <f t="shared" ref="AH259:AH322" si="8">PROPER(TRIM(K259))</f>
        <v>Electronics</v>
      </c>
      <c r="AI259" t="str">
        <f t="shared" ref="AI259:AI322" si="9">IF(OR(LOWER(TRIM(K259))="electronic",LOWER(TRIM(K259))="electronics"),"Electronics",PROPER(TRIM(K259)))</f>
        <v>Electronics</v>
      </c>
      <c r="AK259">
        <f>IF(COUNTIF($A$2:A259,A259)=1,1,0)</f>
        <v>1</v>
      </c>
    </row>
    <row r="260" spans="1:37">
      <c r="A260" s="4" t="s">
        <v>790</v>
      </c>
      <c r="B260" s="5" t="s">
        <v>358</v>
      </c>
      <c r="C260" s="5" t="s">
        <v>250</v>
      </c>
      <c r="D260" s="6">
        <v>45876</v>
      </c>
      <c r="E260" s="5" t="s">
        <v>365</v>
      </c>
      <c r="F260" s="5" t="s">
        <v>359</v>
      </c>
      <c r="G260" s="5" t="s">
        <v>239</v>
      </c>
      <c r="H260" s="5" t="s">
        <v>791</v>
      </c>
      <c r="I260" s="5" t="s">
        <v>379</v>
      </c>
      <c r="J260" s="5" t="s">
        <v>21</v>
      </c>
      <c r="K260" s="5" t="s">
        <v>15</v>
      </c>
      <c r="L260" s="5" t="s">
        <v>253</v>
      </c>
      <c r="M260" s="5">
        <v>4</v>
      </c>
      <c r="N260" s="5">
        <v>2200</v>
      </c>
      <c r="O260" s="5">
        <v>5</v>
      </c>
      <c r="P260" s="5">
        <v>8360</v>
      </c>
      <c r="Q260" s="5">
        <v>2</v>
      </c>
      <c r="R260" s="5" t="s">
        <v>254</v>
      </c>
      <c r="S260" s="5" t="s">
        <v>255</v>
      </c>
      <c r="T260" s="5" t="s">
        <v>360</v>
      </c>
      <c r="U260" s="5">
        <v>9130666128</v>
      </c>
      <c r="V260" s="8" t="s">
        <v>257</v>
      </c>
      <c r="W260" t="str">
        <f>IF(OR(Q260&lt;=2,V260="Cancelled"),"Blacklisted",IF(AND(P260&gt;100000,Q260&gt;=4,O260&lt;=10%,V260="Completed"),"Platinum",IF(AND(P260&gt;=50000,Q260&gt;=3,V260="Completed"),"Gold",IF(AND(P260&lt;50000,V260="Completed"),"Silver",""))))</f>
        <v>Blacklisted</v>
      </c>
      <c r="X260" t="str">
        <f>PROPER(TRIM(F260))</f>
        <v>Sneha Joshi</v>
      </c>
      <c r="Y260" t="str">
        <f>LEFT(F260,3)&amp;MID(B260,2,3)&amp;LEFT(I260,2)</f>
        <v>Sne006Ko</v>
      </c>
      <c r="Z260" t="str">
        <f>IF(ISNUMBER(SEARCH("@",T260)),LOWER(TRIM(T260)),"invalid email")</f>
        <v>sneha.joshi@company.com</v>
      </c>
      <c r="AA260" t="str">
        <f ca="1">IF(H259="","",IFERROR(DATEDIF(IF(ISNUMBER(H259),H259,DATE(VALUE(RIGHT(H259,4)),VALUE(MID(H259,3,2)),VALUE(LEFT(H259,2)))),TODAY(),"Y"),""))</f>
        <v/>
      </c>
      <c r="AB260" t="str">
        <f>IF(OR(D260="",E260=""),"",IFERROR(DATE(MID(E260,7,4),MID(E260,4,2),LEFT(E260,2))-DATE(MID(D260,7,4),MID(D260,4,2),LEFT(D260,2)),""))</f>
        <v/>
      </c>
      <c r="AC260" t="str">
        <f>IF(E260="","Pending",IF(AB260&lt;=5,"On time","Delayed"))</f>
        <v>Delayed</v>
      </c>
      <c r="AD260" s="29" t="str">
        <f>IF(TRIM(S260)="","Not Assigned",S260)</f>
        <v>Ritika</v>
      </c>
      <c r="AE260" t="str">
        <f>PROPER(TRIM(F260))</f>
        <v>Sneha Joshi</v>
      </c>
      <c r="AF260" t="str">
        <f>PROPER(TRIM(K260))</f>
        <v>Home Appliances</v>
      </c>
      <c r="AG260" t="str">
        <f>PROPER(TRIM(J260))</f>
        <v>East</v>
      </c>
      <c r="AH260" t="str">
        <f t="shared" si="8"/>
        <v>Home Appliances</v>
      </c>
      <c r="AI260" t="str">
        <f t="shared" si="9"/>
        <v>Home Appliances</v>
      </c>
      <c r="AK260">
        <f>IF(COUNTIF($A$2:A260,A260)=1,1,0)</f>
        <v>1</v>
      </c>
    </row>
    <row r="261" spans="1:37">
      <c r="A261" s="9" t="s">
        <v>792</v>
      </c>
      <c r="B261" s="10" t="s">
        <v>249</v>
      </c>
      <c r="C261" s="10" t="s">
        <v>236</v>
      </c>
      <c r="D261" s="11">
        <v>46003</v>
      </c>
      <c r="E261" s="10" t="s">
        <v>448</v>
      </c>
      <c r="F261" s="10" t="s">
        <v>251</v>
      </c>
      <c r="G261" s="10" t="s">
        <v>239</v>
      </c>
      <c r="H261" s="11">
        <v>37503</v>
      </c>
      <c r="I261" s="10" t="s">
        <v>306</v>
      </c>
      <c r="J261" s="10" t="s">
        <v>287</v>
      </c>
      <c r="K261" s="10" t="s">
        <v>243</v>
      </c>
      <c r="L261" s="10" t="s">
        <v>244</v>
      </c>
      <c r="M261" s="10">
        <v>6</v>
      </c>
      <c r="N261" s="10">
        <v>55000</v>
      </c>
      <c r="O261" s="10">
        <v>20</v>
      </c>
      <c r="P261" s="10">
        <v>264000</v>
      </c>
      <c r="Q261" s="10">
        <v>2</v>
      </c>
      <c r="R261" s="10" t="s">
        <v>277</v>
      </c>
      <c r="S261" s="10" t="s">
        <v>312</v>
      </c>
      <c r="T261" s="10" t="s">
        <v>264</v>
      </c>
      <c r="U261" s="10">
        <v>9866567601</v>
      </c>
      <c r="V261" s="12" t="s">
        <v>265</v>
      </c>
      <c r="W261" t="str">
        <f>IF(OR(Q261&lt;=2,V261="Cancelled"),"Blacklisted",IF(AND(P261&gt;100000,Q261&gt;=4,O261&lt;=10%,V261="Completed"),"Platinum",IF(AND(P261&gt;=50000,Q261&gt;=3,V261="Completed"),"Gold",IF(AND(P261&lt;50000,V261="Completed"),"Silver",""))))</f>
        <v>Blacklisted</v>
      </c>
      <c r="X261" t="str">
        <f>PROPER(TRIM(F261))</f>
        <v>Kavya Nair</v>
      </c>
      <c r="Y261" t="str">
        <f>LEFT(F261,3)&amp;MID(B261,2,3)&amp;LEFT(I261,2)</f>
        <v>Kav008Ah</v>
      </c>
      <c r="Z261" t="str">
        <f>IF(ISNUMBER(SEARCH("@",T261)),LOWER(TRIM(T261)),"invalid email")</f>
        <v>kavya.nair@company.com</v>
      </c>
      <c r="AA261" t="str">
        <f ca="1">IF(H260="","",IFERROR(DATEDIF(IF(ISNUMBER(H260),H260,DATE(VALUE(RIGHT(H260,4)),VALUE(MID(H260,3,2)),VALUE(LEFT(H260,2)))),TODAY(),"Y"),""))</f>
        <v/>
      </c>
      <c r="AB261" t="str">
        <f>IF(OR(D261="",E261=""),"",IFERROR(DATE(MID(E261,7,4),MID(E261,4,2),LEFT(E261,2))-DATE(MID(D261,7,4),MID(D261,4,2),LEFT(D261,2)),""))</f>
        <v/>
      </c>
      <c r="AC261" t="str">
        <f>IF(E261="","Pending",IF(AB261&lt;=5,"On time","Delayed"))</f>
        <v>Delayed</v>
      </c>
      <c r="AD261" s="29" t="str">
        <f>IF(TRIM(S261)="","Not Assigned",S261)</f>
        <v>Karan</v>
      </c>
      <c r="AE261" t="str">
        <f>PROPER(TRIM(F261))</f>
        <v>Kavya Nair</v>
      </c>
      <c r="AF261" t="str">
        <f>PROPER(TRIM(K261))</f>
        <v>Electronics</v>
      </c>
      <c r="AG261" t="str">
        <f>PROPER(TRIM(J261))</f>
        <v>West</v>
      </c>
      <c r="AH261" t="str">
        <f t="shared" si="8"/>
        <v>Electronics</v>
      </c>
      <c r="AI261" t="str">
        <f t="shared" si="9"/>
        <v>Electronics</v>
      </c>
      <c r="AK261">
        <f>IF(COUNTIF($A$2:A261,A261)=1,1,0)</f>
        <v>1</v>
      </c>
    </row>
    <row r="262" spans="1:37">
      <c r="A262" s="4" t="s">
        <v>793</v>
      </c>
      <c r="B262" s="5" t="s">
        <v>266</v>
      </c>
      <c r="C262" s="5" t="s">
        <v>322</v>
      </c>
      <c r="D262" s="6">
        <v>46113</v>
      </c>
      <c r="E262" s="5" t="s">
        <v>23</v>
      </c>
      <c r="F262" s="5" t="s">
        <v>268</v>
      </c>
      <c r="G262" s="5" t="s">
        <v>269</v>
      </c>
      <c r="H262" s="5" t="s">
        <v>794</v>
      </c>
      <c r="I262" s="5" t="s">
        <v>260</v>
      </c>
      <c r="J262" s="5" t="s">
        <v>261</v>
      </c>
      <c r="K262" s="5" t="s">
        <v>15</v>
      </c>
      <c r="L262" s="5" t="s">
        <v>325</v>
      </c>
      <c r="M262" s="5">
        <v>6</v>
      </c>
      <c r="N262" s="5">
        <v>8500</v>
      </c>
      <c r="O262" s="5">
        <v>10</v>
      </c>
      <c r="P262" s="5">
        <v>45900</v>
      </c>
      <c r="Q262" s="5">
        <v>5</v>
      </c>
      <c r="R262" s="5" t="s">
        <v>277</v>
      </c>
      <c r="S262" s="5" t="s">
        <v>246</v>
      </c>
      <c r="T262" s="5" t="s">
        <v>273</v>
      </c>
      <c r="U262" s="5">
        <v>9477282450</v>
      </c>
      <c r="V262" s="8" t="s">
        <v>257</v>
      </c>
      <c r="W262" t="str">
        <f>IF(OR(Q262&lt;=2,V262="Cancelled"),"Blacklisted",IF(AND(P262&gt;100000,Q262&gt;=4,O262&lt;=10%,V262="Completed"),"Platinum",IF(AND(P262&gt;=50000,Q262&gt;=3,V262="Completed"),"Gold",IF(AND(P262&lt;50000,V262="Completed"),"Silver",""))))</f>
        <v>Silver</v>
      </c>
      <c r="X262" t="str">
        <f>PROPER(TRIM(F262))</f>
        <v>Mohit Verma</v>
      </c>
      <c r="Y262" t="str">
        <f>LEFT(F262,3)&amp;MID(B262,2,3)&amp;LEFT(I262,2)</f>
        <v>Moh009De</v>
      </c>
      <c r="Z262" t="str">
        <f>IF(ISNUMBER(SEARCH("@",T262)),LOWER(TRIM(T262)),"invalid email")</f>
        <v>mohit.verma@company.com</v>
      </c>
      <c r="AA262">
        <f ca="1">IF(H261="","",IFERROR(DATEDIF(IF(ISNUMBER(H261),H261,DATE(VALUE(RIGHT(H261,4)),VALUE(MID(H261,3,2)),VALUE(LEFT(H261,2)))),TODAY(),"Y"),""))</f>
        <v>24</v>
      </c>
      <c r="AB262" t="str">
        <f>IF(OR(D262="",E262=""),"",IFERROR(DATE(MID(E262,7,4),MID(E262,4,2),LEFT(E262,2))-DATE(MID(D262,7,4),MID(D262,4,2),LEFT(D262,2)),""))</f>
        <v/>
      </c>
      <c r="AC262" t="str">
        <f>IF(E262="","Pending",IF(AB262&lt;=5,"On time","Delayed"))</f>
        <v>Delayed</v>
      </c>
      <c r="AD262" s="29" t="str">
        <f>IF(TRIM(S262)="","Not Assigned",S262)</f>
        <v>Aisha</v>
      </c>
      <c r="AE262" t="str">
        <f>PROPER(TRIM(F262))</f>
        <v>Mohit Verma</v>
      </c>
      <c r="AF262" t="str">
        <f>PROPER(TRIM(K262))</f>
        <v>Home Appliances</v>
      </c>
      <c r="AG262" t="str">
        <f>PROPER(TRIM(J262))</f>
        <v>North</v>
      </c>
      <c r="AH262" t="str">
        <f t="shared" si="8"/>
        <v>Home Appliances</v>
      </c>
      <c r="AI262" t="str">
        <f t="shared" si="9"/>
        <v>Home Appliances</v>
      </c>
      <c r="AK262">
        <f>IF(COUNTIF($A$2:A262,A262)=1,1,0)</f>
        <v>1</v>
      </c>
    </row>
    <row r="263" spans="1:37">
      <c r="A263" s="9" t="s">
        <v>795</v>
      </c>
      <c r="B263" s="10" t="s">
        <v>249</v>
      </c>
      <c r="C263" s="10" t="s">
        <v>347</v>
      </c>
      <c r="D263" s="10" t="s">
        <v>94</v>
      </c>
      <c r="E263" s="10" t="s">
        <v>146</v>
      </c>
      <c r="F263" s="10" t="s">
        <v>251</v>
      </c>
      <c r="G263" s="10" t="s">
        <v>239</v>
      </c>
      <c r="H263" s="11">
        <v>31028</v>
      </c>
      <c r="I263" s="10" t="s">
        <v>342</v>
      </c>
      <c r="J263" s="10" t="s">
        <v>261</v>
      </c>
      <c r="K263" s="10" t="s">
        <v>295</v>
      </c>
      <c r="L263" s="10" t="s">
        <v>349</v>
      </c>
      <c r="M263" s="10">
        <v>6</v>
      </c>
      <c r="N263" s="10">
        <v>20</v>
      </c>
      <c r="O263" s="10">
        <v>15</v>
      </c>
      <c r="P263" s="10">
        <v>102</v>
      </c>
      <c r="Q263" s="10">
        <v>2</v>
      </c>
      <c r="R263" s="10" t="s">
        <v>277</v>
      </c>
      <c r="S263" s="10" t="s">
        <v>263</v>
      </c>
      <c r="T263" s="10" t="s">
        <v>264</v>
      </c>
      <c r="U263" s="10">
        <v>9857621478</v>
      </c>
      <c r="V263" s="12" t="s">
        <v>265</v>
      </c>
      <c r="W263" t="str">
        <f>IF(OR(Q263&lt;=2,V263="Cancelled"),"Blacklisted",IF(AND(P263&gt;100000,Q263&gt;=4,O263&lt;=10%,V263="Completed"),"Platinum",IF(AND(P263&gt;=50000,Q263&gt;=3,V263="Completed"),"Gold",IF(AND(P263&lt;50000,V263="Completed"),"Silver",""))))</f>
        <v>Blacklisted</v>
      </c>
      <c r="X263" t="str">
        <f>PROPER(TRIM(F263))</f>
        <v>Kavya Nair</v>
      </c>
      <c r="Y263" t="str">
        <f>LEFT(F263,3)&amp;MID(B263,2,3)&amp;LEFT(I263,2)</f>
        <v>Kav008Ja</v>
      </c>
      <c r="Z263" t="str">
        <f>IF(ISNUMBER(SEARCH("@",T263)),LOWER(TRIM(T263)),"invalid email")</f>
        <v>kavya.nair@company.com</v>
      </c>
      <c r="AA263" t="str">
        <f ca="1">IF(H262="","",IFERROR(DATEDIF(IF(ISNUMBER(H262),H262,DATE(VALUE(RIGHT(H262,4)),VALUE(MID(H262,3,2)),VALUE(LEFT(H262,2)))),TODAY(),"Y"),""))</f>
        <v/>
      </c>
      <c r="AB263">
        <f>IF(OR(D263="",E263=""),"",IFERROR(DATE(MID(E263,7,4),MID(E263,4,2),LEFT(E263,2))-DATE(MID(D263,7,4),MID(D263,4,2),LEFT(D263,2)),""))</f>
        <v>5</v>
      </c>
      <c r="AC263" t="str">
        <f>IF(E263="","Pending",IF(AB263&lt;=5,"On time","Delayed"))</f>
        <v>On time</v>
      </c>
      <c r="AD263" s="29" t="str">
        <f>IF(TRIM(S263)="","Not Assigned",S263)</f>
        <v>Rahul</v>
      </c>
      <c r="AE263" t="str">
        <f>PROPER(TRIM(F263))</f>
        <v>Kavya Nair</v>
      </c>
      <c r="AF263" t="str">
        <f>PROPER(TRIM(K263))</f>
        <v>Stationery</v>
      </c>
      <c r="AG263" t="str">
        <f>PROPER(TRIM(J263))</f>
        <v>North</v>
      </c>
      <c r="AH263" t="str">
        <f t="shared" si="8"/>
        <v>Stationery</v>
      </c>
      <c r="AI263" t="str">
        <f t="shared" si="9"/>
        <v>Stationery</v>
      </c>
      <c r="AK263">
        <f>IF(COUNTIF($A$2:A263,A263)=1,1,0)</f>
        <v>1</v>
      </c>
    </row>
    <row r="264" spans="1:37">
      <c r="A264" s="4" t="s">
        <v>796</v>
      </c>
      <c r="B264" s="5" t="s">
        <v>235</v>
      </c>
      <c r="C264" s="5" t="s">
        <v>294</v>
      </c>
      <c r="D264" s="6">
        <v>45721</v>
      </c>
      <c r="E264" s="6">
        <v>45966</v>
      </c>
      <c r="F264" s="5" t="s">
        <v>318</v>
      </c>
      <c r="G264" s="5" t="s">
        <v>239</v>
      </c>
      <c r="H264" s="5" t="s">
        <v>797</v>
      </c>
      <c r="I264" s="5" t="s">
        <v>286</v>
      </c>
      <c r="J264" s="5" t="s">
        <v>287</v>
      </c>
      <c r="K264" s="5" t="s">
        <v>295</v>
      </c>
      <c r="L264" s="5" t="s">
        <v>296</v>
      </c>
      <c r="M264" s="5">
        <v>6</v>
      </c>
      <c r="N264" s="5">
        <v>60</v>
      </c>
      <c r="O264" s="5">
        <v>5</v>
      </c>
      <c r="P264" s="5">
        <v>342</v>
      </c>
      <c r="Q264" s="5">
        <v>1</v>
      </c>
      <c r="R264" s="5" t="s">
        <v>245</v>
      </c>
      <c r="S264" s="5" t="s">
        <v>246</v>
      </c>
      <c r="T264" s="5" t="s">
        <v>247</v>
      </c>
      <c r="U264" s="5">
        <v>9753869055</v>
      </c>
      <c r="V264" s="8" t="s">
        <v>257</v>
      </c>
      <c r="W264" t="str">
        <f>IF(OR(Q264&lt;=2,V264="Cancelled"),"Blacklisted",IF(AND(P264&gt;100000,Q264&gt;=4,O264&lt;=10%,V264="Completed"),"Platinum",IF(AND(P264&gt;=50000,Q264&gt;=3,V264="Completed"),"Gold",IF(AND(P264&lt;50000,V264="Completed"),"Silver",""))))</f>
        <v>Blacklisted</v>
      </c>
      <c r="X264" t="str">
        <f>PROPER(TRIM(F264))</f>
        <v>Pooja Shah</v>
      </c>
      <c r="Y264" t="str">
        <f>LEFT(F264,3)&amp;MID(B264,2,3)&amp;LEFT(I264,2)</f>
        <v>Poo010Mu</v>
      </c>
      <c r="Z264" t="str">
        <f>IF(ISNUMBER(SEARCH("@",T264)),LOWER(TRIM(T264)),"invalid email")</f>
        <v>pooja.shah@company.com</v>
      </c>
      <c r="AA264">
        <f ca="1">IF(H263="","",IFERROR(DATEDIF(IF(ISNUMBER(H263),H263,DATE(VALUE(RIGHT(H263,4)),VALUE(MID(H263,3,2)),VALUE(LEFT(H263,2)))),TODAY(),"Y"),""))</f>
        <v>41</v>
      </c>
      <c r="AB264" t="str">
        <f>IF(OR(D264="",E264=""),"",IFERROR(DATE(MID(E264,7,4),MID(E264,4,2),LEFT(E264,2))-DATE(MID(D264,7,4),MID(D264,4,2),LEFT(D264,2)),""))</f>
        <v/>
      </c>
      <c r="AC264" t="str">
        <f>IF(E264="","Pending",IF(AB264&lt;=5,"On time","Delayed"))</f>
        <v>Delayed</v>
      </c>
      <c r="AD264" s="29" t="str">
        <f>IF(TRIM(S264)="","Not Assigned",S264)</f>
        <v>Aisha</v>
      </c>
      <c r="AE264" t="str">
        <f>PROPER(TRIM(F264))</f>
        <v>Pooja Shah</v>
      </c>
      <c r="AF264" t="str">
        <f>PROPER(TRIM(K264))</f>
        <v>Stationery</v>
      </c>
      <c r="AG264" t="str">
        <f>PROPER(TRIM(J264))</f>
        <v>West</v>
      </c>
      <c r="AH264" t="str">
        <f t="shared" si="8"/>
        <v>Stationery</v>
      </c>
      <c r="AI264" t="str">
        <f t="shared" si="9"/>
        <v>Stationery</v>
      </c>
      <c r="AK264">
        <f>IF(COUNTIF($A$2:A264,A264)=1,1,0)</f>
        <v>1</v>
      </c>
    </row>
    <row r="265" spans="1:37">
      <c r="A265" s="9" t="s">
        <v>798</v>
      </c>
      <c r="B265" s="10" t="s">
        <v>299</v>
      </c>
      <c r="C265" s="10" t="s">
        <v>322</v>
      </c>
      <c r="D265" s="11">
        <v>45901</v>
      </c>
      <c r="E265" s="11">
        <v>45992</v>
      </c>
      <c r="F265" s="10" t="s">
        <v>301</v>
      </c>
      <c r="G265" s="10" t="s">
        <v>269</v>
      </c>
      <c r="H265" s="10" t="s">
        <v>799</v>
      </c>
      <c r="I265" s="10" t="s">
        <v>252</v>
      </c>
      <c r="J265" s="10" t="s">
        <v>242</v>
      </c>
      <c r="K265" s="10" t="s">
        <v>15</v>
      </c>
      <c r="L265" s="10" t="s">
        <v>325</v>
      </c>
      <c r="M265" s="10">
        <v>19</v>
      </c>
      <c r="N265" s="10">
        <v>8500</v>
      </c>
      <c r="O265" s="10">
        <v>0</v>
      </c>
      <c r="P265" s="10">
        <v>161500</v>
      </c>
      <c r="Q265" s="10">
        <v>5</v>
      </c>
      <c r="R265" s="10" t="s">
        <v>277</v>
      </c>
      <c r="S265" s="10" t="s">
        <v>312</v>
      </c>
      <c r="T265" s="10" t="s">
        <v>302</v>
      </c>
      <c r="U265" s="10">
        <v>9663266204</v>
      </c>
      <c r="V265" s="12" t="s">
        <v>257</v>
      </c>
      <c r="W265" t="str">
        <f>IF(OR(Q265&lt;=2,V265="Cancelled"),"Blacklisted",IF(AND(P265&gt;100000,Q265&gt;=4,O265&lt;=10%,V265="Completed"),"Platinum",IF(AND(P265&gt;=50000,Q265&gt;=3,V265="Completed"),"Gold",IF(AND(P265&lt;50000,V265="Completed"),"Silver",""))))</f>
        <v>Platinum</v>
      </c>
      <c r="X265" t="str">
        <f>PROPER(TRIM(F265))</f>
        <v>Rohit Singh</v>
      </c>
      <c r="Y265" t="str">
        <f>LEFT(F265,3)&amp;MID(B265,2,3)&amp;LEFT(I265,2)</f>
        <v>Roh003Hy</v>
      </c>
      <c r="Z265" t="str">
        <f>IF(ISNUMBER(SEARCH("@",T265)),LOWER(TRIM(T265)),"invalid email")</f>
        <v>rohit.singh@company.com</v>
      </c>
      <c r="AA265" t="str">
        <f ca="1">IF(H264="","",IFERROR(DATEDIF(IF(ISNUMBER(H264),H264,DATE(VALUE(RIGHT(H264,4)),VALUE(MID(H264,3,2)),VALUE(LEFT(H264,2)))),TODAY(),"Y"),""))</f>
        <v/>
      </c>
      <c r="AB265" t="str">
        <f>IF(OR(D265="",E265=""),"",IFERROR(DATE(MID(E265,7,4),MID(E265,4,2),LEFT(E265,2))-DATE(MID(D265,7,4),MID(D265,4,2),LEFT(D265,2)),""))</f>
        <v/>
      </c>
      <c r="AC265" t="str">
        <f>IF(E265="","Pending",IF(AB265&lt;=5,"On time","Delayed"))</f>
        <v>Delayed</v>
      </c>
      <c r="AD265" s="29" t="str">
        <f>IF(TRIM(S265)="","Not Assigned",S265)</f>
        <v>Karan</v>
      </c>
      <c r="AE265" t="str">
        <f>PROPER(TRIM(F265))</f>
        <v>Rohit Singh</v>
      </c>
      <c r="AF265" t="str">
        <f>PROPER(TRIM(K265))</f>
        <v>Home Appliances</v>
      </c>
      <c r="AG265" t="str">
        <f>PROPER(TRIM(J265))</f>
        <v>South</v>
      </c>
      <c r="AH265" t="str">
        <f t="shared" si="8"/>
        <v>Home Appliances</v>
      </c>
      <c r="AI265" t="str">
        <f t="shared" si="9"/>
        <v>Home Appliances</v>
      </c>
      <c r="AK265">
        <f>IF(COUNTIF($A$2:A265,A265)=1,1,0)</f>
        <v>1</v>
      </c>
    </row>
    <row r="266" spans="1:37">
      <c r="A266" s="4" t="s">
        <v>800</v>
      </c>
      <c r="B266" s="5" t="s">
        <v>358</v>
      </c>
      <c r="C266" s="5" t="s">
        <v>236</v>
      </c>
      <c r="D266" s="6">
        <v>45666</v>
      </c>
      <c r="E266" s="6">
        <v>45939</v>
      </c>
      <c r="F266" s="5" t="s">
        <v>359</v>
      </c>
      <c r="G266" s="5" t="s">
        <v>239</v>
      </c>
      <c r="H266" s="5" t="s">
        <v>801</v>
      </c>
      <c r="I266" s="5" t="s">
        <v>342</v>
      </c>
      <c r="J266" s="5" t="s">
        <v>261</v>
      </c>
      <c r="K266" s="5" t="s">
        <v>243</v>
      </c>
      <c r="L266" s="5" t="s">
        <v>244</v>
      </c>
      <c r="M266" s="5">
        <v>8</v>
      </c>
      <c r="N266" s="5">
        <v>55000</v>
      </c>
      <c r="O266" s="5">
        <v>0</v>
      </c>
      <c r="P266" s="5">
        <v>440000</v>
      </c>
      <c r="Q266" s="5">
        <v>3</v>
      </c>
      <c r="R266" s="5" t="s">
        <v>272</v>
      </c>
      <c r="S266" s="5" t="s">
        <v>292</v>
      </c>
      <c r="T266" s="5" t="s">
        <v>360</v>
      </c>
      <c r="U266" s="5">
        <v>9675208616</v>
      </c>
      <c r="V266" s="8" t="s">
        <v>248</v>
      </c>
      <c r="W266" t="str">
        <f>IF(OR(Q266&lt;=2,V266="Cancelled"),"Blacklisted",IF(AND(P266&gt;100000,Q266&gt;=4,O266&lt;=10%,V266="Completed"),"Platinum",IF(AND(P266&gt;=50000,Q266&gt;=3,V266="Completed"),"Gold",IF(AND(P266&lt;50000,V266="Completed"),"Silver",""))))</f>
        <v/>
      </c>
      <c r="X266" t="str">
        <f>PROPER(TRIM(F266))</f>
        <v>Sneha Joshi</v>
      </c>
      <c r="Y266" t="str">
        <f>LEFT(F266,3)&amp;MID(B266,2,3)&amp;LEFT(I266,2)</f>
        <v>Sne006Ja</v>
      </c>
      <c r="Z266" t="str">
        <f>IF(ISNUMBER(SEARCH("@",T266)),LOWER(TRIM(T266)),"invalid email")</f>
        <v>sneha.joshi@company.com</v>
      </c>
      <c r="AA266" t="str">
        <f ca="1">IF(H265="","",IFERROR(DATEDIF(IF(ISNUMBER(H265),H265,DATE(VALUE(RIGHT(H265,4)),VALUE(MID(H265,3,2)),VALUE(LEFT(H265,2)))),TODAY(),"Y"),""))</f>
        <v/>
      </c>
      <c r="AB266" t="str">
        <f>IF(OR(D266="",E266=""),"",IFERROR(DATE(MID(E266,7,4),MID(E266,4,2),LEFT(E266,2))-DATE(MID(D266,7,4),MID(D266,4,2),LEFT(D266,2)),""))</f>
        <v/>
      </c>
      <c r="AC266" t="str">
        <f>IF(E266="","Pending",IF(AB266&lt;=5,"On time","Delayed"))</f>
        <v>Delayed</v>
      </c>
      <c r="AD266" s="29" t="str">
        <f>IF(TRIM(S266)="","Not Assigned",S266)</f>
        <v>Neha</v>
      </c>
      <c r="AE266" t="str">
        <f>PROPER(TRIM(F266))</f>
        <v>Sneha Joshi</v>
      </c>
      <c r="AF266" t="str">
        <f>PROPER(TRIM(K266))</f>
        <v>Electronics</v>
      </c>
      <c r="AG266" t="str">
        <f>PROPER(TRIM(J266))</f>
        <v>North</v>
      </c>
      <c r="AH266" t="str">
        <f t="shared" si="8"/>
        <v>Electronics</v>
      </c>
      <c r="AI266" t="str">
        <f t="shared" si="9"/>
        <v>Electronics</v>
      </c>
      <c r="AK266">
        <f>IF(COUNTIF($A$2:A266,A266)=1,1,0)</f>
        <v>1</v>
      </c>
    </row>
    <row r="267" spans="1:37">
      <c r="A267" s="9" t="s">
        <v>802</v>
      </c>
      <c r="B267" s="10" t="s">
        <v>266</v>
      </c>
      <c r="C267" s="10" t="s">
        <v>258</v>
      </c>
      <c r="D267" s="11">
        <v>46058</v>
      </c>
      <c r="E267" s="11">
        <v>46208</v>
      </c>
      <c r="F267" s="10" t="s">
        <v>268</v>
      </c>
      <c r="G267" s="10" t="s">
        <v>269</v>
      </c>
      <c r="H267" s="10" t="s">
        <v>803</v>
      </c>
      <c r="I267" s="10" t="s">
        <v>379</v>
      </c>
      <c r="J267" s="10" t="s">
        <v>21</v>
      </c>
      <c r="K267" s="10" t="s">
        <v>243</v>
      </c>
      <c r="L267" s="10" t="s">
        <v>262</v>
      </c>
      <c r="M267" s="10">
        <v>18</v>
      </c>
      <c r="N267" s="10">
        <v>12000</v>
      </c>
      <c r="O267" s="10">
        <v>20</v>
      </c>
      <c r="P267" s="10">
        <v>172800</v>
      </c>
      <c r="Q267" s="10">
        <v>5</v>
      </c>
      <c r="R267" s="10" t="s">
        <v>277</v>
      </c>
      <c r="S267" s="10" t="s">
        <v>246</v>
      </c>
      <c r="T267" s="10" t="s">
        <v>273</v>
      </c>
      <c r="U267" s="10">
        <v>9618393586</v>
      </c>
      <c r="V267" s="12" t="s">
        <v>265</v>
      </c>
      <c r="W267" t="str">
        <f>IF(OR(Q267&lt;=2,V267="Cancelled"),"Blacklisted",IF(AND(P267&gt;100000,Q267&gt;=4,O267&lt;=10%,V267="Completed"),"Platinum",IF(AND(P267&gt;=50000,Q267&gt;=3,V267="Completed"),"Gold",IF(AND(P267&lt;50000,V267="Completed"),"Silver",""))))</f>
        <v>Blacklisted</v>
      </c>
      <c r="X267" t="str">
        <f>PROPER(TRIM(F267))</f>
        <v>Mohit Verma</v>
      </c>
      <c r="Y267" t="str">
        <f>LEFT(F267,3)&amp;MID(B267,2,3)&amp;LEFT(I267,2)</f>
        <v>Moh009Ko</v>
      </c>
      <c r="Z267" t="str">
        <f>IF(ISNUMBER(SEARCH("@",T267)),LOWER(TRIM(T267)),"invalid email")</f>
        <v>mohit.verma@company.com</v>
      </c>
      <c r="AA267" t="str">
        <f ca="1">IF(H266="","",IFERROR(DATEDIF(IF(ISNUMBER(H266),H266,DATE(VALUE(RIGHT(H266,4)),VALUE(MID(H266,3,2)),VALUE(LEFT(H266,2)))),TODAY(),"Y"),""))</f>
        <v/>
      </c>
      <c r="AB267" t="str">
        <f>IF(OR(D267="",E267=""),"",IFERROR(DATE(MID(E267,7,4),MID(E267,4,2),LEFT(E267,2))-DATE(MID(D267,7,4),MID(D267,4,2),LEFT(D267,2)),""))</f>
        <v/>
      </c>
      <c r="AC267" t="str">
        <f>IF(E267="","Pending",IF(AB267&lt;=5,"On time","Delayed"))</f>
        <v>Delayed</v>
      </c>
      <c r="AD267" s="29" t="str">
        <f>IF(TRIM(S267)="","Not Assigned",S267)</f>
        <v>Aisha</v>
      </c>
      <c r="AE267" t="str">
        <f>PROPER(TRIM(F267))</f>
        <v>Mohit Verma</v>
      </c>
      <c r="AF267" t="str">
        <f>PROPER(TRIM(K267))</f>
        <v>Electronics</v>
      </c>
      <c r="AG267" t="str">
        <f>PROPER(TRIM(J267))</f>
        <v>East</v>
      </c>
      <c r="AH267" t="str">
        <f t="shared" si="8"/>
        <v>Electronics</v>
      </c>
      <c r="AI267" t="str">
        <f t="shared" si="9"/>
        <v>Electronics</v>
      </c>
      <c r="AK267">
        <f>IF(COUNTIF($A$2:A267,A267)=1,1,0)</f>
        <v>1</v>
      </c>
    </row>
    <row r="268" spans="1:37">
      <c r="A268" s="4" t="s">
        <v>804</v>
      </c>
      <c r="B268" s="5" t="s">
        <v>299</v>
      </c>
      <c r="C268" s="5" t="s">
        <v>322</v>
      </c>
      <c r="D268" s="5" t="s">
        <v>59</v>
      </c>
      <c r="E268" s="5" t="s">
        <v>153</v>
      </c>
      <c r="F268" s="5" t="s">
        <v>301</v>
      </c>
      <c r="G268" s="5" t="s">
        <v>269</v>
      </c>
      <c r="H268" s="6">
        <v>33219</v>
      </c>
      <c r="I268" s="5" t="s">
        <v>306</v>
      </c>
      <c r="J268" s="5" t="s">
        <v>287</v>
      </c>
      <c r="K268" s="5" t="s">
        <v>15</v>
      </c>
      <c r="L268" s="5" t="s">
        <v>325</v>
      </c>
      <c r="M268" s="5">
        <v>8</v>
      </c>
      <c r="N268" s="5">
        <v>8500</v>
      </c>
      <c r="O268" s="5">
        <v>5</v>
      </c>
      <c r="P268" s="5">
        <v>64600</v>
      </c>
      <c r="Q268" s="5">
        <v>2</v>
      </c>
      <c r="R268" s="5" t="s">
        <v>272</v>
      </c>
      <c r="S268" s="5" t="s">
        <v>246</v>
      </c>
      <c r="T268" s="5" t="s">
        <v>302</v>
      </c>
      <c r="U268" s="5">
        <v>9137027840</v>
      </c>
      <c r="V268" s="8" t="s">
        <v>265</v>
      </c>
      <c r="W268" t="str">
        <f>IF(OR(Q268&lt;=2,V268="Cancelled"),"Blacklisted",IF(AND(P268&gt;100000,Q268&gt;=4,O268&lt;=10%,V268="Completed"),"Platinum",IF(AND(P268&gt;=50000,Q268&gt;=3,V268="Completed"),"Gold",IF(AND(P268&lt;50000,V268="Completed"),"Silver",""))))</f>
        <v>Blacklisted</v>
      </c>
      <c r="X268" t="str">
        <f>PROPER(TRIM(F268))</f>
        <v>Rohit Singh</v>
      </c>
      <c r="Y268" t="str">
        <f>LEFT(F268,3)&amp;MID(B268,2,3)&amp;LEFT(I268,2)</f>
        <v>Roh003Ah</v>
      </c>
      <c r="Z268" t="str">
        <f>IF(ISNUMBER(SEARCH("@",T268)),LOWER(TRIM(T268)),"invalid email")</f>
        <v>rohit.singh@company.com</v>
      </c>
      <c r="AA268" t="str">
        <f ca="1">IF(H267="","",IFERROR(DATEDIF(IF(ISNUMBER(H267),H267,DATE(VALUE(RIGHT(H267,4)),VALUE(MID(H267,3,2)),VALUE(LEFT(H267,2)))),TODAY(),"Y"),""))</f>
        <v/>
      </c>
      <c r="AB268">
        <f>IF(OR(D268="",E268=""),"",IFERROR(DATE(MID(E268,7,4),MID(E268,4,2),LEFT(E268,2))-DATE(MID(D268,7,4),MID(D268,4,2),LEFT(D268,2)),""))</f>
        <v>9</v>
      </c>
      <c r="AC268" t="str">
        <f>IF(E268="","Pending",IF(AB268&lt;=5,"On time","Delayed"))</f>
        <v>Delayed</v>
      </c>
      <c r="AD268" s="29" t="str">
        <f>IF(TRIM(S268)="","Not Assigned",S268)</f>
        <v>Aisha</v>
      </c>
      <c r="AE268" t="str">
        <f>PROPER(TRIM(F268))</f>
        <v>Rohit Singh</v>
      </c>
      <c r="AF268" t="str">
        <f>PROPER(TRIM(K268))</f>
        <v>Home Appliances</v>
      </c>
      <c r="AG268" t="str">
        <f>PROPER(TRIM(J268))</f>
        <v>West</v>
      </c>
      <c r="AH268" t="str">
        <f t="shared" si="8"/>
        <v>Home Appliances</v>
      </c>
      <c r="AI268" t="str">
        <f t="shared" si="9"/>
        <v>Home Appliances</v>
      </c>
      <c r="AK268">
        <f>IF(COUNTIF($A$2:A268,A268)=1,1,0)</f>
        <v>1</v>
      </c>
    </row>
    <row r="269" spans="1:37">
      <c r="A269" s="9" t="s">
        <v>805</v>
      </c>
      <c r="B269" s="10" t="s">
        <v>249</v>
      </c>
      <c r="C269" s="10" t="s">
        <v>347</v>
      </c>
      <c r="D269" s="11">
        <v>45908</v>
      </c>
      <c r="E269" s="10" t="s">
        <v>560</v>
      </c>
      <c r="F269" s="10" t="s">
        <v>251</v>
      </c>
      <c r="G269" s="10" t="s">
        <v>239</v>
      </c>
      <c r="H269" s="10" t="s">
        <v>806</v>
      </c>
      <c r="I269" s="10" t="s">
        <v>286</v>
      </c>
      <c r="J269" s="10" t="s">
        <v>287</v>
      </c>
      <c r="K269" s="10" t="s">
        <v>295</v>
      </c>
      <c r="L269" s="10" t="s">
        <v>349</v>
      </c>
      <c r="M269" s="10">
        <v>13</v>
      </c>
      <c r="N269" s="10">
        <v>20</v>
      </c>
      <c r="O269" s="10">
        <v>5</v>
      </c>
      <c r="P269" s="10">
        <v>247</v>
      </c>
      <c r="Q269" s="10">
        <v>3</v>
      </c>
      <c r="R269" s="10" t="s">
        <v>245</v>
      </c>
      <c r="S269" s="10" t="s">
        <v>292</v>
      </c>
      <c r="T269" s="10" t="s">
        <v>264</v>
      </c>
      <c r="U269" s="10">
        <v>9362758134</v>
      </c>
      <c r="V269" s="12" t="s">
        <v>248</v>
      </c>
      <c r="W269" t="str">
        <f>IF(OR(Q269&lt;=2,V269="Cancelled"),"Blacklisted",IF(AND(P269&gt;100000,Q269&gt;=4,O269&lt;=10%,V269="Completed"),"Platinum",IF(AND(P269&gt;=50000,Q269&gt;=3,V269="Completed"),"Gold",IF(AND(P269&lt;50000,V269="Completed"),"Silver",""))))</f>
        <v/>
      </c>
      <c r="X269" t="str">
        <f>PROPER(TRIM(F269))</f>
        <v>Kavya Nair</v>
      </c>
      <c r="Y269" t="str">
        <f>LEFT(F269,3)&amp;MID(B269,2,3)&amp;LEFT(I269,2)</f>
        <v>Kav008Mu</v>
      </c>
      <c r="Z269" t="str">
        <f>IF(ISNUMBER(SEARCH("@",T269)),LOWER(TRIM(T269)),"invalid email")</f>
        <v>kavya.nair@company.com</v>
      </c>
      <c r="AA269">
        <f ca="1">IF(H268="","",IFERROR(DATEDIF(IF(ISNUMBER(H268),H268,DATE(VALUE(RIGHT(H268,4)),VALUE(MID(H268,3,2)),VALUE(LEFT(H268,2)))),TODAY(),"Y"),""))</f>
        <v>35</v>
      </c>
      <c r="AB269" t="str">
        <f>IF(OR(D269="",E269=""),"",IFERROR(DATE(MID(E269,7,4),MID(E269,4,2),LEFT(E269,2))-DATE(MID(D269,7,4),MID(D269,4,2),LEFT(D269,2)),""))</f>
        <v/>
      </c>
      <c r="AC269" t="str">
        <f>IF(E269="","Pending",IF(AB269&lt;=5,"On time","Delayed"))</f>
        <v>Delayed</v>
      </c>
      <c r="AD269" s="29" t="str">
        <f>IF(TRIM(S269)="","Not Assigned",S269)</f>
        <v>Neha</v>
      </c>
      <c r="AE269" t="str">
        <f>PROPER(TRIM(F269))</f>
        <v>Kavya Nair</v>
      </c>
      <c r="AF269" t="str">
        <f>PROPER(TRIM(K269))</f>
        <v>Stationery</v>
      </c>
      <c r="AG269" t="str">
        <f>PROPER(TRIM(J269))</f>
        <v>West</v>
      </c>
      <c r="AH269" t="str">
        <f t="shared" si="8"/>
        <v>Stationery</v>
      </c>
      <c r="AI269" t="str">
        <f t="shared" si="9"/>
        <v>Stationery</v>
      </c>
      <c r="AK269">
        <f>IF(COUNTIF($A$2:A269,A269)=1,1,0)</f>
        <v>1</v>
      </c>
    </row>
    <row r="270" spans="1:37">
      <c r="A270" s="4" t="s">
        <v>807</v>
      </c>
      <c r="B270" s="5" t="s">
        <v>275</v>
      </c>
      <c r="C270" s="5" t="s">
        <v>294</v>
      </c>
      <c r="D270" s="6">
        <v>46116</v>
      </c>
      <c r="E270" s="5" t="s">
        <v>45</v>
      </c>
      <c r="F270" s="5" t="s">
        <v>328</v>
      </c>
      <c r="G270" s="5" t="s">
        <v>269</v>
      </c>
      <c r="H270" s="6">
        <v>31110</v>
      </c>
      <c r="I270" s="5" t="s">
        <v>342</v>
      </c>
      <c r="J270" s="5" t="s">
        <v>261</v>
      </c>
      <c r="K270" s="5" t="s">
        <v>295</v>
      </c>
      <c r="L270" s="5" t="s">
        <v>296</v>
      </c>
      <c r="M270" s="5">
        <v>1</v>
      </c>
      <c r="N270" s="5">
        <v>60</v>
      </c>
      <c r="O270" s="5">
        <v>15</v>
      </c>
      <c r="P270" s="5">
        <v>51</v>
      </c>
      <c r="Q270" s="5">
        <v>2</v>
      </c>
      <c r="R270" s="5" t="s">
        <v>272</v>
      </c>
      <c r="S270" s="5" t="s">
        <v>246</v>
      </c>
      <c r="T270" s="5" t="s">
        <v>278</v>
      </c>
      <c r="U270" s="5">
        <v>9648541985</v>
      </c>
      <c r="V270" s="8" t="s">
        <v>265</v>
      </c>
      <c r="W270" t="str">
        <f>IF(OR(Q270&lt;=2,V270="Cancelled"),"Blacklisted",IF(AND(P270&gt;100000,Q270&gt;=4,O270&lt;=10%,V270="Completed"),"Platinum",IF(AND(P270&gt;=50000,Q270&gt;=3,V270="Completed"),"Gold",IF(AND(P270&lt;50000,V270="Completed"),"Silver",""))))</f>
        <v>Blacklisted</v>
      </c>
      <c r="X270" t="str">
        <f>PROPER(TRIM(F270))</f>
        <v>Arjun Rao</v>
      </c>
      <c r="Y270" t="str">
        <f>LEFT(F270,3)&amp;MID(B270,2,3)&amp;LEFT(I270,2)</f>
        <v>Arj007Ja</v>
      </c>
      <c r="Z270" t="str">
        <f>IF(ISNUMBER(SEARCH("@",T270)),LOWER(TRIM(T270)),"invalid email")</f>
        <v>arjun.rao@company.com</v>
      </c>
      <c r="AA270" t="str">
        <f ca="1">IF(H269="","",IFERROR(DATEDIF(IF(ISNUMBER(H269),H269,DATE(VALUE(RIGHT(H269,4)),VALUE(MID(H269,3,2)),VALUE(LEFT(H269,2)))),TODAY(),"Y"),""))</f>
        <v/>
      </c>
      <c r="AB270" t="str">
        <f>IF(OR(D270="",E270=""),"",IFERROR(DATE(MID(E270,7,4),MID(E270,4,2),LEFT(E270,2))-DATE(MID(D270,7,4),MID(D270,4,2),LEFT(D270,2)),""))</f>
        <v/>
      </c>
      <c r="AC270" t="str">
        <f>IF(E270="","Pending",IF(AB270&lt;=5,"On time","Delayed"))</f>
        <v>Delayed</v>
      </c>
      <c r="AD270" s="29" t="str">
        <f>IF(TRIM(S270)="","Not Assigned",S270)</f>
        <v>Aisha</v>
      </c>
      <c r="AE270" t="str">
        <f>PROPER(TRIM(F270))</f>
        <v>Arjun Rao</v>
      </c>
      <c r="AF270" t="str">
        <f>PROPER(TRIM(K270))</f>
        <v>Stationery</v>
      </c>
      <c r="AG270" t="str">
        <f>PROPER(TRIM(J270))</f>
        <v>North</v>
      </c>
      <c r="AH270" t="str">
        <f t="shared" si="8"/>
        <v>Stationery</v>
      </c>
      <c r="AI270" t="str">
        <f t="shared" si="9"/>
        <v>Stationery</v>
      </c>
      <c r="AK270">
        <f>IF(COUNTIF($A$2:A270,A270)=1,1,0)</f>
        <v>1</v>
      </c>
    </row>
    <row r="271" spans="1:37">
      <c r="A271" s="9" t="s">
        <v>808</v>
      </c>
      <c r="B271" s="10" t="s">
        <v>235</v>
      </c>
      <c r="C271" s="10" t="s">
        <v>347</v>
      </c>
      <c r="D271" s="10" t="s">
        <v>113</v>
      </c>
      <c r="E271" s="10" t="s">
        <v>661</v>
      </c>
      <c r="F271" s="10" t="s">
        <v>318</v>
      </c>
      <c r="G271" s="10" t="s">
        <v>239</v>
      </c>
      <c r="H271" s="11">
        <v>27919</v>
      </c>
      <c r="I271" s="10" t="s">
        <v>291</v>
      </c>
      <c r="J271" s="10" t="s">
        <v>287</v>
      </c>
      <c r="K271" s="10" t="s">
        <v>295</v>
      </c>
      <c r="L271" s="10" t="s">
        <v>349</v>
      </c>
      <c r="M271" s="10">
        <v>5</v>
      </c>
      <c r="N271" s="10">
        <v>20</v>
      </c>
      <c r="O271" s="10">
        <v>5</v>
      </c>
      <c r="P271" s="10">
        <v>95</v>
      </c>
      <c r="Q271" s="10">
        <v>2</v>
      </c>
      <c r="R271" s="10" t="s">
        <v>245</v>
      </c>
      <c r="S271" s="10" t="s">
        <v>263</v>
      </c>
      <c r="T271" s="10" t="s">
        <v>247</v>
      </c>
      <c r="U271" s="10">
        <v>9175002781</v>
      </c>
      <c r="V271" s="12" t="s">
        <v>248</v>
      </c>
      <c r="W271" t="str">
        <f>IF(OR(Q271&lt;=2,V271="Cancelled"),"Blacklisted",IF(AND(P271&gt;100000,Q271&gt;=4,O271&lt;=10%,V271="Completed"),"Platinum",IF(AND(P271&gt;=50000,Q271&gt;=3,V271="Completed"),"Gold",IF(AND(P271&lt;50000,V271="Completed"),"Silver",""))))</f>
        <v>Blacklisted</v>
      </c>
      <c r="X271" t="str">
        <f>PROPER(TRIM(F271))</f>
        <v>Pooja Shah</v>
      </c>
      <c r="Y271" t="str">
        <f>LEFT(F271,3)&amp;MID(B271,2,3)&amp;LEFT(I271,2)</f>
        <v>Poo010Pu</v>
      </c>
      <c r="Z271" t="str">
        <f>IF(ISNUMBER(SEARCH("@",T271)),LOWER(TRIM(T271)),"invalid email")</f>
        <v>pooja.shah@company.com</v>
      </c>
      <c r="AA271">
        <f ca="1">IF(H270="","",IFERROR(DATEDIF(IF(ISNUMBER(H270),H270,DATE(VALUE(RIGHT(H270,4)),VALUE(MID(H270,3,2)),VALUE(LEFT(H270,2)))),TODAY(),"Y"),""))</f>
        <v>41</v>
      </c>
      <c r="AB271">
        <f>IF(OR(D271="",E271=""),"",IFERROR(DATE(MID(E271,7,4),MID(E271,4,2),LEFT(E271,2))-DATE(MID(D271,7,4),MID(D271,4,2),LEFT(D271,2)),""))</f>
        <v>6</v>
      </c>
      <c r="AC271" t="str">
        <f>IF(E271="","Pending",IF(AB271&lt;=5,"On time","Delayed"))</f>
        <v>Delayed</v>
      </c>
      <c r="AD271" s="29" t="str">
        <f>IF(TRIM(S271)="","Not Assigned",S271)</f>
        <v>Rahul</v>
      </c>
      <c r="AE271" t="str">
        <f>PROPER(TRIM(F271))</f>
        <v>Pooja Shah</v>
      </c>
      <c r="AF271" t="str">
        <f>PROPER(TRIM(K271))</f>
        <v>Stationery</v>
      </c>
      <c r="AG271" t="str">
        <f>PROPER(TRIM(J271))</f>
        <v>West</v>
      </c>
      <c r="AH271" t="str">
        <f t="shared" si="8"/>
        <v>Stationery</v>
      </c>
      <c r="AI271" t="str">
        <f t="shared" si="9"/>
        <v>Stationery</v>
      </c>
      <c r="AK271">
        <f>IF(COUNTIF($A$2:A271,A271)=1,1,0)</f>
        <v>1</v>
      </c>
    </row>
    <row r="272" spans="1:37">
      <c r="A272" s="4" t="s">
        <v>809</v>
      </c>
      <c r="B272" s="5" t="s">
        <v>346</v>
      </c>
      <c r="C272" s="5" t="s">
        <v>347</v>
      </c>
      <c r="D272" s="5" t="s">
        <v>79</v>
      </c>
      <c r="E272" s="5" t="s">
        <v>133</v>
      </c>
      <c r="F272" s="5" t="s">
        <v>348</v>
      </c>
      <c r="G272" s="5" t="s">
        <v>269</v>
      </c>
      <c r="H272" s="5" t="s">
        <v>810</v>
      </c>
      <c r="I272" s="5" t="s">
        <v>379</v>
      </c>
      <c r="J272" s="5" t="s">
        <v>21</v>
      </c>
      <c r="K272" s="5" t="s">
        <v>295</v>
      </c>
      <c r="L272" s="5" t="s">
        <v>349</v>
      </c>
      <c r="M272" s="5">
        <v>19</v>
      </c>
      <c r="N272" s="5">
        <v>20</v>
      </c>
      <c r="O272" s="5">
        <v>20</v>
      </c>
      <c r="P272" s="5">
        <v>304</v>
      </c>
      <c r="Q272" s="5">
        <v>3</v>
      </c>
      <c r="R272" s="5" t="s">
        <v>254</v>
      </c>
      <c r="S272" s="5" t="s">
        <v>255</v>
      </c>
      <c r="T272" s="5" t="s">
        <v>350</v>
      </c>
      <c r="U272" s="5">
        <v>9786241263</v>
      </c>
      <c r="V272" s="8" t="s">
        <v>265</v>
      </c>
      <c r="W272" t="str">
        <f>IF(OR(Q272&lt;=2,V272="Cancelled"),"Blacklisted",IF(AND(P272&gt;100000,Q272&gt;=4,O272&lt;=10%,V272="Completed"),"Platinum",IF(AND(P272&gt;=50000,Q272&gt;=3,V272="Completed"),"Gold",IF(AND(P272&lt;50000,V272="Completed"),"Silver",""))))</f>
        <v>Blacklisted</v>
      </c>
      <c r="X272" t="str">
        <f>PROPER(TRIM(F272))</f>
        <v>Vikas Mehta</v>
      </c>
      <c r="Y272" t="str">
        <f>LEFT(F272,3)&amp;MID(B272,2,3)&amp;LEFT(I272,2)</f>
        <v>Vik005Ko</v>
      </c>
      <c r="Z272" t="str">
        <f>IF(ISNUMBER(SEARCH("@",T272)),LOWER(TRIM(T272)),"invalid email")</f>
        <v>vikas.mehta@company.com</v>
      </c>
      <c r="AA272">
        <f ca="1">IF(H271="","",IFERROR(DATEDIF(IF(ISNUMBER(H271),H271,DATE(VALUE(RIGHT(H271,4)),VALUE(MID(H271,3,2)),VALUE(LEFT(H271,2)))),TODAY(),"Y"),""))</f>
        <v>50</v>
      </c>
      <c r="AB272">
        <f>IF(OR(D272="",E272=""),"",IFERROR(DATE(MID(E272,7,4),MID(E272,4,2),LEFT(E272,2))-DATE(MID(D272,7,4),MID(D272,4,2),LEFT(D272,2)),""))</f>
        <v>5</v>
      </c>
      <c r="AC272" t="str">
        <f>IF(E272="","Pending",IF(AB272&lt;=5,"On time","Delayed"))</f>
        <v>On time</v>
      </c>
      <c r="AD272" s="29" t="str">
        <f>IF(TRIM(S272)="","Not Assigned",S272)</f>
        <v>Ritika</v>
      </c>
      <c r="AE272" t="str">
        <f>PROPER(TRIM(F272))</f>
        <v>Vikas Mehta</v>
      </c>
      <c r="AF272" t="str">
        <f>PROPER(TRIM(K272))</f>
        <v>Stationery</v>
      </c>
      <c r="AG272" t="str">
        <f>PROPER(TRIM(J272))</f>
        <v>East</v>
      </c>
      <c r="AH272" t="str">
        <f t="shared" si="8"/>
        <v>Stationery</v>
      </c>
      <c r="AI272" t="str">
        <f t="shared" si="9"/>
        <v>Stationery</v>
      </c>
      <c r="AK272">
        <f>IF(COUNTIF($A$2:A272,A272)=1,1,0)</f>
        <v>1</v>
      </c>
    </row>
    <row r="273" spans="1:37">
      <c r="A273" s="9" t="s">
        <v>811</v>
      </c>
      <c r="B273" s="10" t="s">
        <v>284</v>
      </c>
      <c r="C273" s="10" t="s">
        <v>362</v>
      </c>
      <c r="D273" s="10" t="s">
        <v>184</v>
      </c>
      <c r="E273" s="11">
        <v>45842</v>
      </c>
      <c r="F273" s="10" t="s">
        <v>285</v>
      </c>
      <c r="G273" s="10" t="s">
        <v>239</v>
      </c>
      <c r="H273" s="10" t="s">
        <v>812</v>
      </c>
      <c r="I273" s="10" t="s">
        <v>306</v>
      </c>
      <c r="J273" s="10" t="s">
        <v>287</v>
      </c>
      <c r="K273" s="10" t="s">
        <v>295</v>
      </c>
      <c r="L273" s="10" t="s">
        <v>363</v>
      </c>
      <c r="M273" s="10">
        <v>17</v>
      </c>
      <c r="N273" s="10">
        <v>45</v>
      </c>
      <c r="O273" s="10">
        <v>5</v>
      </c>
      <c r="P273" s="10">
        <v>726.75</v>
      </c>
      <c r="Q273" s="10">
        <v>4</v>
      </c>
      <c r="R273" s="10" t="s">
        <v>254</v>
      </c>
      <c r="S273" s="10" t="s">
        <v>292</v>
      </c>
      <c r="T273" s="10" t="s">
        <v>308</v>
      </c>
      <c r="U273" s="10">
        <v>9691078176</v>
      </c>
      <c r="V273" s="12" t="s">
        <v>248</v>
      </c>
      <c r="W273" t="str">
        <f>IF(OR(Q273&lt;=2,V273="Cancelled"),"Blacklisted",IF(AND(P273&gt;100000,Q273&gt;=4,O273&lt;=10%,V273="Completed"),"Platinum",IF(AND(P273&gt;=50000,Q273&gt;=3,V273="Completed"),"Gold",IF(AND(P273&lt;50000,V273="Completed"),"Silver",""))))</f>
        <v/>
      </c>
      <c r="X273" t="str">
        <f>PROPER(TRIM(F273))</f>
        <v>Priya Patel</v>
      </c>
      <c r="Y273" t="str">
        <f>LEFT(F273,3)&amp;MID(B273,2,3)&amp;LEFT(I273,2)</f>
        <v>Pri002Ah</v>
      </c>
      <c r="Z273" t="str">
        <f>IF(ISNUMBER(SEARCH("@",T273)),LOWER(TRIM(T273)),"invalid email")</f>
        <v>priya.patel@company.com</v>
      </c>
      <c r="AA273" t="str">
        <f ca="1">IF(H272="","",IFERROR(DATEDIF(IF(ISNUMBER(H272),H272,DATE(VALUE(RIGHT(H272,4)),VALUE(MID(H272,3,2)),VALUE(LEFT(H272,2)))),TODAY(),"Y"),""))</f>
        <v/>
      </c>
      <c r="AB273" t="str">
        <f>IF(OR(D273="",E273=""),"",IFERROR(DATE(MID(E273,7,4),MID(E273,4,2),LEFT(E273,2))-DATE(MID(D273,7,4),MID(D273,4,2),LEFT(D273,2)),""))</f>
        <v/>
      </c>
      <c r="AC273" t="str">
        <f>IF(E273="","Pending",IF(AB273&lt;=5,"On time","Delayed"))</f>
        <v>Delayed</v>
      </c>
      <c r="AD273" s="29" t="str">
        <f>IF(TRIM(S273)="","Not Assigned",S273)</f>
        <v>Neha</v>
      </c>
      <c r="AE273" t="str">
        <f>PROPER(TRIM(F273))</f>
        <v>Priya Patel</v>
      </c>
      <c r="AF273" t="str">
        <f>PROPER(TRIM(K273))</f>
        <v>Stationery</v>
      </c>
      <c r="AG273" t="str">
        <f>PROPER(TRIM(J273))</f>
        <v>West</v>
      </c>
      <c r="AH273" t="str">
        <f t="shared" si="8"/>
        <v>Stationery</v>
      </c>
      <c r="AI273" t="str">
        <f t="shared" si="9"/>
        <v>Stationery</v>
      </c>
      <c r="AK273">
        <f>IF(COUNTIF($A$2:A273,A273)=1,1,0)</f>
        <v>1</v>
      </c>
    </row>
    <row r="274" spans="1:37">
      <c r="A274" s="4" t="s">
        <v>813</v>
      </c>
      <c r="B274" s="5" t="s">
        <v>275</v>
      </c>
      <c r="C274" s="5" t="s">
        <v>330</v>
      </c>
      <c r="D274" s="5" t="s">
        <v>65</v>
      </c>
      <c r="E274" s="5" t="s">
        <v>108</v>
      </c>
      <c r="F274" s="5" t="s">
        <v>328</v>
      </c>
      <c r="G274" s="5" t="s">
        <v>269</v>
      </c>
      <c r="H274" s="5" t="s">
        <v>814</v>
      </c>
      <c r="I274" s="5" t="s">
        <v>241</v>
      </c>
      <c r="J274" s="5" t="s">
        <v>242</v>
      </c>
      <c r="K274" s="5" t="s">
        <v>243</v>
      </c>
      <c r="L274" s="5" t="s">
        <v>333</v>
      </c>
      <c r="M274" s="5">
        <v>8</v>
      </c>
      <c r="N274" s="5">
        <v>700</v>
      </c>
      <c r="O274" s="5">
        <v>15</v>
      </c>
      <c r="P274" s="5">
        <v>4760</v>
      </c>
      <c r="Q274" s="5">
        <v>4</v>
      </c>
      <c r="R274" s="5" t="s">
        <v>245</v>
      </c>
      <c r="S274" s="5" t="s">
        <v>255</v>
      </c>
      <c r="T274" s="5" t="s">
        <v>278</v>
      </c>
      <c r="U274" s="5">
        <v>9336679085</v>
      </c>
      <c r="V274" s="8" t="s">
        <v>248</v>
      </c>
      <c r="W274" t="str">
        <f>IF(OR(Q274&lt;=2,V274="Cancelled"),"Blacklisted",IF(AND(P274&gt;100000,Q274&gt;=4,O274&lt;=10%,V274="Completed"),"Platinum",IF(AND(P274&gt;=50000,Q274&gt;=3,V274="Completed"),"Gold",IF(AND(P274&lt;50000,V274="Completed"),"Silver",""))))</f>
        <v/>
      </c>
      <c r="X274" t="str">
        <f>PROPER(TRIM(F274))</f>
        <v>Arjun Rao</v>
      </c>
      <c r="Y274" t="str">
        <f>LEFT(F274,3)&amp;MID(B274,2,3)&amp;LEFT(I274,2)</f>
        <v>Arj007Be</v>
      </c>
      <c r="Z274" t="str">
        <f>IF(ISNUMBER(SEARCH("@",T274)),LOWER(TRIM(T274)),"invalid email")</f>
        <v>arjun.rao@company.com</v>
      </c>
      <c r="AA274" t="str">
        <f ca="1">IF(H273="","",IFERROR(DATEDIF(IF(ISNUMBER(H273),H273,DATE(VALUE(RIGHT(H273,4)),VALUE(MID(H273,3,2)),VALUE(LEFT(H273,2)))),TODAY(),"Y"),""))</f>
        <v/>
      </c>
      <c r="AB274">
        <f>IF(OR(D274="",E274=""),"",IFERROR(DATE(MID(E274,7,4),MID(E274,4,2),LEFT(E274,2))-DATE(MID(D274,7,4),MID(D274,4,2),LEFT(D274,2)),""))</f>
        <v>4</v>
      </c>
      <c r="AC274" t="str">
        <f>IF(E274="","Pending",IF(AB274&lt;=5,"On time","Delayed"))</f>
        <v>On time</v>
      </c>
      <c r="AD274" s="29" t="str">
        <f>IF(TRIM(S274)="","Not Assigned",S274)</f>
        <v>Ritika</v>
      </c>
      <c r="AE274" t="str">
        <f>PROPER(TRIM(F274))</f>
        <v>Arjun Rao</v>
      </c>
      <c r="AF274" t="str">
        <f>PROPER(TRIM(K274))</f>
        <v>Electronics</v>
      </c>
      <c r="AG274" t="str">
        <f>PROPER(TRIM(J274))</f>
        <v>South</v>
      </c>
      <c r="AH274" t="str">
        <f t="shared" si="8"/>
        <v>Electronics</v>
      </c>
      <c r="AI274" t="str">
        <f t="shared" si="9"/>
        <v>Electronics</v>
      </c>
      <c r="AK274">
        <f>IF(COUNTIF($A$2:A274,A274)=1,1,0)</f>
        <v>1</v>
      </c>
    </row>
    <row r="275" spans="1:37">
      <c r="A275" s="9" t="s">
        <v>815</v>
      </c>
      <c r="B275" s="10" t="s">
        <v>321</v>
      </c>
      <c r="C275" s="10" t="s">
        <v>250</v>
      </c>
      <c r="D275" s="10" t="s">
        <v>97</v>
      </c>
      <c r="E275" s="10" t="s">
        <v>816</v>
      </c>
      <c r="F275" s="10" t="s">
        <v>408</v>
      </c>
      <c r="G275" s="10" t="s">
        <v>239</v>
      </c>
      <c r="H275" s="10" t="s">
        <v>817</v>
      </c>
      <c r="I275" s="10" t="s">
        <v>286</v>
      </c>
      <c r="J275" s="10" t="s">
        <v>287</v>
      </c>
      <c r="K275" s="10" t="s">
        <v>15</v>
      </c>
      <c r="L275" s="10" t="s">
        <v>253</v>
      </c>
      <c r="M275" s="10">
        <v>15</v>
      </c>
      <c r="N275" s="10">
        <v>2200</v>
      </c>
      <c r="O275" s="10">
        <v>10</v>
      </c>
      <c r="P275" s="10">
        <v>29700</v>
      </c>
      <c r="Q275" s="10">
        <v>5</v>
      </c>
      <c r="R275" s="10" t="s">
        <v>277</v>
      </c>
      <c r="S275" s="10" t="s">
        <v>312</v>
      </c>
      <c r="T275" s="10" t="s">
        <v>326</v>
      </c>
      <c r="U275" s="10">
        <v>9497351043</v>
      </c>
      <c r="V275" s="12" t="s">
        <v>257</v>
      </c>
      <c r="W275" t="str">
        <f>IF(OR(Q275&lt;=2,V275="Cancelled"),"Blacklisted",IF(AND(P275&gt;100000,Q275&gt;=4,O275&lt;=10%,V275="Completed"),"Platinum",IF(AND(P275&gt;=50000,Q275&gt;=3,V275="Completed"),"Gold",IF(AND(P275&lt;50000,V275="Completed"),"Silver",""))))</f>
        <v>Silver</v>
      </c>
      <c r="X275" t="str">
        <f>PROPER(TRIM(F275))</f>
        <v>Anita Gupta</v>
      </c>
      <c r="Y275" t="str">
        <f>LEFT(F275,3)&amp;MID(B275,2,3)&amp;LEFT(I275,2)</f>
        <v>Ani004Mu</v>
      </c>
      <c r="Z275" t="str">
        <f>IF(ISNUMBER(SEARCH("@",T275)),LOWER(TRIM(T275)),"invalid email")</f>
        <v>anita.gupta@company.com</v>
      </c>
      <c r="AA275" t="str">
        <f ca="1">IF(H274="","",IFERROR(DATEDIF(IF(ISNUMBER(H274),H274,DATE(VALUE(RIGHT(H274,4)),VALUE(MID(H274,3,2)),VALUE(LEFT(H274,2)))),TODAY(),"Y"),""))</f>
        <v/>
      </c>
      <c r="AB275">
        <f>IF(OR(D275="",E275=""),"",IFERROR(DATE(MID(E275,7,4),MID(E275,4,2),LEFT(E275,2))-DATE(MID(D275,7,4),MID(D275,4,2),LEFT(D275,2)),""))</f>
        <v>8</v>
      </c>
      <c r="AC275" t="str">
        <f>IF(E275="","Pending",IF(AB275&lt;=5,"On time","Delayed"))</f>
        <v>Delayed</v>
      </c>
      <c r="AD275" s="29" t="str">
        <f>IF(TRIM(S275)="","Not Assigned",S275)</f>
        <v>Karan</v>
      </c>
      <c r="AE275" t="str">
        <f>PROPER(TRIM(F275))</f>
        <v>Anita Gupta</v>
      </c>
      <c r="AF275" t="str">
        <f>PROPER(TRIM(K275))</f>
        <v>Home Appliances</v>
      </c>
      <c r="AG275" t="str">
        <f>PROPER(TRIM(J275))</f>
        <v>West</v>
      </c>
      <c r="AH275" t="str">
        <f t="shared" si="8"/>
        <v>Home Appliances</v>
      </c>
      <c r="AI275" t="str">
        <f t="shared" si="9"/>
        <v>Home Appliances</v>
      </c>
      <c r="AK275">
        <f>IF(COUNTIF($A$2:A275,A275)=1,1,0)</f>
        <v>1</v>
      </c>
    </row>
    <row r="276" spans="1:37">
      <c r="A276" s="4" t="s">
        <v>818</v>
      </c>
      <c r="B276" s="5" t="s">
        <v>284</v>
      </c>
      <c r="C276" s="5" t="s">
        <v>250</v>
      </c>
      <c r="D276" s="5" t="s">
        <v>61</v>
      </c>
      <c r="E276" s="5" t="s">
        <v>190</v>
      </c>
      <c r="F276" s="5" t="s">
        <v>285</v>
      </c>
      <c r="G276" s="5" t="s">
        <v>239</v>
      </c>
      <c r="H276" s="5" t="s">
        <v>819</v>
      </c>
      <c r="I276" s="5" t="s">
        <v>286</v>
      </c>
      <c r="J276" s="5" t="s">
        <v>287</v>
      </c>
      <c r="K276" s="5" t="s">
        <v>15</v>
      </c>
      <c r="L276" s="5" t="s">
        <v>253</v>
      </c>
      <c r="M276" s="5">
        <v>1</v>
      </c>
      <c r="N276" s="5">
        <v>2200</v>
      </c>
      <c r="O276" s="5">
        <v>0</v>
      </c>
      <c r="P276" s="5">
        <v>2200</v>
      </c>
      <c r="Q276" s="5">
        <v>4</v>
      </c>
      <c r="R276" s="5" t="s">
        <v>254</v>
      </c>
      <c r="S276" s="5" t="s">
        <v>263</v>
      </c>
      <c r="T276" s="5" t="s">
        <v>308</v>
      </c>
      <c r="U276" s="5">
        <v>9357038998</v>
      </c>
      <c r="V276" s="8" t="s">
        <v>265</v>
      </c>
      <c r="W276" t="str">
        <f>IF(OR(Q276&lt;=2,V276="Cancelled"),"Blacklisted",IF(AND(P276&gt;100000,Q276&gt;=4,O276&lt;=10%,V276="Completed"),"Platinum",IF(AND(P276&gt;=50000,Q276&gt;=3,V276="Completed"),"Gold",IF(AND(P276&lt;50000,V276="Completed"),"Silver",""))))</f>
        <v>Blacklisted</v>
      </c>
      <c r="X276" t="str">
        <f>PROPER(TRIM(F276))</f>
        <v>Priya Patel</v>
      </c>
      <c r="Y276" t="str">
        <f>LEFT(F276,3)&amp;MID(B276,2,3)&amp;LEFT(I276,2)</f>
        <v>Pri002Mu</v>
      </c>
      <c r="Z276" t="str">
        <f>IF(ISNUMBER(SEARCH("@",T276)),LOWER(TRIM(T276)),"invalid email")</f>
        <v>priya.patel@company.com</v>
      </c>
      <c r="AA276" t="str">
        <f ca="1">IF(H275="","",IFERROR(DATEDIF(IF(ISNUMBER(H275),H275,DATE(VALUE(RIGHT(H275,4)),VALUE(MID(H275,3,2)),VALUE(LEFT(H275,2)))),TODAY(),"Y"),""))</f>
        <v/>
      </c>
      <c r="AB276">
        <f>IF(OR(D276="",E276=""),"",IFERROR(DATE(MID(E276,7,4),MID(E276,4,2),LEFT(E276,2))-DATE(MID(D276,7,4),MID(D276,4,2),LEFT(D276,2)),""))</f>
        <v>12</v>
      </c>
      <c r="AC276" t="str">
        <f>IF(E276="","Pending",IF(AB276&lt;=5,"On time","Delayed"))</f>
        <v>Delayed</v>
      </c>
      <c r="AD276" s="29" t="str">
        <f>IF(TRIM(S276)="","Not Assigned",S276)</f>
        <v>Rahul</v>
      </c>
      <c r="AE276" t="str">
        <f>PROPER(TRIM(F276))</f>
        <v>Priya Patel</v>
      </c>
      <c r="AF276" t="str">
        <f>PROPER(TRIM(K276))</f>
        <v>Home Appliances</v>
      </c>
      <c r="AG276" t="str">
        <f>PROPER(TRIM(J276))</f>
        <v>West</v>
      </c>
      <c r="AH276" t="str">
        <f t="shared" si="8"/>
        <v>Home Appliances</v>
      </c>
      <c r="AI276" t="str">
        <f t="shared" si="9"/>
        <v>Home Appliances</v>
      </c>
      <c r="AK276">
        <f>IF(COUNTIF($A$2:A276,A276)=1,1,0)</f>
        <v>1</v>
      </c>
    </row>
    <row r="277" spans="1:37">
      <c r="A277" s="9" t="s">
        <v>820</v>
      </c>
      <c r="B277" s="10" t="s">
        <v>358</v>
      </c>
      <c r="C277" s="10" t="s">
        <v>280</v>
      </c>
      <c r="D277" s="10" t="s">
        <v>80</v>
      </c>
      <c r="E277" s="10" t="s">
        <v>821</v>
      </c>
      <c r="F277" s="10" t="s">
        <v>359</v>
      </c>
      <c r="G277" s="10" t="s">
        <v>239</v>
      </c>
      <c r="H277" s="10" t="s">
        <v>822</v>
      </c>
      <c r="I277" s="10" t="s">
        <v>306</v>
      </c>
      <c r="J277" s="10" t="s">
        <v>287</v>
      </c>
      <c r="K277" s="10" t="s">
        <v>15</v>
      </c>
      <c r="L277" s="10" t="s">
        <v>282</v>
      </c>
      <c r="M277" s="10">
        <v>10</v>
      </c>
      <c r="N277" s="10">
        <v>3500</v>
      </c>
      <c r="O277" s="10">
        <v>10</v>
      </c>
      <c r="P277" s="10">
        <v>31500</v>
      </c>
      <c r="Q277" s="10">
        <v>4</v>
      </c>
      <c r="R277" s="10" t="s">
        <v>245</v>
      </c>
      <c r="S277" s="10" t="s">
        <v>255</v>
      </c>
      <c r="T277" s="10" t="s">
        <v>360</v>
      </c>
      <c r="U277" s="10">
        <v>9986371291</v>
      </c>
      <c r="V277" s="12" t="s">
        <v>265</v>
      </c>
      <c r="W277" t="str">
        <f>IF(OR(Q277&lt;=2,V277="Cancelled"),"Blacklisted",IF(AND(P277&gt;100000,Q277&gt;=4,O277&lt;=10%,V277="Completed"),"Platinum",IF(AND(P277&gt;=50000,Q277&gt;=3,V277="Completed"),"Gold",IF(AND(P277&lt;50000,V277="Completed"),"Silver",""))))</f>
        <v>Blacklisted</v>
      </c>
      <c r="X277" t="str">
        <f>PROPER(TRIM(F277))</f>
        <v>Sneha Joshi</v>
      </c>
      <c r="Y277" t="str">
        <f>LEFT(F277,3)&amp;MID(B277,2,3)&amp;LEFT(I277,2)</f>
        <v>Sne006Ah</v>
      </c>
      <c r="Z277" t="str">
        <f>IF(ISNUMBER(SEARCH("@",T277)),LOWER(TRIM(T277)),"invalid email")</f>
        <v>sneha.joshi@company.com</v>
      </c>
      <c r="AA277" t="str">
        <f ca="1">IF(H276="","",IFERROR(DATEDIF(IF(ISNUMBER(H276),H276,DATE(VALUE(RIGHT(H276,4)),VALUE(MID(H276,3,2)),VALUE(LEFT(H276,2)))),TODAY(),"Y"),""))</f>
        <v/>
      </c>
      <c r="AB277">
        <f>IF(OR(D277="",E277=""),"",IFERROR(DATE(MID(E277,7,4),MID(E277,4,2),LEFT(E277,2))-DATE(MID(D277,7,4),MID(D277,4,2),LEFT(D277,2)),""))</f>
        <v>11</v>
      </c>
      <c r="AC277" t="str">
        <f>IF(E277="","Pending",IF(AB277&lt;=5,"On time","Delayed"))</f>
        <v>Delayed</v>
      </c>
      <c r="AD277" s="29" t="str">
        <f>IF(TRIM(S277)="","Not Assigned",S277)</f>
        <v>Ritika</v>
      </c>
      <c r="AE277" t="str">
        <f>PROPER(TRIM(F277))</f>
        <v>Sneha Joshi</v>
      </c>
      <c r="AF277" t="str">
        <f>PROPER(TRIM(K277))</f>
        <v>Home Appliances</v>
      </c>
      <c r="AG277" t="str">
        <f>PROPER(TRIM(J277))</f>
        <v>West</v>
      </c>
      <c r="AH277" t="str">
        <f t="shared" si="8"/>
        <v>Home Appliances</v>
      </c>
      <c r="AI277" t="str">
        <f t="shared" si="9"/>
        <v>Home Appliances</v>
      </c>
      <c r="AK277">
        <f>IF(COUNTIF($A$2:A277,A277)=1,1,0)</f>
        <v>1</v>
      </c>
    </row>
    <row r="278" spans="1:37">
      <c r="A278" s="4" t="s">
        <v>823</v>
      </c>
      <c r="B278" s="5" t="s">
        <v>266</v>
      </c>
      <c r="C278" s="5" t="s">
        <v>280</v>
      </c>
      <c r="D278" s="6">
        <v>45996</v>
      </c>
      <c r="E278" s="5" t="s">
        <v>46</v>
      </c>
      <c r="F278" s="5" t="s">
        <v>268</v>
      </c>
      <c r="G278" s="5" t="s">
        <v>269</v>
      </c>
      <c r="H278" s="6">
        <v>33271</v>
      </c>
      <c r="I278" s="5" t="s">
        <v>342</v>
      </c>
      <c r="J278" s="5" t="s">
        <v>261</v>
      </c>
      <c r="K278" s="5" t="s">
        <v>15</v>
      </c>
      <c r="L278" s="5" t="s">
        <v>282</v>
      </c>
      <c r="M278" s="5">
        <v>16</v>
      </c>
      <c r="N278" s="5">
        <v>3500</v>
      </c>
      <c r="O278" s="5">
        <v>15</v>
      </c>
      <c r="P278" s="5">
        <v>47600</v>
      </c>
      <c r="Q278" s="5">
        <v>1</v>
      </c>
      <c r="R278" s="5" t="s">
        <v>272</v>
      </c>
      <c r="S278" s="5" t="s">
        <v>292</v>
      </c>
      <c r="T278" s="5" t="s">
        <v>273</v>
      </c>
      <c r="U278" s="5">
        <v>9397839191</v>
      </c>
      <c r="V278" s="8" t="s">
        <v>248</v>
      </c>
      <c r="W278" t="str">
        <f>IF(OR(Q278&lt;=2,V278="Cancelled"),"Blacklisted",IF(AND(P278&gt;100000,Q278&gt;=4,O278&lt;=10%,V278="Completed"),"Platinum",IF(AND(P278&gt;=50000,Q278&gt;=3,V278="Completed"),"Gold",IF(AND(P278&lt;50000,V278="Completed"),"Silver",""))))</f>
        <v>Blacklisted</v>
      </c>
      <c r="X278" t="str">
        <f>PROPER(TRIM(F278))</f>
        <v>Mohit Verma</v>
      </c>
      <c r="Y278" t="str">
        <f>LEFT(F278,3)&amp;MID(B278,2,3)&amp;LEFT(I278,2)</f>
        <v>Moh009Ja</v>
      </c>
      <c r="Z278" t="str">
        <f>IF(ISNUMBER(SEARCH("@",T278)),LOWER(TRIM(T278)),"invalid email")</f>
        <v>mohit.verma@company.com</v>
      </c>
      <c r="AA278" t="str">
        <f ca="1">IF(H277="","",IFERROR(DATEDIF(IF(ISNUMBER(H277),H277,DATE(VALUE(RIGHT(H277,4)),VALUE(MID(H277,3,2)),VALUE(LEFT(H277,2)))),TODAY(),"Y"),""))</f>
        <v/>
      </c>
      <c r="AB278" t="str">
        <f>IF(OR(D278="",E278=""),"",IFERROR(DATE(MID(E278,7,4),MID(E278,4,2),LEFT(E278,2))-DATE(MID(D278,7,4),MID(D278,4,2),LEFT(D278,2)),""))</f>
        <v/>
      </c>
      <c r="AC278" t="str">
        <f>IF(E278="","Pending",IF(AB278&lt;=5,"On time","Delayed"))</f>
        <v>Delayed</v>
      </c>
      <c r="AD278" s="29" t="str">
        <f>IF(TRIM(S278)="","Not Assigned",S278)</f>
        <v>Neha</v>
      </c>
      <c r="AE278" t="str">
        <f>PROPER(TRIM(F278))</f>
        <v>Mohit Verma</v>
      </c>
      <c r="AF278" t="str">
        <f>PROPER(TRIM(K278))</f>
        <v>Home Appliances</v>
      </c>
      <c r="AG278" t="str">
        <f>PROPER(TRIM(J278))</f>
        <v>North</v>
      </c>
      <c r="AH278" t="str">
        <f t="shared" si="8"/>
        <v>Home Appliances</v>
      </c>
      <c r="AI278" t="str">
        <f t="shared" si="9"/>
        <v>Home Appliances</v>
      </c>
      <c r="AK278">
        <f>IF(COUNTIF($A$2:A278,A278)=1,1,0)</f>
        <v>1</v>
      </c>
    </row>
    <row r="279" spans="1:37">
      <c r="A279" s="9" t="s">
        <v>824</v>
      </c>
      <c r="B279" s="10" t="s">
        <v>358</v>
      </c>
      <c r="C279" s="10" t="s">
        <v>258</v>
      </c>
      <c r="D279" s="11">
        <v>45817</v>
      </c>
      <c r="E279" s="10" t="s">
        <v>70</v>
      </c>
      <c r="F279" s="10" t="s">
        <v>359</v>
      </c>
      <c r="G279" s="10" t="s">
        <v>239</v>
      </c>
      <c r="H279" s="11">
        <v>28741</v>
      </c>
      <c r="I279" s="10" t="s">
        <v>342</v>
      </c>
      <c r="J279" s="10" t="s">
        <v>261</v>
      </c>
      <c r="K279" s="10" t="s">
        <v>243</v>
      </c>
      <c r="L279" s="10" t="s">
        <v>262</v>
      </c>
      <c r="M279" s="10">
        <v>1</v>
      </c>
      <c r="N279" s="10">
        <v>12000</v>
      </c>
      <c r="O279" s="10">
        <v>0</v>
      </c>
      <c r="P279" s="10">
        <v>12000</v>
      </c>
      <c r="Q279" s="10">
        <v>4</v>
      </c>
      <c r="R279" s="10" t="s">
        <v>245</v>
      </c>
      <c r="S279" s="10" t="s">
        <v>292</v>
      </c>
      <c r="T279" s="10" t="s">
        <v>360</v>
      </c>
      <c r="U279" s="10">
        <v>9162975843</v>
      </c>
      <c r="V279" s="12" t="s">
        <v>265</v>
      </c>
      <c r="W279" t="str">
        <f>IF(OR(Q279&lt;=2,V279="Cancelled"),"Blacklisted",IF(AND(P279&gt;100000,Q279&gt;=4,O279&lt;=10%,V279="Completed"),"Platinum",IF(AND(P279&gt;=50000,Q279&gt;=3,V279="Completed"),"Gold",IF(AND(P279&lt;50000,V279="Completed"),"Silver",""))))</f>
        <v>Blacklisted</v>
      </c>
      <c r="X279" t="str">
        <f>PROPER(TRIM(F279))</f>
        <v>Sneha Joshi</v>
      </c>
      <c r="Y279" t="str">
        <f>LEFT(F279,3)&amp;MID(B279,2,3)&amp;LEFT(I279,2)</f>
        <v>Sne006Ja</v>
      </c>
      <c r="Z279" t="str">
        <f>IF(ISNUMBER(SEARCH("@",T279)),LOWER(TRIM(T279)),"invalid email")</f>
        <v>sneha.joshi@company.com</v>
      </c>
      <c r="AA279">
        <f ca="1">IF(H278="","",IFERROR(DATEDIF(IF(ISNUMBER(H278),H278,DATE(VALUE(RIGHT(H278,4)),VALUE(MID(H278,3,2)),VALUE(LEFT(H278,2)))),TODAY(),"Y"),""))</f>
        <v>35</v>
      </c>
      <c r="AB279" t="str">
        <f>IF(OR(D279="",E279=""),"",IFERROR(DATE(MID(E279,7,4),MID(E279,4,2),LEFT(E279,2))-DATE(MID(D279,7,4),MID(D279,4,2),LEFT(D279,2)),""))</f>
        <v/>
      </c>
      <c r="AC279" t="str">
        <f>IF(E279="","Pending",IF(AB279&lt;=5,"On time","Delayed"))</f>
        <v>Delayed</v>
      </c>
      <c r="AD279" s="29" t="str">
        <f>IF(TRIM(S279)="","Not Assigned",S279)</f>
        <v>Neha</v>
      </c>
      <c r="AE279" t="str">
        <f>PROPER(TRIM(F279))</f>
        <v>Sneha Joshi</v>
      </c>
      <c r="AF279" t="str">
        <f>PROPER(TRIM(K279))</f>
        <v>Electronics</v>
      </c>
      <c r="AG279" t="str">
        <f>PROPER(TRIM(J279))</f>
        <v>North</v>
      </c>
      <c r="AH279" t="str">
        <f t="shared" si="8"/>
        <v>Electronics</v>
      </c>
      <c r="AI279" t="str">
        <f t="shared" si="9"/>
        <v>Electronics</v>
      </c>
      <c r="AK279">
        <f>IF(COUNTIF($A$2:A279,A279)=1,1,0)</f>
        <v>1</v>
      </c>
    </row>
    <row r="280" spans="1:37">
      <c r="A280" s="4" t="s">
        <v>825</v>
      </c>
      <c r="B280" s="5" t="s">
        <v>275</v>
      </c>
      <c r="C280" s="5" t="s">
        <v>330</v>
      </c>
      <c r="D280" s="5" t="s">
        <v>122</v>
      </c>
      <c r="E280" s="5" t="s">
        <v>511</v>
      </c>
      <c r="F280" s="5" t="s">
        <v>328</v>
      </c>
      <c r="G280" s="5" t="s">
        <v>269</v>
      </c>
      <c r="H280" s="6">
        <v>34367</v>
      </c>
      <c r="I280" s="5" t="s">
        <v>286</v>
      </c>
      <c r="J280" s="5" t="s">
        <v>287</v>
      </c>
      <c r="K280" s="5" t="s">
        <v>243</v>
      </c>
      <c r="L280" s="5" t="s">
        <v>333</v>
      </c>
      <c r="M280" s="5">
        <v>6</v>
      </c>
      <c r="N280" s="5">
        <v>700</v>
      </c>
      <c r="O280" s="5">
        <v>20</v>
      </c>
      <c r="P280" s="5">
        <v>3360</v>
      </c>
      <c r="Q280" s="5">
        <v>2</v>
      </c>
      <c r="R280" s="5" t="s">
        <v>245</v>
      </c>
      <c r="S280" s="5" t="s">
        <v>292</v>
      </c>
      <c r="T280" s="5" t="s">
        <v>278</v>
      </c>
      <c r="U280" s="5">
        <v>9237616558</v>
      </c>
      <c r="V280" s="8" t="s">
        <v>248</v>
      </c>
      <c r="W280" t="str">
        <f>IF(OR(Q280&lt;=2,V280="Cancelled"),"Blacklisted",IF(AND(P280&gt;100000,Q280&gt;=4,O280&lt;=10%,V280="Completed"),"Platinum",IF(AND(P280&gt;=50000,Q280&gt;=3,V280="Completed"),"Gold",IF(AND(P280&lt;50000,V280="Completed"),"Silver",""))))</f>
        <v>Blacklisted</v>
      </c>
      <c r="X280" t="str">
        <f>PROPER(TRIM(F280))</f>
        <v>Arjun Rao</v>
      </c>
      <c r="Y280" t="str">
        <f>LEFT(F280,3)&amp;MID(B280,2,3)&amp;LEFT(I280,2)</f>
        <v>Arj007Mu</v>
      </c>
      <c r="Z280" t="str">
        <f>IF(ISNUMBER(SEARCH("@",T280)),LOWER(TRIM(T280)),"invalid email")</f>
        <v>arjun.rao@company.com</v>
      </c>
      <c r="AA280">
        <f ca="1">IF(H279="","",IFERROR(DATEDIF(IF(ISNUMBER(H279),H279,DATE(VALUE(RIGHT(H279,4)),VALUE(MID(H279,3,2)),VALUE(LEFT(H279,2)))),TODAY(),"Y"),""))</f>
        <v>48</v>
      </c>
      <c r="AB280">
        <f>IF(OR(D280="",E280=""),"",IFERROR(DATE(MID(E280,7,4),MID(E280,4,2),LEFT(E280,2))-DATE(MID(D280,7,4),MID(D280,4,2),LEFT(D280,2)),""))</f>
        <v>6</v>
      </c>
      <c r="AC280" t="str">
        <f>IF(E280="","Pending",IF(AB280&lt;=5,"On time","Delayed"))</f>
        <v>Delayed</v>
      </c>
      <c r="AD280" s="29" t="str">
        <f>IF(TRIM(S280)="","Not Assigned",S280)</f>
        <v>Neha</v>
      </c>
      <c r="AE280" t="str">
        <f>PROPER(TRIM(F280))</f>
        <v>Arjun Rao</v>
      </c>
      <c r="AF280" t="str">
        <f>PROPER(TRIM(K280))</f>
        <v>Electronics</v>
      </c>
      <c r="AG280" t="str">
        <f>PROPER(TRIM(J280))</f>
        <v>West</v>
      </c>
      <c r="AH280" t="str">
        <f t="shared" si="8"/>
        <v>Electronics</v>
      </c>
      <c r="AI280" t="str">
        <f t="shared" si="9"/>
        <v>Electronics</v>
      </c>
      <c r="AK280">
        <f>IF(COUNTIF($A$2:A280,A280)=1,1,0)</f>
        <v>1</v>
      </c>
    </row>
    <row r="281" spans="1:37">
      <c r="A281" s="9" t="s">
        <v>826</v>
      </c>
      <c r="B281" s="10" t="s">
        <v>266</v>
      </c>
      <c r="C281" s="10" t="s">
        <v>250</v>
      </c>
      <c r="D281" s="10" t="s">
        <v>99</v>
      </c>
      <c r="E281" s="10" t="s">
        <v>827</v>
      </c>
      <c r="F281" s="10" t="s">
        <v>268</v>
      </c>
      <c r="G281" s="10" t="s">
        <v>269</v>
      </c>
      <c r="H281" s="10" t="s">
        <v>828</v>
      </c>
      <c r="I281" s="10" t="s">
        <v>306</v>
      </c>
      <c r="J281" s="10" t="s">
        <v>287</v>
      </c>
      <c r="K281" s="10" t="s">
        <v>15</v>
      </c>
      <c r="L281" s="10" t="s">
        <v>253</v>
      </c>
      <c r="M281" s="10">
        <v>3</v>
      </c>
      <c r="N281" s="10">
        <v>2200</v>
      </c>
      <c r="O281" s="10">
        <v>0</v>
      </c>
      <c r="P281" s="10">
        <v>6600</v>
      </c>
      <c r="Q281" s="10">
        <v>4</v>
      </c>
      <c r="R281" s="10" t="s">
        <v>272</v>
      </c>
      <c r="S281" s="10" t="s">
        <v>255</v>
      </c>
      <c r="T281" s="10" t="s">
        <v>273</v>
      </c>
      <c r="U281" s="10">
        <v>9935063989</v>
      </c>
      <c r="V281" s="12" t="s">
        <v>257</v>
      </c>
      <c r="W281" t="str">
        <f>IF(OR(Q281&lt;=2,V281="Cancelled"),"Blacklisted",IF(AND(P281&gt;100000,Q281&gt;=4,O281&lt;=10%,V281="Completed"),"Platinum",IF(AND(P281&gt;=50000,Q281&gt;=3,V281="Completed"),"Gold",IF(AND(P281&lt;50000,V281="Completed"),"Silver",""))))</f>
        <v>Silver</v>
      </c>
      <c r="X281" t="str">
        <f>PROPER(TRIM(F281))</f>
        <v>Mohit Verma</v>
      </c>
      <c r="Y281" t="str">
        <f>LEFT(F281,3)&amp;MID(B281,2,3)&amp;LEFT(I281,2)</f>
        <v>Moh009Ah</v>
      </c>
      <c r="Z281" t="str">
        <f>IF(ISNUMBER(SEARCH("@",T281)),LOWER(TRIM(T281)),"invalid email")</f>
        <v>mohit.verma@company.com</v>
      </c>
      <c r="AA281">
        <f ca="1">IF(H280="","",IFERROR(DATEDIF(IF(ISNUMBER(H280),H280,DATE(VALUE(RIGHT(H280,4)),VALUE(MID(H280,3,2)),VALUE(LEFT(H280,2)))),TODAY(),"Y"),""))</f>
        <v>32</v>
      </c>
      <c r="AB281">
        <f>IF(OR(D281="",E281=""),"",IFERROR(DATE(MID(E281,7,4),MID(E281,4,2),LEFT(E281,2))-DATE(MID(D281,7,4),MID(D281,4,2),LEFT(D281,2)),""))</f>
        <v>6</v>
      </c>
      <c r="AC281" t="str">
        <f>IF(E281="","Pending",IF(AB281&lt;=5,"On time","Delayed"))</f>
        <v>Delayed</v>
      </c>
      <c r="AD281" s="29" t="str">
        <f>IF(TRIM(S281)="","Not Assigned",S281)</f>
        <v>Ritika</v>
      </c>
      <c r="AE281" t="str">
        <f>PROPER(TRIM(F281))</f>
        <v>Mohit Verma</v>
      </c>
      <c r="AF281" t="str">
        <f>PROPER(TRIM(K281))</f>
        <v>Home Appliances</v>
      </c>
      <c r="AG281" t="str">
        <f>PROPER(TRIM(J281))</f>
        <v>West</v>
      </c>
      <c r="AH281" t="str">
        <f t="shared" si="8"/>
        <v>Home Appliances</v>
      </c>
      <c r="AI281" t="str">
        <f t="shared" si="9"/>
        <v>Home Appliances</v>
      </c>
      <c r="AK281">
        <f>IF(COUNTIF($A$2:A281,A281)=1,1,0)</f>
        <v>1</v>
      </c>
    </row>
    <row r="282" spans="1:37">
      <c r="A282" s="4" t="s">
        <v>829</v>
      </c>
      <c r="B282" s="5" t="s">
        <v>358</v>
      </c>
      <c r="C282" s="5" t="s">
        <v>362</v>
      </c>
      <c r="D282" s="5" t="s">
        <v>183</v>
      </c>
      <c r="E282" s="6">
        <v>46023</v>
      </c>
      <c r="F282" s="5" t="s">
        <v>359</v>
      </c>
      <c r="G282" s="5" t="s">
        <v>239</v>
      </c>
      <c r="H282" s="6">
        <v>33941</v>
      </c>
      <c r="I282" s="5" t="s">
        <v>252</v>
      </c>
      <c r="J282" s="5" t="s">
        <v>242</v>
      </c>
      <c r="K282" s="5" t="s">
        <v>295</v>
      </c>
      <c r="L282" s="5" t="s">
        <v>363</v>
      </c>
      <c r="M282" s="5">
        <v>6</v>
      </c>
      <c r="N282" s="5">
        <v>45</v>
      </c>
      <c r="O282" s="5">
        <v>15</v>
      </c>
      <c r="P282" s="5">
        <v>229.5</v>
      </c>
      <c r="Q282" s="5">
        <v>1</v>
      </c>
      <c r="R282" s="5" t="s">
        <v>277</v>
      </c>
      <c r="S282" s="5" t="s">
        <v>263</v>
      </c>
      <c r="T282" s="5" t="s">
        <v>360</v>
      </c>
      <c r="U282" s="5">
        <v>9167376169</v>
      </c>
      <c r="V282" s="8" t="s">
        <v>257</v>
      </c>
      <c r="W282" t="str">
        <f>IF(OR(Q282&lt;=2,V282="Cancelled"),"Blacklisted",IF(AND(P282&gt;100000,Q282&gt;=4,O282&lt;=10%,V282="Completed"),"Platinum",IF(AND(P282&gt;=50000,Q282&gt;=3,V282="Completed"),"Gold",IF(AND(P282&lt;50000,V282="Completed"),"Silver",""))))</f>
        <v>Blacklisted</v>
      </c>
      <c r="X282" t="str">
        <f>PROPER(TRIM(F282))</f>
        <v>Sneha Joshi</v>
      </c>
      <c r="Y282" t="str">
        <f>LEFT(F282,3)&amp;MID(B282,2,3)&amp;LEFT(I282,2)</f>
        <v>Sne006Hy</v>
      </c>
      <c r="Z282" t="str">
        <f>IF(ISNUMBER(SEARCH("@",T282)),LOWER(TRIM(T282)),"invalid email")</f>
        <v>sneha.joshi@company.com</v>
      </c>
      <c r="AA282" t="str">
        <f ca="1">IF(H281="","",IFERROR(DATEDIF(IF(ISNUMBER(H281),H281,DATE(VALUE(RIGHT(H281,4)),VALUE(MID(H281,3,2)),VALUE(LEFT(H281,2)))),TODAY(),"Y"),""))</f>
        <v/>
      </c>
      <c r="AB282" t="str">
        <f>IF(OR(D282="",E282=""),"",IFERROR(DATE(MID(E282,7,4),MID(E282,4,2),LEFT(E282,2))-DATE(MID(D282,7,4),MID(D282,4,2),LEFT(D282,2)),""))</f>
        <v/>
      </c>
      <c r="AC282" t="str">
        <f>IF(E282="","Pending",IF(AB282&lt;=5,"On time","Delayed"))</f>
        <v>Delayed</v>
      </c>
      <c r="AD282" s="29" t="str">
        <f>IF(TRIM(S282)="","Not Assigned",S282)</f>
        <v>Rahul</v>
      </c>
      <c r="AE282" t="str">
        <f>PROPER(TRIM(F282))</f>
        <v>Sneha Joshi</v>
      </c>
      <c r="AF282" t="str">
        <f>PROPER(TRIM(K282))</f>
        <v>Stationery</v>
      </c>
      <c r="AG282" t="str">
        <f>PROPER(TRIM(J282))</f>
        <v>South</v>
      </c>
      <c r="AH282" t="str">
        <f t="shared" si="8"/>
        <v>Stationery</v>
      </c>
      <c r="AI282" t="str">
        <f t="shared" si="9"/>
        <v>Stationery</v>
      </c>
      <c r="AK282">
        <f>IF(COUNTIF($A$2:A282,A282)=1,1,0)</f>
        <v>1</v>
      </c>
    </row>
    <row r="283" spans="1:37">
      <c r="A283" s="9" t="s">
        <v>830</v>
      </c>
      <c r="B283" s="10" t="s">
        <v>358</v>
      </c>
      <c r="C283" s="10" t="s">
        <v>267</v>
      </c>
      <c r="D283" s="10" t="s">
        <v>115</v>
      </c>
      <c r="E283" s="10" t="s">
        <v>831</v>
      </c>
      <c r="F283" s="10" t="s">
        <v>359</v>
      </c>
      <c r="G283" s="10" t="s">
        <v>239</v>
      </c>
      <c r="H283" s="10" t="s">
        <v>832</v>
      </c>
      <c r="I283" s="10" t="s">
        <v>241</v>
      </c>
      <c r="J283" s="10" t="s">
        <v>242</v>
      </c>
      <c r="K283" s="10" t="s">
        <v>243</v>
      </c>
      <c r="L283" s="10" t="s">
        <v>271</v>
      </c>
      <c r="M283" s="10">
        <v>2</v>
      </c>
      <c r="N283" s="10">
        <v>1200</v>
      </c>
      <c r="O283" s="10">
        <v>0</v>
      </c>
      <c r="P283" s="10">
        <v>2400</v>
      </c>
      <c r="Q283" s="10">
        <v>1</v>
      </c>
      <c r="R283" s="10" t="s">
        <v>254</v>
      </c>
      <c r="S283" s="10" t="s">
        <v>312</v>
      </c>
      <c r="T283" s="10" t="s">
        <v>360</v>
      </c>
      <c r="U283" s="10">
        <v>9231845497</v>
      </c>
      <c r="V283" s="12" t="s">
        <v>265</v>
      </c>
      <c r="W283" t="str">
        <f>IF(OR(Q283&lt;=2,V283="Cancelled"),"Blacklisted",IF(AND(P283&gt;100000,Q283&gt;=4,O283&lt;=10%,V283="Completed"),"Platinum",IF(AND(P283&gt;=50000,Q283&gt;=3,V283="Completed"),"Gold",IF(AND(P283&lt;50000,V283="Completed"),"Silver",""))))</f>
        <v>Blacklisted</v>
      </c>
      <c r="X283" t="str">
        <f>PROPER(TRIM(F283))</f>
        <v>Sneha Joshi</v>
      </c>
      <c r="Y283" t="str">
        <f>LEFT(F283,3)&amp;MID(B283,2,3)&amp;LEFT(I283,2)</f>
        <v>Sne006Be</v>
      </c>
      <c r="Z283" t="str">
        <f>IF(ISNUMBER(SEARCH("@",T283)),LOWER(TRIM(T283)),"invalid email")</f>
        <v>sneha.joshi@company.com</v>
      </c>
      <c r="AA283">
        <f ca="1">IF(H282="","",IFERROR(DATEDIF(IF(ISNUMBER(H282),H282,DATE(VALUE(RIGHT(H282,4)),VALUE(MID(H282,3,2)),VALUE(LEFT(H282,2)))),TODAY(),"Y"),""))</f>
        <v>33</v>
      </c>
      <c r="AB283">
        <f>IF(OR(D283="",E283=""),"",IFERROR(DATE(MID(E283,7,4),MID(E283,4,2),LEFT(E283,2))-DATE(MID(D283,7,4),MID(D283,4,2),LEFT(D283,2)),""))</f>
        <v>8</v>
      </c>
      <c r="AC283" t="str">
        <f>IF(E283="","Pending",IF(AB283&lt;=5,"On time","Delayed"))</f>
        <v>Delayed</v>
      </c>
      <c r="AD283" s="29" t="str">
        <f>IF(TRIM(S283)="","Not Assigned",S283)</f>
        <v>Karan</v>
      </c>
      <c r="AE283" t="str">
        <f>PROPER(TRIM(F283))</f>
        <v>Sneha Joshi</v>
      </c>
      <c r="AF283" t="str">
        <f>PROPER(TRIM(K283))</f>
        <v>Electronics</v>
      </c>
      <c r="AG283" t="str">
        <f>PROPER(TRIM(J283))</f>
        <v>South</v>
      </c>
      <c r="AH283" t="str">
        <f t="shared" si="8"/>
        <v>Electronics</v>
      </c>
      <c r="AI283" t="str">
        <f t="shared" si="9"/>
        <v>Electronics</v>
      </c>
      <c r="AK283">
        <f>IF(COUNTIF($A$2:A283,A283)=1,1,0)</f>
        <v>1</v>
      </c>
    </row>
    <row r="284" spans="1:37">
      <c r="A284" s="4" t="s">
        <v>833</v>
      </c>
      <c r="B284" s="5" t="s">
        <v>321</v>
      </c>
      <c r="C284" s="5" t="s">
        <v>330</v>
      </c>
      <c r="D284" s="6">
        <v>46239</v>
      </c>
      <c r="E284" s="6">
        <v>46331</v>
      </c>
      <c r="F284" s="5" t="s">
        <v>408</v>
      </c>
      <c r="G284" s="5" t="s">
        <v>239</v>
      </c>
      <c r="H284" s="5" t="s">
        <v>834</v>
      </c>
      <c r="I284" s="5" t="s">
        <v>252</v>
      </c>
      <c r="J284" s="5" t="s">
        <v>242</v>
      </c>
      <c r="K284" s="5" t="s">
        <v>243</v>
      </c>
      <c r="L284" s="5" t="s">
        <v>333</v>
      </c>
      <c r="M284" s="5">
        <v>14</v>
      </c>
      <c r="N284" s="5">
        <v>700</v>
      </c>
      <c r="O284" s="5">
        <v>15</v>
      </c>
      <c r="P284" s="5">
        <v>8330</v>
      </c>
      <c r="Q284" s="5">
        <v>5</v>
      </c>
      <c r="R284" s="5" t="s">
        <v>254</v>
      </c>
      <c r="S284" s="5" t="s">
        <v>292</v>
      </c>
      <c r="T284" s="5" t="s">
        <v>326</v>
      </c>
      <c r="U284" s="5">
        <v>9409415805</v>
      </c>
      <c r="V284" s="8" t="s">
        <v>248</v>
      </c>
      <c r="W284" t="str">
        <f>IF(OR(Q284&lt;=2,V284="Cancelled"),"Blacklisted",IF(AND(P284&gt;100000,Q284&gt;=4,O284&lt;=10%,V284="Completed"),"Platinum",IF(AND(P284&gt;=50000,Q284&gt;=3,V284="Completed"),"Gold",IF(AND(P284&lt;50000,V284="Completed"),"Silver",""))))</f>
        <v/>
      </c>
      <c r="X284" t="str">
        <f>PROPER(TRIM(F284))</f>
        <v>Anita Gupta</v>
      </c>
      <c r="Y284" t="str">
        <f>LEFT(F284,3)&amp;MID(B284,2,3)&amp;LEFT(I284,2)</f>
        <v>Ani004Hy</v>
      </c>
      <c r="Z284" t="str">
        <f>IF(ISNUMBER(SEARCH("@",T284)),LOWER(TRIM(T284)),"invalid email")</f>
        <v>anita.gupta@company.com</v>
      </c>
      <c r="AA284" t="str">
        <f ca="1">IF(H283="","",IFERROR(DATEDIF(IF(ISNUMBER(H283),H283,DATE(VALUE(RIGHT(H283,4)),VALUE(MID(H283,3,2)),VALUE(LEFT(H283,2)))),TODAY(),"Y"),""))</f>
        <v/>
      </c>
      <c r="AB284" t="str">
        <f>IF(OR(D284="",E284=""),"",IFERROR(DATE(MID(E284,7,4),MID(E284,4,2),LEFT(E284,2))-DATE(MID(D284,7,4),MID(D284,4,2),LEFT(D284,2)),""))</f>
        <v/>
      </c>
      <c r="AC284" t="str">
        <f>IF(E284="","Pending",IF(AB284&lt;=5,"On time","Delayed"))</f>
        <v>Delayed</v>
      </c>
      <c r="AD284" s="29" t="str">
        <f>IF(TRIM(S284)="","Not Assigned",S284)</f>
        <v>Neha</v>
      </c>
      <c r="AE284" t="str">
        <f>PROPER(TRIM(F284))</f>
        <v>Anita Gupta</v>
      </c>
      <c r="AF284" t="str">
        <f>PROPER(TRIM(K284))</f>
        <v>Electronics</v>
      </c>
      <c r="AG284" t="str">
        <f>PROPER(TRIM(J284))</f>
        <v>South</v>
      </c>
      <c r="AH284" t="str">
        <f t="shared" si="8"/>
        <v>Electronics</v>
      </c>
      <c r="AI284" t="str">
        <f t="shared" si="9"/>
        <v>Electronics</v>
      </c>
      <c r="AK284">
        <f>IF(COUNTIF($A$2:A284,A284)=1,1,0)</f>
        <v>1</v>
      </c>
    </row>
    <row r="285" spans="1:37">
      <c r="A285" s="9" t="s">
        <v>835</v>
      </c>
      <c r="B285" s="10" t="s">
        <v>284</v>
      </c>
      <c r="C285" s="10" t="s">
        <v>347</v>
      </c>
      <c r="D285" s="11">
        <v>45788</v>
      </c>
      <c r="E285" s="11">
        <v>45819</v>
      </c>
      <c r="F285" s="10" t="s">
        <v>285</v>
      </c>
      <c r="G285" s="10" t="s">
        <v>239</v>
      </c>
      <c r="H285" s="11">
        <v>27556</v>
      </c>
      <c r="I285" s="10" t="s">
        <v>286</v>
      </c>
      <c r="J285" s="10" t="s">
        <v>287</v>
      </c>
      <c r="K285" s="10" t="s">
        <v>295</v>
      </c>
      <c r="L285" s="10" t="s">
        <v>349</v>
      </c>
      <c r="M285" s="10">
        <v>13</v>
      </c>
      <c r="N285" s="10">
        <v>20</v>
      </c>
      <c r="O285" s="10">
        <v>5</v>
      </c>
      <c r="P285" s="10">
        <v>247</v>
      </c>
      <c r="Q285" s="10">
        <v>1</v>
      </c>
      <c r="R285" s="10" t="s">
        <v>272</v>
      </c>
      <c r="S285" s="10" t="s">
        <v>255</v>
      </c>
      <c r="T285" s="10" t="s">
        <v>836</v>
      </c>
      <c r="U285" s="10">
        <v>9240800508</v>
      </c>
      <c r="V285" s="12" t="s">
        <v>248</v>
      </c>
      <c r="W285" t="str">
        <f>IF(OR(Q285&lt;=2,V285="Cancelled"),"Blacklisted",IF(AND(P285&gt;100000,Q285&gt;=4,O285&lt;=10%,V285="Completed"),"Platinum",IF(AND(P285&gt;=50000,Q285&gt;=3,V285="Completed"),"Gold",IF(AND(P285&lt;50000,V285="Completed"),"Silver",""))))</f>
        <v>Blacklisted</v>
      </c>
      <c r="X285" t="str">
        <f>PROPER(TRIM(F285))</f>
        <v>Priya Patel</v>
      </c>
      <c r="Y285" t="str">
        <f>LEFT(F285,3)&amp;MID(B285,2,3)&amp;LEFT(I285,2)</f>
        <v>Pri002Mu</v>
      </c>
      <c r="Z285" t="str">
        <f>IF(ISNUMBER(SEARCH("@",T285)),LOWER(TRIM(T285)),"invalid email")</f>
        <v>invalid email</v>
      </c>
      <c r="AA285" t="str">
        <f ca="1">IF(H284="","",IFERROR(DATEDIF(IF(ISNUMBER(H284),H284,DATE(VALUE(RIGHT(H284,4)),VALUE(MID(H284,3,2)),VALUE(LEFT(H284,2)))),TODAY(),"Y"),""))</f>
        <v/>
      </c>
      <c r="AB285" t="str">
        <f>IF(OR(D285="",E285=""),"",IFERROR(DATE(MID(E285,7,4),MID(E285,4,2),LEFT(E285,2))-DATE(MID(D285,7,4),MID(D285,4,2),LEFT(D285,2)),""))</f>
        <v/>
      </c>
      <c r="AC285" t="str">
        <f>IF(E285="","Pending",IF(AB285&lt;=5,"On time","Delayed"))</f>
        <v>Delayed</v>
      </c>
      <c r="AD285" s="29" t="str">
        <f>IF(TRIM(S285)="","Not Assigned",S285)</f>
        <v>Ritika</v>
      </c>
      <c r="AE285" t="str">
        <f>PROPER(TRIM(F285))</f>
        <v>Priya Patel</v>
      </c>
      <c r="AF285" t="str">
        <f>PROPER(TRIM(K285))</f>
        <v>Stationery</v>
      </c>
      <c r="AG285" t="str">
        <f>PROPER(TRIM(J285))</f>
        <v>West</v>
      </c>
      <c r="AH285" t="str">
        <f t="shared" si="8"/>
        <v>Stationery</v>
      </c>
      <c r="AI285" t="str">
        <f t="shared" si="9"/>
        <v>Stationery</v>
      </c>
      <c r="AK285">
        <f>IF(COUNTIF($A$2:A285,A285)=1,1,0)</f>
        <v>1</v>
      </c>
    </row>
    <row r="286" spans="1:37">
      <c r="A286" s="4" t="s">
        <v>837</v>
      </c>
      <c r="B286" s="5" t="s">
        <v>266</v>
      </c>
      <c r="C286" s="5" t="s">
        <v>250</v>
      </c>
      <c r="D286" s="6">
        <v>45872</v>
      </c>
      <c r="E286" s="5" t="s">
        <v>304</v>
      </c>
      <c r="F286" s="5" t="s">
        <v>268</v>
      </c>
      <c r="G286" s="5" t="s">
        <v>269</v>
      </c>
      <c r="H286" s="5" t="s">
        <v>838</v>
      </c>
      <c r="I286" s="5" t="s">
        <v>291</v>
      </c>
      <c r="J286" s="5" t="s">
        <v>287</v>
      </c>
      <c r="K286" s="5" t="s">
        <v>15</v>
      </c>
      <c r="L286" s="5" t="s">
        <v>253</v>
      </c>
      <c r="M286" s="5">
        <v>3</v>
      </c>
      <c r="N286" s="5">
        <v>2200</v>
      </c>
      <c r="O286" s="5">
        <v>0</v>
      </c>
      <c r="P286" s="5">
        <v>6600</v>
      </c>
      <c r="Q286" s="5">
        <v>4</v>
      </c>
      <c r="R286" s="5" t="s">
        <v>245</v>
      </c>
      <c r="S286" s="5" t="s">
        <v>246</v>
      </c>
      <c r="T286" s="5" t="s">
        <v>273</v>
      </c>
      <c r="U286" s="5">
        <v>9764609936</v>
      </c>
      <c r="V286" s="8" t="s">
        <v>265</v>
      </c>
      <c r="W286" t="str">
        <f>IF(OR(Q286&lt;=2,V286="Cancelled"),"Blacklisted",IF(AND(P286&gt;100000,Q286&gt;=4,O286&lt;=10%,V286="Completed"),"Platinum",IF(AND(P286&gt;=50000,Q286&gt;=3,V286="Completed"),"Gold",IF(AND(P286&lt;50000,V286="Completed"),"Silver",""))))</f>
        <v>Blacklisted</v>
      </c>
      <c r="X286" t="str">
        <f>PROPER(TRIM(F286))</f>
        <v>Mohit Verma</v>
      </c>
      <c r="Y286" t="str">
        <f>LEFT(F286,3)&amp;MID(B286,2,3)&amp;LEFT(I286,2)</f>
        <v>Moh009Pu</v>
      </c>
      <c r="Z286" t="str">
        <f>IF(ISNUMBER(SEARCH("@",T286)),LOWER(TRIM(T286)),"invalid email")</f>
        <v>mohit.verma@company.com</v>
      </c>
      <c r="AA286">
        <f ca="1">IF(H285="","",IFERROR(DATEDIF(IF(ISNUMBER(H285),H285,DATE(VALUE(RIGHT(H285,4)),VALUE(MID(H285,3,2)),VALUE(LEFT(H285,2)))),TODAY(),"Y"),""))</f>
        <v>51</v>
      </c>
      <c r="AB286" t="str">
        <f>IF(OR(D286="",E286=""),"",IFERROR(DATE(MID(E286,7,4),MID(E286,4,2),LEFT(E286,2))-DATE(MID(D286,7,4),MID(D286,4,2),LEFT(D286,2)),""))</f>
        <v/>
      </c>
      <c r="AC286" t="str">
        <f>IF(E286="","Pending",IF(AB286&lt;=5,"On time","Delayed"))</f>
        <v>Delayed</v>
      </c>
      <c r="AD286" s="29" t="str">
        <f>IF(TRIM(S286)="","Not Assigned",S286)</f>
        <v>Aisha</v>
      </c>
      <c r="AE286" t="str">
        <f>PROPER(TRIM(F286))</f>
        <v>Mohit Verma</v>
      </c>
      <c r="AF286" t="str">
        <f>PROPER(TRIM(K286))</f>
        <v>Home Appliances</v>
      </c>
      <c r="AG286" t="str">
        <f>PROPER(TRIM(J286))</f>
        <v>West</v>
      </c>
      <c r="AH286" t="str">
        <f t="shared" si="8"/>
        <v>Home Appliances</v>
      </c>
      <c r="AI286" t="str">
        <f t="shared" si="9"/>
        <v>Home Appliances</v>
      </c>
      <c r="AK286">
        <f>IF(COUNTIF($A$2:A286,A286)=1,1,0)</f>
        <v>1</v>
      </c>
    </row>
    <row r="287" spans="1:37">
      <c r="A287" s="9" t="s">
        <v>839</v>
      </c>
      <c r="B287" s="10" t="s">
        <v>266</v>
      </c>
      <c r="C287" s="10" t="s">
        <v>294</v>
      </c>
      <c r="D287" s="11">
        <v>46267</v>
      </c>
      <c r="E287" s="10" t="s">
        <v>99</v>
      </c>
      <c r="F287" s="10" t="s">
        <v>268</v>
      </c>
      <c r="G287" s="10" t="s">
        <v>269</v>
      </c>
      <c r="H287" s="10" t="s">
        <v>840</v>
      </c>
      <c r="I287" s="10" t="s">
        <v>291</v>
      </c>
      <c r="J287" s="10" t="s">
        <v>287</v>
      </c>
      <c r="K287" s="10" t="s">
        <v>295</v>
      </c>
      <c r="L287" s="10" t="s">
        <v>296</v>
      </c>
      <c r="M287" s="10">
        <v>3</v>
      </c>
      <c r="N287" s="10">
        <v>60</v>
      </c>
      <c r="O287" s="10">
        <v>15</v>
      </c>
      <c r="P287" s="10">
        <v>153</v>
      </c>
      <c r="Q287" s="10">
        <v>4</v>
      </c>
      <c r="R287" s="10" t="s">
        <v>277</v>
      </c>
      <c r="S287" s="10" t="s">
        <v>292</v>
      </c>
      <c r="T287" s="10" t="s">
        <v>273</v>
      </c>
      <c r="U287" s="10">
        <v>9362733217</v>
      </c>
      <c r="V287" s="12" t="s">
        <v>257</v>
      </c>
      <c r="W287" t="str">
        <f>IF(OR(Q287&lt;=2,V287="Cancelled"),"Blacklisted",IF(AND(P287&gt;100000,Q287&gt;=4,O287&lt;=10%,V287="Completed"),"Platinum",IF(AND(P287&gt;=50000,Q287&gt;=3,V287="Completed"),"Gold",IF(AND(P287&lt;50000,V287="Completed"),"Silver",""))))</f>
        <v>Silver</v>
      </c>
      <c r="X287" t="str">
        <f>PROPER(TRIM(F287))</f>
        <v>Mohit Verma</v>
      </c>
      <c r="Y287" t="str">
        <f>LEFT(F287,3)&amp;MID(B287,2,3)&amp;LEFT(I287,2)</f>
        <v>Moh009Pu</v>
      </c>
      <c r="Z287" t="str">
        <f>IF(ISNUMBER(SEARCH("@",T287)),LOWER(TRIM(T287)),"invalid email")</f>
        <v>mohit.verma@company.com</v>
      </c>
      <c r="AA287" t="str">
        <f ca="1">IF(H286="","",IFERROR(DATEDIF(IF(ISNUMBER(H286),H286,DATE(VALUE(RIGHT(H286,4)),VALUE(MID(H286,3,2)),VALUE(LEFT(H286,2)))),TODAY(),"Y"),""))</f>
        <v/>
      </c>
      <c r="AB287" t="str">
        <f>IF(OR(D287="",E287=""),"",IFERROR(DATE(MID(E287,7,4),MID(E287,4,2),LEFT(E287,2))-DATE(MID(D287,7,4),MID(D287,4,2),LEFT(D287,2)),""))</f>
        <v/>
      </c>
      <c r="AC287" t="str">
        <f>IF(E287="","Pending",IF(AB287&lt;=5,"On time","Delayed"))</f>
        <v>Delayed</v>
      </c>
      <c r="AD287" s="29" t="str">
        <f>IF(TRIM(S287)="","Not Assigned",S287)</f>
        <v>Neha</v>
      </c>
      <c r="AE287" t="str">
        <f>PROPER(TRIM(F287))</f>
        <v>Mohit Verma</v>
      </c>
      <c r="AF287" t="str">
        <f>PROPER(TRIM(K287))</f>
        <v>Stationery</v>
      </c>
      <c r="AG287" t="str">
        <f>PROPER(TRIM(J287))</f>
        <v>West</v>
      </c>
      <c r="AH287" t="str">
        <f t="shared" si="8"/>
        <v>Stationery</v>
      </c>
      <c r="AI287" t="str">
        <f t="shared" si="9"/>
        <v>Stationery</v>
      </c>
      <c r="AK287">
        <f>IF(COUNTIF($A$2:A287,A287)=1,1,0)</f>
        <v>1</v>
      </c>
    </row>
    <row r="288" spans="1:37">
      <c r="A288" s="4" t="s">
        <v>841</v>
      </c>
      <c r="B288" s="5" t="s">
        <v>299</v>
      </c>
      <c r="C288" s="5" t="s">
        <v>280</v>
      </c>
      <c r="D288" s="5" t="s">
        <v>57</v>
      </c>
      <c r="E288" s="5" t="s">
        <v>120</v>
      </c>
      <c r="F288" s="5" t="s">
        <v>301</v>
      </c>
      <c r="G288" s="5" t="s">
        <v>269</v>
      </c>
      <c r="H288" s="5" t="s">
        <v>503</v>
      </c>
      <c r="I288" s="5" t="s">
        <v>286</v>
      </c>
      <c r="J288" s="5" t="s">
        <v>287</v>
      </c>
      <c r="K288" s="5" t="s">
        <v>15</v>
      </c>
      <c r="L288" s="5" t="s">
        <v>282</v>
      </c>
      <c r="M288" s="5">
        <v>9</v>
      </c>
      <c r="N288" s="5">
        <v>3500</v>
      </c>
      <c r="O288" s="5">
        <v>5</v>
      </c>
      <c r="P288" s="5">
        <v>29925</v>
      </c>
      <c r="Q288" s="5">
        <v>1</v>
      </c>
      <c r="R288" s="5" t="s">
        <v>254</v>
      </c>
      <c r="S288" s="5" t="s">
        <v>246</v>
      </c>
      <c r="T288" s="5" t="s">
        <v>302</v>
      </c>
      <c r="U288" s="5">
        <v>9270466205</v>
      </c>
      <c r="V288" s="8" t="s">
        <v>248</v>
      </c>
      <c r="W288" t="str">
        <f>IF(OR(Q288&lt;=2,V288="Cancelled"),"Blacklisted",IF(AND(P288&gt;100000,Q288&gt;=4,O288&lt;=10%,V288="Completed"),"Platinum",IF(AND(P288&gt;=50000,Q288&gt;=3,V288="Completed"),"Gold",IF(AND(P288&lt;50000,V288="Completed"),"Silver",""))))</f>
        <v>Blacklisted</v>
      </c>
      <c r="X288" t="str">
        <f>PROPER(TRIM(F288))</f>
        <v>Rohit Singh</v>
      </c>
      <c r="Y288" t="str">
        <f>LEFT(F288,3)&amp;MID(B288,2,3)&amp;LEFT(I288,2)</f>
        <v>Roh003Mu</v>
      </c>
      <c r="Z288" t="str">
        <f>IF(ISNUMBER(SEARCH("@",T288)),LOWER(TRIM(T288)),"invalid email")</f>
        <v>rohit.singh@company.com</v>
      </c>
      <c r="AA288" t="str">
        <f ca="1">IF(H287="","",IFERROR(DATEDIF(IF(ISNUMBER(H287),H287,DATE(VALUE(RIGHT(H287,4)),VALUE(MID(H287,3,2)),VALUE(LEFT(H287,2)))),TODAY(),"Y"),""))</f>
        <v/>
      </c>
      <c r="AB288">
        <f>IF(OR(D288="",E288=""),"",IFERROR(DATE(MID(E288,7,4),MID(E288,4,2),LEFT(E288,2))-DATE(MID(D288,7,4),MID(D288,4,2),LEFT(D288,2)),""))</f>
        <v>6</v>
      </c>
      <c r="AC288" t="str">
        <f>IF(E288="","Pending",IF(AB288&lt;=5,"On time","Delayed"))</f>
        <v>Delayed</v>
      </c>
      <c r="AD288" s="29" t="str">
        <f>IF(TRIM(S288)="","Not Assigned",S288)</f>
        <v>Aisha</v>
      </c>
      <c r="AE288" t="str">
        <f>PROPER(TRIM(F288))</f>
        <v>Rohit Singh</v>
      </c>
      <c r="AF288" t="str">
        <f>PROPER(TRIM(K288))</f>
        <v>Home Appliances</v>
      </c>
      <c r="AG288" t="str">
        <f>PROPER(TRIM(J288))</f>
        <v>West</v>
      </c>
      <c r="AH288" t="str">
        <f t="shared" si="8"/>
        <v>Home Appliances</v>
      </c>
      <c r="AI288" t="str">
        <f t="shared" si="9"/>
        <v>Home Appliances</v>
      </c>
      <c r="AK288">
        <f>IF(COUNTIF($A$2:A288,A288)=1,1,0)</f>
        <v>1</v>
      </c>
    </row>
    <row r="289" spans="1:37">
      <c r="A289" s="9" t="s">
        <v>842</v>
      </c>
      <c r="B289" s="10" t="s">
        <v>392</v>
      </c>
      <c r="C289" s="10" t="s">
        <v>267</v>
      </c>
      <c r="D289" s="10" t="s">
        <v>163</v>
      </c>
      <c r="E289" s="11">
        <v>45661</v>
      </c>
      <c r="F289" s="10" t="s">
        <v>323</v>
      </c>
      <c r="G289" s="10" t="s">
        <v>269</v>
      </c>
      <c r="H289" s="11">
        <v>37105</v>
      </c>
      <c r="I289" s="10" t="s">
        <v>342</v>
      </c>
      <c r="J289" s="10" t="s">
        <v>261</v>
      </c>
      <c r="K289" s="10" t="s">
        <v>243</v>
      </c>
      <c r="L289" s="10" t="s">
        <v>271</v>
      </c>
      <c r="M289" s="10">
        <v>5</v>
      </c>
      <c r="N289" s="10">
        <v>1200</v>
      </c>
      <c r="O289" s="10">
        <v>20</v>
      </c>
      <c r="P289" s="10">
        <v>4800</v>
      </c>
      <c r="Q289" s="10">
        <v>2</v>
      </c>
      <c r="R289" s="10" t="s">
        <v>277</v>
      </c>
      <c r="S289" s="10" t="s">
        <v>292</v>
      </c>
      <c r="T289" s="10" t="s">
        <v>395</v>
      </c>
      <c r="U289" s="10">
        <v>9571436865</v>
      </c>
      <c r="V289" s="12" t="s">
        <v>248</v>
      </c>
      <c r="W289" t="str">
        <f>IF(OR(Q289&lt;=2,V289="Cancelled"),"Blacklisted",IF(AND(P289&gt;100000,Q289&gt;=4,O289&lt;=10%,V289="Completed"),"Platinum",IF(AND(P289&gt;=50000,Q289&gt;=3,V289="Completed"),"Gold",IF(AND(P289&lt;50000,V289="Completed"),"Silver",""))))</f>
        <v>Blacklisted</v>
      </c>
      <c r="X289" t="str">
        <f>PROPER(TRIM(F289))</f>
        <v>Amit Sharma</v>
      </c>
      <c r="Y289" t="str">
        <f>LEFT(F289,3)&amp;MID(B289,2,3)&amp;LEFT(I289,2)</f>
        <v>Ami001Ja</v>
      </c>
      <c r="Z289" t="str">
        <f>IF(ISNUMBER(SEARCH("@",T289)),LOWER(TRIM(T289)),"invalid email")</f>
        <v>amit.sharma@company.com</v>
      </c>
      <c r="AA289" t="str">
        <f ca="1">IF(H288="","",IFERROR(DATEDIF(IF(ISNUMBER(H288),H288,DATE(VALUE(RIGHT(H288,4)),VALUE(MID(H288,3,2)),VALUE(LEFT(H288,2)))),TODAY(),"Y"),""))</f>
        <v/>
      </c>
      <c r="AB289" t="str">
        <f>IF(OR(D289="",E289=""),"",IFERROR(DATE(MID(E289,7,4),MID(E289,4,2),LEFT(E289,2))-DATE(MID(D289,7,4),MID(D289,4,2),LEFT(D289,2)),""))</f>
        <v/>
      </c>
      <c r="AC289" t="str">
        <f>IF(E289="","Pending",IF(AB289&lt;=5,"On time","Delayed"))</f>
        <v>Delayed</v>
      </c>
      <c r="AD289" s="29" t="str">
        <f>IF(TRIM(S289)="","Not Assigned",S289)</f>
        <v>Neha</v>
      </c>
      <c r="AE289" t="str">
        <f>PROPER(TRIM(F289))</f>
        <v>Amit Sharma</v>
      </c>
      <c r="AF289" t="str">
        <f>PROPER(TRIM(K289))</f>
        <v>Electronics</v>
      </c>
      <c r="AG289" t="str">
        <f>PROPER(TRIM(J289))</f>
        <v>North</v>
      </c>
      <c r="AH289" t="str">
        <f t="shared" si="8"/>
        <v>Electronics</v>
      </c>
      <c r="AI289" t="str">
        <f t="shared" si="9"/>
        <v>Electronics</v>
      </c>
      <c r="AK289">
        <f>IF(COUNTIF($A$2:A289,A289)=1,1,0)</f>
        <v>1</v>
      </c>
    </row>
    <row r="290" spans="1:37">
      <c r="A290" s="4" t="s">
        <v>843</v>
      </c>
      <c r="B290" s="5" t="s">
        <v>235</v>
      </c>
      <c r="C290" s="5" t="s">
        <v>267</v>
      </c>
      <c r="D290" s="6">
        <v>45994</v>
      </c>
      <c r="E290" s="5" t="s">
        <v>25</v>
      </c>
      <c r="F290" s="5" t="s">
        <v>318</v>
      </c>
      <c r="G290" s="5" t="s">
        <v>239</v>
      </c>
      <c r="H290" s="5" t="s">
        <v>844</v>
      </c>
      <c r="I290" s="5" t="s">
        <v>342</v>
      </c>
      <c r="J290" s="5" t="s">
        <v>261</v>
      </c>
      <c r="K290" s="5" t="s">
        <v>243</v>
      </c>
      <c r="L290" s="5" t="s">
        <v>271</v>
      </c>
      <c r="M290" s="5">
        <v>10</v>
      </c>
      <c r="N290" s="5">
        <v>1200</v>
      </c>
      <c r="O290" s="5">
        <v>20</v>
      </c>
      <c r="P290" s="5">
        <v>9600</v>
      </c>
      <c r="Q290" s="5">
        <v>4</v>
      </c>
      <c r="R290" s="5" t="s">
        <v>254</v>
      </c>
      <c r="S290" s="5" t="s">
        <v>263</v>
      </c>
      <c r="T290" s="7" t="s">
        <v>845</v>
      </c>
      <c r="U290" s="5">
        <v>9307011171</v>
      </c>
      <c r="V290" s="8" t="s">
        <v>257</v>
      </c>
      <c r="W290" t="str">
        <f>IF(OR(Q290&lt;=2,V290="Cancelled"),"Blacklisted",IF(AND(P290&gt;100000,Q290&gt;=4,O290&lt;=10%,V290="Completed"),"Platinum",IF(AND(P290&gt;=50000,Q290&gt;=3,V290="Completed"),"Gold",IF(AND(P290&lt;50000,V290="Completed"),"Silver",""))))</f>
        <v>Silver</v>
      </c>
      <c r="X290" t="str">
        <f>PROPER(TRIM(F290))</f>
        <v>Pooja Shah</v>
      </c>
      <c r="Y290" t="str">
        <f>LEFT(F290,3)&amp;MID(B290,2,3)&amp;LEFT(I290,2)</f>
        <v>Poo010Ja</v>
      </c>
      <c r="Z290" t="str">
        <f>IF(ISNUMBER(SEARCH("@",T290)),LOWER(TRIM(T290)),"invalid email")</f>
        <v>pooja.shah@company.com</v>
      </c>
      <c r="AA290">
        <f ca="1">IF(H289="","",IFERROR(DATEDIF(IF(ISNUMBER(H289),H289,DATE(VALUE(RIGHT(H289,4)),VALUE(MID(H289,3,2)),VALUE(LEFT(H289,2)))),TODAY(),"Y"),""))</f>
        <v>25</v>
      </c>
      <c r="AB290" t="str">
        <f>IF(OR(D290="",E290=""),"",IFERROR(DATE(MID(E290,7,4),MID(E290,4,2),LEFT(E290,2))-DATE(MID(D290,7,4),MID(D290,4,2),LEFT(D290,2)),""))</f>
        <v/>
      </c>
      <c r="AC290" t="str">
        <f>IF(E290="","Pending",IF(AB290&lt;=5,"On time","Delayed"))</f>
        <v>Delayed</v>
      </c>
      <c r="AD290" s="29" t="str">
        <f>IF(TRIM(S290)="","Not Assigned",S290)</f>
        <v>Rahul</v>
      </c>
      <c r="AE290" t="str">
        <f>PROPER(TRIM(F290))</f>
        <v>Pooja Shah</v>
      </c>
      <c r="AF290" t="str">
        <f>PROPER(TRIM(K290))</f>
        <v>Electronics</v>
      </c>
      <c r="AG290" t="str">
        <f>PROPER(TRIM(J290))</f>
        <v>North</v>
      </c>
      <c r="AH290" t="str">
        <f t="shared" si="8"/>
        <v>Electronics</v>
      </c>
      <c r="AI290" t="str">
        <f t="shared" si="9"/>
        <v>Electronics</v>
      </c>
      <c r="AK290">
        <f>IF(COUNTIF($A$2:A290,A290)=1,1,0)</f>
        <v>1</v>
      </c>
    </row>
    <row r="291" spans="1:37">
      <c r="A291" s="9" t="s">
        <v>846</v>
      </c>
      <c r="B291" s="10" t="s">
        <v>249</v>
      </c>
      <c r="C291" s="10" t="s">
        <v>267</v>
      </c>
      <c r="D291" s="10" t="s">
        <v>9</v>
      </c>
      <c r="E291" s="10" t="s">
        <v>130</v>
      </c>
      <c r="F291" s="10" t="s">
        <v>251</v>
      </c>
      <c r="G291" s="10" t="s">
        <v>239</v>
      </c>
      <c r="H291" s="10" t="s">
        <v>847</v>
      </c>
      <c r="I291" s="10" t="s">
        <v>306</v>
      </c>
      <c r="J291" s="10" t="s">
        <v>287</v>
      </c>
      <c r="K291" s="10" t="s">
        <v>243</v>
      </c>
      <c r="L291" s="10" t="s">
        <v>271</v>
      </c>
      <c r="M291" s="10">
        <v>5</v>
      </c>
      <c r="N291" s="10">
        <v>1200</v>
      </c>
      <c r="O291" s="10">
        <v>20</v>
      </c>
      <c r="P291" s="10">
        <v>4800</v>
      </c>
      <c r="Q291" s="10">
        <v>3</v>
      </c>
      <c r="R291" s="10" t="s">
        <v>245</v>
      </c>
      <c r="S291" s="10" t="s">
        <v>312</v>
      </c>
      <c r="T291" s="10" t="s">
        <v>264</v>
      </c>
      <c r="U291" s="10">
        <v>9922380435</v>
      </c>
      <c r="V291" s="12" t="s">
        <v>257</v>
      </c>
      <c r="W291" t="str">
        <f>IF(OR(Q291&lt;=2,V291="Cancelled"),"Blacklisted",IF(AND(P291&gt;100000,Q291&gt;=4,O291&lt;=10%,V291="Completed"),"Platinum",IF(AND(P291&gt;=50000,Q291&gt;=3,V291="Completed"),"Gold",IF(AND(P291&lt;50000,V291="Completed"),"Silver",""))))</f>
        <v>Silver</v>
      </c>
      <c r="X291" t="str">
        <f>PROPER(TRIM(F291))</f>
        <v>Kavya Nair</v>
      </c>
      <c r="Y291" t="str">
        <f>LEFT(F291,3)&amp;MID(B291,2,3)&amp;LEFT(I291,2)</f>
        <v>Kav008Ah</v>
      </c>
      <c r="Z291" t="str">
        <f>IF(ISNUMBER(SEARCH("@",T291)),LOWER(TRIM(T291)),"invalid email")</f>
        <v>kavya.nair@company.com</v>
      </c>
      <c r="AA291" t="str">
        <f ca="1">IF(H290="","",IFERROR(DATEDIF(IF(ISNUMBER(H290),H290,DATE(VALUE(RIGHT(H290,4)),VALUE(MID(H290,3,2)),VALUE(LEFT(H290,2)))),TODAY(),"Y"),""))</f>
        <v/>
      </c>
      <c r="AB291">
        <f>IF(OR(D291="",E291=""),"",IFERROR(DATE(MID(E291,7,4),MID(E291,4,2),LEFT(E291,2))-DATE(MID(D291,7,4),MID(D291,4,2),LEFT(D291,2)),""))</f>
        <v>11</v>
      </c>
      <c r="AC291" t="str">
        <f>IF(E291="","Pending",IF(AB291&lt;=5,"On time","Delayed"))</f>
        <v>Delayed</v>
      </c>
      <c r="AD291" s="29" t="str">
        <f>IF(TRIM(S291)="","Not Assigned",S291)</f>
        <v>Karan</v>
      </c>
      <c r="AE291" t="str">
        <f>PROPER(TRIM(F291))</f>
        <v>Kavya Nair</v>
      </c>
      <c r="AF291" t="str">
        <f>PROPER(TRIM(K291))</f>
        <v>Electronics</v>
      </c>
      <c r="AG291" t="str">
        <f>PROPER(TRIM(J291))</f>
        <v>West</v>
      </c>
      <c r="AH291" t="str">
        <f t="shared" si="8"/>
        <v>Electronics</v>
      </c>
      <c r="AI291" t="str">
        <f t="shared" si="9"/>
        <v>Electronics</v>
      </c>
      <c r="AK291">
        <f>IF(COUNTIF($A$2:A291,A291)=1,1,0)</f>
        <v>1</v>
      </c>
    </row>
    <row r="292" spans="1:37">
      <c r="A292" s="4" t="s">
        <v>848</v>
      </c>
      <c r="B292" s="5" t="s">
        <v>321</v>
      </c>
      <c r="C292" s="5" t="s">
        <v>347</v>
      </c>
      <c r="D292" s="6">
        <v>45963</v>
      </c>
      <c r="E292" s="5" t="s">
        <v>849</v>
      </c>
      <c r="F292" s="5" t="s">
        <v>408</v>
      </c>
      <c r="G292" s="5" t="s">
        <v>239</v>
      </c>
      <c r="H292" s="5" t="s">
        <v>850</v>
      </c>
      <c r="I292" s="5" t="s">
        <v>286</v>
      </c>
      <c r="J292" s="5" t="s">
        <v>287</v>
      </c>
      <c r="K292" s="5" t="s">
        <v>295</v>
      </c>
      <c r="L292" s="5" t="s">
        <v>349</v>
      </c>
      <c r="M292" s="5">
        <v>10</v>
      </c>
      <c r="N292" s="5">
        <v>20</v>
      </c>
      <c r="O292" s="5">
        <v>5</v>
      </c>
      <c r="P292" s="5">
        <v>190</v>
      </c>
      <c r="Q292" s="5">
        <v>4</v>
      </c>
      <c r="R292" s="5" t="s">
        <v>254</v>
      </c>
      <c r="S292" s="5" t="s">
        <v>312</v>
      </c>
      <c r="T292" s="5" t="s">
        <v>326</v>
      </c>
      <c r="U292" s="5">
        <v>9463618792</v>
      </c>
      <c r="V292" s="8" t="s">
        <v>248</v>
      </c>
      <c r="W292" t="str">
        <f>IF(OR(Q292&lt;=2,V292="Cancelled"),"Blacklisted",IF(AND(P292&gt;100000,Q292&gt;=4,O292&lt;=10%,V292="Completed"),"Platinum",IF(AND(P292&gt;=50000,Q292&gt;=3,V292="Completed"),"Gold",IF(AND(P292&lt;50000,V292="Completed"),"Silver",""))))</f>
        <v/>
      </c>
      <c r="X292" t="str">
        <f>PROPER(TRIM(F292))</f>
        <v>Anita Gupta</v>
      </c>
      <c r="Y292" t="str">
        <f>LEFT(F292,3)&amp;MID(B292,2,3)&amp;LEFT(I292,2)</f>
        <v>Ani004Mu</v>
      </c>
      <c r="Z292" t="str">
        <f>IF(ISNUMBER(SEARCH("@",T292)),LOWER(TRIM(T292)),"invalid email")</f>
        <v>anita.gupta@company.com</v>
      </c>
      <c r="AA292" t="str">
        <f ca="1">IF(H291="","",IFERROR(DATEDIF(IF(ISNUMBER(H291),H291,DATE(VALUE(RIGHT(H291,4)),VALUE(MID(H291,3,2)),VALUE(LEFT(H291,2)))),TODAY(),"Y"),""))</f>
        <v/>
      </c>
      <c r="AB292" t="str">
        <f>IF(OR(D292="",E292=""),"",IFERROR(DATE(MID(E292,7,4),MID(E292,4,2),LEFT(E292,2))-DATE(MID(D292,7,4),MID(D292,4,2),LEFT(D292,2)),""))</f>
        <v/>
      </c>
      <c r="AC292" t="str">
        <f>IF(E292="","Pending",IF(AB292&lt;=5,"On time","Delayed"))</f>
        <v>Delayed</v>
      </c>
      <c r="AD292" s="29" t="str">
        <f>IF(TRIM(S292)="","Not Assigned",S292)</f>
        <v>Karan</v>
      </c>
      <c r="AE292" t="str">
        <f>PROPER(TRIM(F292))</f>
        <v>Anita Gupta</v>
      </c>
      <c r="AF292" t="str">
        <f>PROPER(TRIM(K292))</f>
        <v>Stationery</v>
      </c>
      <c r="AG292" t="str">
        <f>PROPER(TRIM(J292))</f>
        <v>West</v>
      </c>
      <c r="AH292" t="str">
        <f t="shared" si="8"/>
        <v>Stationery</v>
      </c>
      <c r="AI292" t="str">
        <f t="shared" si="9"/>
        <v>Stationery</v>
      </c>
      <c r="AK292">
        <f>IF(COUNTIF($A$2:A292,A292)=1,1,0)</f>
        <v>1</v>
      </c>
    </row>
    <row r="293" spans="1:37">
      <c r="A293" s="9" t="s">
        <v>851</v>
      </c>
      <c r="B293" s="10" t="s">
        <v>284</v>
      </c>
      <c r="C293" s="10" t="s">
        <v>294</v>
      </c>
      <c r="D293" s="10" t="s">
        <v>53</v>
      </c>
      <c r="E293" s="10" t="s">
        <v>160</v>
      </c>
      <c r="F293" s="10" t="s">
        <v>285</v>
      </c>
      <c r="G293" s="10" t="s">
        <v>239</v>
      </c>
      <c r="H293" s="11">
        <v>28711</v>
      </c>
      <c r="I293" s="10" t="s">
        <v>260</v>
      </c>
      <c r="J293" s="10" t="s">
        <v>261</v>
      </c>
      <c r="K293" s="10" t="s">
        <v>295</v>
      </c>
      <c r="L293" s="10" t="s">
        <v>296</v>
      </c>
      <c r="M293" s="10">
        <v>20</v>
      </c>
      <c r="N293" s="10">
        <v>60</v>
      </c>
      <c r="O293" s="10">
        <v>15</v>
      </c>
      <c r="P293" s="10">
        <v>1020</v>
      </c>
      <c r="Q293" s="10">
        <v>5</v>
      </c>
      <c r="R293" s="10" t="s">
        <v>272</v>
      </c>
      <c r="S293" s="10" t="s">
        <v>255</v>
      </c>
      <c r="T293" s="10" t="s">
        <v>308</v>
      </c>
      <c r="U293" s="10">
        <v>9954973200</v>
      </c>
      <c r="V293" s="12" t="s">
        <v>248</v>
      </c>
      <c r="W293" t="str">
        <f>IF(OR(Q293&lt;=2,V293="Cancelled"),"Blacklisted",IF(AND(P293&gt;100000,Q293&gt;=4,O293&lt;=10%,V293="Completed"),"Platinum",IF(AND(P293&gt;=50000,Q293&gt;=3,V293="Completed"),"Gold",IF(AND(P293&lt;50000,V293="Completed"),"Silver",""))))</f>
        <v/>
      </c>
      <c r="X293" t="str">
        <f>PROPER(TRIM(F293))</f>
        <v>Priya Patel</v>
      </c>
      <c r="Y293" t="str">
        <f>LEFT(F293,3)&amp;MID(B293,2,3)&amp;LEFT(I293,2)</f>
        <v>Pri002De</v>
      </c>
      <c r="Z293" t="str">
        <f>IF(ISNUMBER(SEARCH("@",T293)),LOWER(TRIM(T293)),"invalid email")</f>
        <v>priya.patel@company.com</v>
      </c>
      <c r="AA293" t="str">
        <f ca="1">IF(H292="","",IFERROR(DATEDIF(IF(ISNUMBER(H292),H292,DATE(VALUE(RIGHT(H292,4)),VALUE(MID(H292,3,2)),VALUE(LEFT(H292,2)))),TODAY(),"Y"),""))</f>
        <v/>
      </c>
      <c r="AB293">
        <f>IF(OR(D293="",E293=""),"",IFERROR(DATE(MID(E293,7,4),MID(E293,4,2),LEFT(E293,2))-DATE(MID(D293,7,4),MID(D293,4,2),LEFT(D293,2)),""))</f>
        <v>10</v>
      </c>
      <c r="AC293" t="str">
        <f>IF(E293="","Pending",IF(AB293&lt;=5,"On time","Delayed"))</f>
        <v>Delayed</v>
      </c>
      <c r="AD293" s="29" t="str">
        <f>IF(TRIM(S293)="","Not Assigned",S293)</f>
        <v>Ritika</v>
      </c>
      <c r="AE293" t="str">
        <f>PROPER(TRIM(F293))</f>
        <v>Priya Patel</v>
      </c>
      <c r="AF293" t="str">
        <f>PROPER(TRIM(K293))</f>
        <v>Stationery</v>
      </c>
      <c r="AG293" t="str">
        <f>PROPER(TRIM(J293))</f>
        <v>North</v>
      </c>
      <c r="AH293" t="str">
        <f t="shared" si="8"/>
        <v>Stationery</v>
      </c>
      <c r="AI293" t="str">
        <f t="shared" si="9"/>
        <v>Stationery</v>
      </c>
      <c r="AK293">
        <f>IF(COUNTIF($A$2:A293,A293)=1,1,0)</f>
        <v>1</v>
      </c>
    </row>
    <row r="294" spans="1:37">
      <c r="A294" s="4" t="s">
        <v>852</v>
      </c>
      <c r="B294" s="5" t="s">
        <v>392</v>
      </c>
      <c r="C294" s="5" t="s">
        <v>250</v>
      </c>
      <c r="D294" s="6">
        <v>45661</v>
      </c>
      <c r="E294" s="6">
        <v>45995</v>
      </c>
      <c r="F294" s="5" t="s">
        <v>323</v>
      </c>
      <c r="G294" s="5" t="s">
        <v>269</v>
      </c>
      <c r="H294" s="6">
        <v>28735</v>
      </c>
      <c r="I294" s="5" t="s">
        <v>306</v>
      </c>
      <c r="J294" s="5" t="s">
        <v>287</v>
      </c>
      <c r="K294" s="5" t="s">
        <v>15</v>
      </c>
      <c r="L294" s="5" t="s">
        <v>253</v>
      </c>
      <c r="M294" s="5">
        <v>7</v>
      </c>
      <c r="N294" s="5">
        <v>2200</v>
      </c>
      <c r="O294" s="5">
        <v>15</v>
      </c>
      <c r="P294" s="5">
        <v>13090</v>
      </c>
      <c r="Q294" s="5">
        <v>4</v>
      </c>
      <c r="R294" s="5" t="s">
        <v>254</v>
      </c>
      <c r="S294" s="5" t="s">
        <v>246</v>
      </c>
      <c r="T294" s="5" t="s">
        <v>395</v>
      </c>
      <c r="U294" s="5">
        <v>9383199236</v>
      </c>
      <c r="V294" s="8" t="s">
        <v>265</v>
      </c>
      <c r="W294" t="str">
        <f>IF(OR(Q294&lt;=2,V294="Cancelled"),"Blacklisted",IF(AND(P294&gt;100000,Q294&gt;=4,O294&lt;=10%,V294="Completed"),"Platinum",IF(AND(P294&gt;=50000,Q294&gt;=3,V294="Completed"),"Gold",IF(AND(P294&lt;50000,V294="Completed"),"Silver",""))))</f>
        <v>Blacklisted</v>
      </c>
      <c r="X294" t="str">
        <f>PROPER(TRIM(F294))</f>
        <v>Amit Sharma</v>
      </c>
      <c r="Y294" t="str">
        <f>LEFT(F294,3)&amp;MID(B294,2,3)&amp;LEFT(I294,2)</f>
        <v>Ami001Ah</v>
      </c>
      <c r="Z294" t="str">
        <f>IF(ISNUMBER(SEARCH("@",T294)),LOWER(TRIM(T294)),"invalid email")</f>
        <v>amit.sharma@company.com</v>
      </c>
      <c r="AA294">
        <f ca="1">IF(H293="","",IFERROR(DATEDIF(IF(ISNUMBER(H293),H293,DATE(VALUE(RIGHT(H293,4)),VALUE(MID(H293,3,2)),VALUE(LEFT(H293,2)))),TODAY(),"Y"),""))</f>
        <v>48</v>
      </c>
      <c r="AB294" t="str">
        <f>IF(OR(D294="",E294=""),"",IFERROR(DATE(MID(E294,7,4),MID(E294,4,2),LEFT(E294,2))-DATE(MID(D294,7,4),MID(D294,4,2),LEFT(D294,2)),""))</f>
        <v/>
      </c>
      <c r="AC294" t="str">
        <f>IF(E294="","Pending",IF(AB294&lt;=5,"On time","Delayed"))</f>
        <v>Delayed</v>
      </c>
      <c r="AD294" s="29" t="str">
        <f>IF(TRIM(S294)="","Not Assigned",S294)</f>
        <v>Aisha</v>
      </c>
      <c r="AE294" t="str">
        <f>PROPER(TRIM(F294))</f>
        <v>Amit Sharma</v>
      </c>
      <c r="AF294" t="str">
        <f>PROPER(TRIM(K294))</f>
        <v>Home Appliances</v>
      </c>
      <c r="AG294" t="str">
        <f>PROPER(TRIM(J294))</f>
        <v>West</v>
      </c>
      <c r="AH294" t="str">
        <f t="shared" si="8"/>
        <v>Home Appliances</v>
      </c>
      <c r="AI294" t="str">
        <f t="shared" si="9"/>
        <v>Home Appliances</v>
      </c>
      <c r="AK294">
        <f>IF(COUNTIF($A$2:A294,A294)=1,1,0)</f>
        <v>1</v>
      </c>
    </row>
    <row r="295" spans="1:37">
      <c r="A295" s="9" t="s">
        <v>853</v>
      </c>
      <c r="B295" s="10" t="s">
        <v>299</v>
      </c>
      <c r="C295" s="10" t="s">
        <v>236</v>
      </c>
      <c r="D295" s="10" t="s">
        <v>5</v>
      </c>
      <c r="E295" s="10" t="s">
        <v>40</v>
      </c>
      <c r="F295" s="10" t="s">
        <v>301</v>
      </c>
      <c r="G295" s="10" t="s">
        <v>269</v>
      </c>
      <c r="H295" s="11">
        <v>38047</v>
      </c>
      <c r="I295" s="10" t="s">
        <v>252</v>
      </c>
      <c r="J295" s="10" t="s">
        <v>242</v>
      </c>
      <c r="K295" s="10" t="s">
        <v>243</v>
      </c>
      <c r="L295" s="10" t="s">
        <v>244</v>
      </c>
      <c r="M295" s="10">
        <v>11</v>
      </c>
      <c r="N295" s="10">
        <v>55000</v>
      </c>
      <c r="O295" s="10">
        <v>5</v>
      </c>
      <c r="P295" s="10">
        <v>574750</v>
      </c>
      <c r="Q295" s="10">
        <v>1</v>
      </c>
      <c r="R295" s="10" t="s">
        <v>277</v>
      </c>
      <c r="S295" s="10" t="s">
        <v>255</v>
      </c>
      <c r="T295" s="10" t="s">
        <v>302</v>
      </c>
      <c r="U295" s="10">
        <v>9482699727</v>
      </c>
      <c r="V295" s="12" t="s">
        <v>265</v>
      </c>
      <c r="W295" t="str">
        <f>IF(OR(Q295&lt;=2,V295="Cancelled"),"Blacklisted",IF(AND(P295&gt;100000,Q295&gt;=4,O295&lt;=10%,V295="Completed"),"Platinum",IF(AND(P295&gt;=50000,Q295&gt;=3,V295="Completed"),"Gold",IF(AND(P295&lt;50000,V295="Completed"),"Silver",""))))</f>
        <v>Blacklisted</v>
      </c>
      <c r="X295" t="str">
        <f>PROPER(TRIM(F295))</f>
        <v>Rohit Singh</v>
      </c>
      <c r="Y295" t="str">
        <f>LEFT(F295,3)&amp;MID(B295,2,3)&amp;LEFT(I295,2)</f>
        <v>Roh003Hy</v>
      </c>
      <c r="Z295" t="str">
        <f>IF(ISNUMBER(SEARCH("@",T295)),LOWER(TRIM(T295)),"invalid email")</f>
        <v>rohit.singh@company.com</v>
      </c>
      <c r="AA295">
        <f ca="1">IF(H294="","",IFERROR(DATEDIF(IF(ISNUMBER(H294),H294,DATE(VALUE(RIGHT(H294,4)),VALUE(MID(H294,3,2)),VALUE(LEFT(H294,2)))),TODAY(),"Y"),""))</f>
        <v>48</v>
      </c>
      <c r="AB295">
        <f>IF(OR(D295="",E295=""),"",IFERROR(DATE(MID(E295,7,4),MID(E295,4,2),LEFT(E295,2))-DATE(MID(D295,7,4),MID(D295,4,2),LEFT(D295,2)),""))</f>
        <v>3</v>
      </c>
      <c r="AC295" t="str">
        <f>IF(E295="","Pending",IF(AB295&lt;=5,"On time","Delayed"))</f>
        <v>On time</v>
      </c>
      <c r="AD295" s="29" t="str">
        <f>IF(TRIM(S295)="","Not Assigned",S295)</f>
        <v>Ritika</v>
      </c>
      <c r="AE295" t="str">
        <f>PROPER(TRIM(F295))</f>
        <v>Rohit Singh</v>
      </c>
      <c r="AF295" t="str">
        <f>PROPER(TRIM(K295))</f>
        <v>Electronics</v>
      </c>
      <c r="AG295" t="str">
        <f>PROPER(TRIM(J295))</f>
        <v>South</v>
      </c>
      <c r="AH295" t="str">
        <f t="shared" si="8"/>
        <v>Electronics</v>
      </c>
      <c r="AI295" t="str">
        <f t="shared" si="9"/>
        <v>Electronics</v>
      </c>
      <c r="AK295">
        <f>IF(COUNTIF($A$2:A295,A295)=1,1,0)</f>
        <v>1</v>
      </c>
    </row>
    <row r="296" spans="1:37">
      <c r="A296" s="4" t="s">
        <v>854</v>
      </c>
      <c r="B296" s="5" t="s">
        <v>275</v>
      </c>
      <c r="C296" s="5" t="s">
        <v>280</v>
      </c>
      <c r="D296" s="6">
        <v>45787</v>
      </c>
      <c r="E296" s="5" t="s">
        <v>855</v>
      </c>
      <c r="F296" s="5" t="s">
        <v>328</v>
      </c>
      <c r="G296" s="5" t="s">
        <v>269</v>
      </c>
      <c r="H296" s="6">
        <v>33639</v>
      </c>
      <c r="I296" s="5" t="s">
        <v>342</v>
      </c>
      <c r="J296" s="5" t="s">
        <v>261</v>
      </c>
      <c r="K296" s="5" t="s">
        <v>15</v>
      </c>
      <c r="L296" s="5" t="s">
        <v>282</v>
      </c>
      <c r="M296" s="5">
        <v>12</v>
      </c>
      <c r="N296" s="5">
        <v>3500</v>
      </c>
      <c r="O296" s="5">
        <v>0</v>
      </c>
      <c r="P296" s="5">
        <v>42000</v>
      </c>
      <c r="Q296" s="5">
        <v>2</v>
      </c>
      <c r="R296" s="5" t="s">
        <v>245</v>
      </c>
      <c r="S296" s="5" t="s">
        <v>1224</v>
      </c>
      <c r="T296" s="5" t="s">
        <v>278</v>
      </c>
      <c r="U296" s="5">
        <v>9332473934</v>
      </c>
      <c r="V296" s="8" t="s">
        <v>248</v>
      </c>
      <c r="W296" t="str">
        <f>IF(OR(Q296&lt;=2,V296="Cancelled"),"Blacklisted",IF(AND(P296&gt;100000,Q296&gt;=4,O296&lt;=10%,V296="Completed"),"Platinum",IF(AND(P296&gt;=50000,Q296&gt;=3,V296="Completed"),"Gold",IF(AND(P296&lt;50000,V296="Completed"),"Silver",""))))</f>
        <v>Blacklisted</v>
      </c>
      <c r="X296" t="str">
        <f>PROPER(TRIM(F296))</f>
        <v>Arjun Rao</v>
      </c>
      <c r="Y296" t="str">
        <f>LEFT(F296,3)&amp;MID(B296,2,3)&amp;LEFT(I296,2)</f>
        <v>Arj007Ja</v>
      </c>
      <c r="Z296" t="str">
        <f>IF(ISNUMBER(SEARCH("@",T296)),LOWER(TRIM(T296)),"invalid email")</f>
        <v>arjun.rao@company.com</v>
      </c>
      <c r="AA296">
        <f ca="1">IF(H295="","",IFERROR(DATEDIF(IF(ISNUMBER(H295),H295,DATE(VALUE(RIGHT(H295,4)),VALUE(MID(H295,3,2)),VALUE(LEFT(H295,2)))),TODAY(),"Y"),""))</f>
        <v>22</v>
      </c>
      <c r="AB296" t="str">
        <f>IF(OR(D296="",E296=""),"",IFERROR(DATE(MID(E296,7,4),MID(E296,4,2),LEFT(E296,2))-DATE(MID(D296,7,4),MID(D296,4,2),LEFT(D296,2)),""))</f>
        <v/>
      </c>
      <c r="AC296" t="str">
        <f>IF(E296="","Pending",IF(AB296&lt;=5,"On time","Delayed"))</f>
        <v>Delayed</v>
      </c>
      <c r="AD296" s="29" t="str">
        <f>IF(TRIM(S296)="","Not Assigned",S296)</f>
        <v>Not Assigned</v>
      </c>
      <c r="AE296" t="str">
        <f>PROPER(TRIM(F296))</f>
        <v>Arjun Rao</v>
      </c>
      <c r="AF296" t="str">
        <f>PROPER(TRIM(K296))</f>
        <v>Home Appliances</v>
      </c>
      <c r="AG296" t="str">
        <f>PROPER(TRIM(J296))</f>
        <v>North</v>
      </c>
      <c r="AH296" t="str">
        <f t="shared" si="8"/>
        <v>Home Appliances</v>
      </c>
      <c r="AI296" t="str">
        <f t="shared" si="9"/>
        <v>Home Appliances</v>
      </c>
      <c r="AK296">
        <f>IF(COUNTIF($A$2:A296,A296)=1,1,0)</f>
        <v>1</v>
      </c>
    </row>
    <row r="297" spans="1:37">
      <c r="A297" s="9" t="s">
        <v>856</v>
      </c>
      <c r="B297" s="10" t="s">
        <v>266</v>
      </c>
      <c r="C297" s="10" t="s">
        <v>362</v>
      </c>
      <c r="D297" s="10" t="s">
        <v>139</v>
      </c>
      <c r="E297" s="11">
        <v>46237</v>
      </c>
      <c r="F297" s="10" t="s">
        <v>268</v>
      </c>
      <c r="G297" s="10" t="s">
        <v>269</v>
      </c>
      <c r="H297" s="10" t="s">
        <v>857</v>
      </c>
      <c r="I297" s="10" t="s">
        <v>252</v>
      </c>
      <c r="J297" s="10" t="s">
        <v>242</v>
      </c>
      <c r="K297" s="10" t="s">
        <v>295</v>
      </c>
      <c r="L297" s="10" t="s">
        <v>363</v>
      </c>
      <c r="M297" s="10">
        <v>15</v>
      </c>
      <c r="N297" s="10">
        <v>45</v>
      </c>
      <c r="O297" s="10">
        <v>10</v>
      </c>
      <c r="P297" s="10">
        <v>607.5</v>
      </c>
      <c r="Q297" s="10">
        <v>2</v>
      </c>
      <c r="R297" s="10" t="s">
        <v>254</v>
      </c>
      <c r="S297" s="10" t="s">
        <v>312</v>
      </c>
      <c r="T297" s="10" t="s">
        <v>273</v>
      </c>
      <c r="U297" s="10">
        <v>9647657382</v>
      </c>
      <c r="V297" s="12" t="s">
        <v>248</v>
      </c>
      <c r="W297" t="str">
        <f>IF(OR(Q297&lt;=2,V297="Cancelled"),"Blacklisted",IF(AND(P297&gt;100000,Q297&gt;=4,O297&lt;=10%,V297="Completed"),"Platinum",IF(AND(P297&gt;=50000,Q297&gt;=3,V297="Completed"),"Gold",IF(AND(P297&lt;50000,V297="Completed"),"Silver",""))))</f>
        <v>Blacklisted</v>
      </c>
      <c r="X297" t="str">
        <f>PROPER(TRIM(F297))</f>
        <v>Mohit Verma</v>
      </c>
      <c r="Y297" t="str">
        <f>LEFT(F297,3)&amp;MID(B297,2,3)&amp;LEFT(I297,2)</f>
        <v>Moh009Hy</v>
      </c>
      <c r="Z297" t="str">
        <f>IF(ISNUMBER(SEARCH("@",T297)),LOWER(TRIM(T297)),"invalid email")</f>
        <v>mohit.verma@company.com</v>
      </c>
      <c r="AA297">
        <f ca="1">IF(H296="","",IFERROR(DATEDIF(IF(ISNUMBER(H296),H296,DATE(VALUE(RIGHT(H296,4)),VALUE(MID(H296,3,2)),VALUE(LEFT(H296,2)))),TODAY(),"Y"),""))</f>
        <v>34</v>
      </c>
      <c r="AB297" t="str">
        <f>IF(OR(D297="",E297=""),"",IFERROR(DATE(MID(E297,7,4),MID(E297,4,2),LEFT(E297,2))-DATE(MID(D297,7,4),MID(D297,4,2),LEFT(D297,2)),""))</f>
        <v/>
      </c>
      <c r="AC297" t="str">
        <f>IF(E297="","Pending",IF(AB297&lt;=5,"On time","Delayed"))</f>
        <v>Delayed</v>
      </c>
      <c r="AD297" s="29" t="str">
        <f>IF(TRIM(S297)="","Not Assigned",S297)</f>
        <v>Karan</v>
      </c>
      <c r="AE297" t="str">
        <f>PROPER(TRIM(F297))</f>
        <v>Mohit Verma</v>
      </c>
      <c r="AF297" t="str">
        <f>PROPER(TRIM(K297))</f>
        <v>Stationery</v>
      </c>
      <c r="AG297" t="str">
        <f>PROPER(TRIM(J297))</f>
        <v>South</v>
      </c>
      <c r="AH297" t="str">
        <f t="shared" si="8"/>
        <v>Stationery</v>
      </c>
      <c r="AI297" t="str">
        <f t="shared" si="9"/>
        <v>Stationery</v>
      </c>
      <c r="AK297">
        <f>IF(COUNTIF($A$2:A297,A297)=1,1,0)</f>
        <v>1</v>
      </c>
    </row>
    <row r="298" spans="1:37">
      <c r="A298" s="4" t="s">
        <v>858</v>
      </c>
      <c r="B298" s="5" t="s">
        <v>392</v>
      </c>
      <c r="C298" s="5" t="s">
        <v>362</v>
      </c>
      <c r="D298" s="5" t="s">
        <v>46</v>
      </c>
      <c r="E298" s="5" t="s">
        <v>155</v>
      </c>
      <c r="F298" s="5" t="s">
        <v>323</v>
      </c>
      <c r="G298" s="5" t="s">
        <v>269</v>
      </c>
      <c r="H298" s="5" t="s">
        <v>859</v>
      </c>
      <c r="I298" s="5" t="s">
        <v>241</v>
      </c>
      <c r="J298" s="5" t="s">
        <v>242</v>
      </c>
      <c r="K298" s="5" t="s">
        <v>295</v>
      </c>
      <c r="L298" s="5" t="s">
        <v>363</v>
      </c>
      <c r="M298" s="5">
        <v>13</v>
      </c>
      <c r="N298" s="5">
        <v>45</v>
      </c>
      <c r="O298" s="5">
        <v>0</v>
      </c>
      <c r="P298" s="5">
        <v>585</v>
      </c>
      <c r="Q298" s="5">
        <v>5</v>
      </c>
      <c r="R298" s="5" t="s">
        <v>245</v>
      </c>
      <c r="S298" s="5" t="s">
        <v>263</v>
      </c>
      <c r="T298" s="5" t="s">
        <v>395</v>
      </c>
      <c r="U298" s="5">
        <v>9736797776</v>
      </c>
      <c r="V298" s="8" t="s">
        <v>248</v>
      </c>
      <c r="W298" t="str">
        <f>IF(OR(Q298&lt;=2,V298="Cancelled"),"Blacklisted",IF(AND(P298&gt;100000,Q298&gt;=4,O298&lt;=10%,V298="Completed"),"Platinum",IF(AND(P298&gt;=50000,Q298&gt;=3,V298="Completed"),"Gold",IF(AND(P298&lt;50000,V298="Completed"),"Silver",""))))</f>
        <v/>
      </c>
      <c r="X298" t="str">
        <f>PROPER(TRIM(F298))</f>
        <v>Amit Sharma</v>
      </c>
      <c r="Y298" t="str">
        <f>LEFT(F298,3)&amp;MID(B298,2,3)&amp;LEFT(I298,2)</f>
        <v>Ami001Be</v>
      </c>
      <c r="Z298" t="str">
        <f>IF(ISNUMBER(SEARCH("@",T298)),LOWER(TRIM(T298)),"invalid email")</f>
        <v>amit.sharma@company.com</v>
      </c>
      <c r="AA298" t="str">
        <f ca="1">IF(H297="","",IFERROR(DATEDIF(IF(ISNUMBER(H297),H297,DATE(VALUE(RIGHT(H297,4)),VALUE(MID(H297,3,2)),VALUE(LEFT(H297,2)))),TODAY(),"Y"),""))</f>
        <v/>
      </c>
      <c r="AB298">
        <f>IF(OR(D298="",E298=""),"",IFERROR(DATE(MID(E298,7,4),MID(E298,4,2),LEFT(E298,2))-DATE(MID(D298,7,4),MID(D298,4,2),LEFT(D298,2)),""))</f>
        <v>10</v>
      </c>
      <c r="AC298" t="str">
        <f>IF(E298="","Pending",IF(AB298&lt;=5,"On time","Delayed"))</f>
        <v>Delayed</v>
      </c>
      <c r="AD298" s="29" t="str">
        <f>IF(TRIM(S298)="","Not Assigned",S298)</f>
        <v>Rahul</v>
      </c>
      <c r="AE298" t="str">
        <f>PROPER(TRIM(F298))</f>
        <v>Amit Sharma</v>
      </c>
      <c r="AF298" t="str">
        <f>PROPER(TRIM(K298))</f>
        <v>Stationery</v>
      </c>
      <c r="AG298" t="str">
        <f>PROPER(TRIM(J298))</f>
        <v>South</v>
      </c>
      <c r="AH298" t="str">
        <f t="shared" si="8"/>
        <v>Stationery</v>
      </c>
      <c r="AI298" t="str">
        <f t="shared" si="9"/>
        <v>Stationery</v>
      </c>
      <c r="AK298">
        <f>IF(COUNTIF($A$2:A298,A298)=1,1,0)</f>
        <v>1</v>
      </c>
    </row>
    <row r="299" spans="1:37">
      <c r="A299" s="9" t="s">
        <v>860</v>
      </c>
      <c r="B299" s="10" t="s">
        <v>299</v>
      </c>
      <c r="C299" s="10" t="s">
        <v>236</v>
      </c>
      <c r="D299" s="11">
        <v>46054</v>
      </c>
      <c r="E299" s="11">
        <v>46143</v>
      </c>
      <c r="F299" s="10" t="s">
        <v>301</v>
      </c>
      <c r="G299" s="10" t="s">
        <v>269</v>
      </c>
      <c r="H299" s="11">
        <v>27584</v>
      </c>
      <c r="I299" s="10" t="s">
        <v>241</v>
      </c>
      <c r="J299" s="10" t="s">
        <v>242</v>
      </c>
      <c r="K299" s="10" t="s">
        <v>243</v>
      </c>
      <c r="L299" s="10" t="s">
        <v>244</v>
      </c>
      <c r="M299" s="10">
        <v>8</v>
      </c>
      <c r="N299" s="10">
        <v>55000</v>
      </c>
      <c r="O299" s="10">
        <v>0</v>
      </c>
      <c r="P299" s="10">
        <v>440000</v>
      </c>
      <c r="Q299" s="10">
        <v>2</v>
      </c>
      <c r="R299" s="10" t="s">
        <v>277</v>
      </c>
      <c r="S299" s="10" t="s">
        <v>312</v>
      </c>
      <c r="T299" s="10" t="s">
        <v>302</v>
      </c>
      <c r="U299" s="10">
        <v>9745773533</v>
      </c>
      <c r="V299" s="12" t="s">
        <v>265</v>
      </c>
      <c r="W299" t="str">
        <f>IF(OR(Q299&lt;=2,V299="Cancelled"),"Blacklisted",IF(AND(P299&gt;100000,Q299&gt;=4,O299&lt;=10%,V299="Completed"),"Platinum",IF(AND(P299&gt;=50000,Q299&gt;=3,V299="Completed"),"Gold",IF(AND(P299&lt;50000,V299="Completed"),"Silver",""))))</f>
        <v>Blacklisted</v>
      </c>
      <c r="X299" t="str">
        <f>PROPER(TRIM(F299))</f>
        <v>Rohit Singh</v>
      </c>
      <c r="Y299" t="str">
        <f>LEFT(F299,3)&amp;MID(B299,2,3)&amp;LEFT(I299,2)</f>
        <v>Roh003Be</v>
      </c>
      <c r="Z299" t="str">
        <f>IF(ISNUMBER(SEARCH("@",T299)),LOWER(TRIM(T299)),"invalid email")</f>
        <v>rohit.singh@company.com</v>
      </c>
      <c r="AA299" t="str">
        <f ca="1">IF(H298="","",IFERROR(DATEDIF(IF(ISNUMBER(H298),H298,DATE(VALUE(RIGHT(H298,4)),VALUE(MID(H298,3,2)),VALUE(LEFT(H298,2)))),TODAY(),"Y"),""))</f>
        <v/>
      </c>
      <c r="AB299" t="str">
        <f>IF(OR(D299="",E299=""),"",IFERROR(DATE(MID(E299,7,4),MID(E299,4,2),LEFT(E299,2))-DATE(MID(D299,7,4),MID(D299,4,2),LEFT(D299,2)),""))</f>
        <v/>
      </c>
      <c r="AC299" t="str">
        <f>IF(E299="","Pending",IF(AB299&lt;=5,"On time","Delayed"))</f>
        <v>Delayed</v>
      </c>
      <c r="AD299" s="29" t="str">
        <f>IF(TRIM(S299)="","Not Assigned",S299)</f>
        <v>Karan</v>
      </c>
      <c r="AE299" t="str">
        <f>PROPER(TRIM(F299))</f>
        <v>Rohit Singh</v>
      </c>
      <c r="AF299" t="str">
        <f>PROPER(TRIM(K299))</f>
        <v>Electronics</v>
      </c>
      <c r="AG299" t="str">
        <f>PROPER(TRIM(J299))</f>
        <v>South</v>
      </c>
      <c r="AH299" t="str">
        <f t="shared" si="8"/>
        <v>Electronics</v>
      </c>
      <c r="AI299" t="str">
        <f t="shared" si="9"/>
        <v>Electronics</v>
      </c>
      <c r="AK299">
        <f>IF(COUNTIF($A$2:A299,A299)=1,1,0)</f>
        <v>1</v>
      </c>
    </row>
    <row r="300" spans="1:37">
      <c r="A300" s="4" t="s">
        <v>861</v>
      </c>
      <c r="B300" s="5" t="s">
        <v>358</v>
      </c>
      <c r="C300" s="5" t="s">
        <v>236</v>
      </c>
      <c r="D300" s="5" t="s">
        <v>124</v>
      </c>
      <c r="E300" s="5" t="s">
        <v>168</v>
      </c>
      <c r="F300" s="5" t="s">
        <v>359</v>
      </c>
      <c r="G300" s="5" t="s">
        <v>239</v>
      </c>
      <c r="H300" s="6">
        <v>29502</v>
      </c>
      <c r="I300" s="5" t="s">
        <v>260</v>
      </c>
      <c r="J300" s="5" t="s">
        <v>261</v>
      </c>
      <c r="K300" s="5" t="s">
        <v>243</v>
      </c>
      <c r="L300" s="5" t="s">
        <v>244</v>
      </c>
      <c r="M300" s="5">
        <v>4</v>
      </c>
      <c r="N300" s="5">
        <v>55000</v>
      </c>
      <c r="O300" s="5">
        <v>20</v>
      </c>
      <c r="P300" s="5">
        <v>176000</v>
      </c>
      <c r="Q300" s="5">
        <v>5</v>
      </c>
      <c r="R300" s="14" t="s">
        <v>254</v>
      </c>
      <c r="S300" s="5" t="s">
        <v>263</v>
      </c>
      <c r="T300" s="5" t="s">
        <v>360</v>
      </c>
      <c r="U300" s="5">
        <v>9246715757</v>
      </c>
      <c r="V300" s="8" t="s">
        <v>248</v>
      </c>
      <c r="W300" t="str">
        <f>IF(OR(Q300&lt;=2,V300="Cancelled"),"Blacklisted",IF(AND(P300&gt;100000,Q300&gt;=4,O300&lt;=10%,V300="Completed"),"Platinum",IF(AND(P300&gt;=50000,Q300&gt;=3,V300="Completed"),"Gold",IF(AND(P300&lt;50000,V300="Completed"),"Silver",""))))</f>
        <v/>
      </c>
      <c r="X300" t="str">
        <f>PROPER(TRIM(F300))</f>
        <v>Sneha Joshi</v>
      </c>
      <c r="Y300" t="str">
        <f>LEFT(F300,3)&amp;MID(B300,2,3)&amp;LEFT(I300,2)</f>
        <v>Sne006De</v>
      </c>
      <c r="Z300" t="str">
        <f>IF(ISNUMBER(SEARCH("@",T300)),LOWER(TRIM(T300)),"invalid email")</f>
        <v>sneha.joshi@company.com</v>
      </c>
      <c r="AA300">
        <f ca="1">IF(H299="","",IFERROR(DATEDIF(IF(ISNUMBER(H299),H299,DATE(VALUE(RIGHT(H299,4)),VALUE(MID(H299,3,2)),VALUE(LEFT(H299,2)))),TODAY(),"Y"),""))</f>
        <v>51</v>
      </c>
      <c r="AB300">
        <f>IF(OR(D300="",E300=""),"",IFERROR(DATE(MID(E300,7,4),MID(E300,4,2),LEFT(E300,2))-DATE(MID(D300,7,4),MID(D300,4,2),LEFT(D300,2)),""))</f>
        <v>4</v>
      </c>
      <c r="AC300" t="str">
        <f>IF(E300="","Pending",IF(AB300&lt;=5,"On time","Delayed"))</f>
        <v>On time</v>
      </c>
      <c r="AD300" s="29" t="str">
        <f>IF(TRIM(S300)="","Not Assigned",S300)</f>
        <v>Rahul</v>
      </c>
      <c r="AE300" t="str">
        <f>PROPER(TRIM(F300))</f>
        <v>Sneha Joshi</v>
      </c>
      <c r="AF300" t="str">
        <f>PROPER(TRIM(K300))</f>
        <v>Electronics</v>
      </c>
      <c r="AG300" t="str">
        <f>PROPER(TRIM(J300))</f>
        <v>North</v>
      </c>
      <c r="AH300" t="str">
        <f t="shared" si="8"/>
        <v>Electronics</v>
      </c>
      <c r="AI300" t="str">
        <f t="shared" si="9"/>
        <v>Electronics</v>
      </c>
      <c r="AK300">
        <f>IF(COUNTIF($A$2:A300,A300)=1,1,0)</f>
        <v>1</v>
      </c>
    </row>
    <row r="301" spans="1:37">
      <c r="A301" s="9" t="s">
        <v>862</v>
      </c>
      <c r="B301" s="10" t="s">
        <v>249</v>
      </c>
      <c r="C301" s="10" t="s">
        <v>280</v>
      </c>
      <c r="D301" s="10" t="s">
        <v>123</v>
      </c>
      <c r="E301" s="10" t="s">
        <v>154</v>
      </c>
      <c r="F301" s="10" t="s">
        <v>251</v>
      </c>
      <c r="G301" s="10" t="s">
        <v>239</v>
      </c>
      <c r="H301" s="11">
        <v>32693</v>
      </c>
      <c r="I301" s="10" t="s">
        <v>306</v>
      </c>
      <c r="J301" s="10" t="s">
        <v>287</v>
      </c>
      <c r="K301" s="10" t="s">
        <v>15</v>
      </c>
      <c r="L301" s="10" t="s">
        <v>282</v>
      </c>
      <c r="M301" s="10">
        <v>19</v>
      </c>
      <c r="N301" s="10">
        <v>3500</v>
      </c>
      <c r="O301" s="10">
        <v>5</v>
      </c>
      <c r="P301" s="10">
        <v>63175</v>
      </c>
      <c r="Q301" s="10">
        <v>1</v>
      </c>
      <c r="R301" s="10" t="s">
        <v>272</v>
      </c>
      <c r="S301" s="10" t="s">
        <v>292</v>
      </c>
      <c r="T301" s="10" t="s">
        <v>264</v>
      </c>
      <c r="U301" s="10">
        <v>9904065774</v>
      </c>
      <c r="V301" s="12" t="s">
        <v>257</v>
      </c>
      <c r="W301" t="str">
        <f>IF(OR(Q301&lt;=2,V301="Cancelled"),"Blacklisted",IF(AND(P301&gt;100000,Q301&gt;=4,O301&lt;=10%,V301="Completed"),"Platinum",IF(AND(P301&gt;=50000,Q301&gt;=3,V301="Completed"),"Gold",IF(AND(P301&lt;50000,V301="Completed"),"Silver",""))))</f>
        <v>Blacklisted</v>
      </c>
      <c r="X301" t="str">
        <f>PROPER(TRIM(F301))</f>
        <v>Kavya Nair</v>
      </c>
      <c r="Y301" t="str">
        <f>LEFT(F301,3)&amp;MID(B301,2,3)&amp;LEFT(I301,2)</f>
        <v>Kav008Ah</v>
      </c>
      <c r="Z301" t="str">
        <f>IF(ISNUMBER(SEARCH("@",T301)),LOWER(TRIM(T301)),"invalid email")</f>
        <v>kavya.nair@company.com</v>
      </c>
      <c r="AA301">
        <f ca="1">IF(H300="","",IFERROR(DATEDIF(IF(ISNUMBER(H300),H300,DATE(VALUE(RIGHT(H300,4)),VALUE(MID(H300,3,2)),VALUE(LEFT(H300,2)))),TODAY(),"Y"),""))</f>
        <v>46</v>
      </c>
      <c r="AB301">
        <f>IF(OR(D301="",E301=""),"",IFERROR(DATE(MID(E301,7,4),MID(E301,4,2),LEFT(E301,2))-DATE(MID(D301,7,4),MID(D301,4,2),LEFT(D301,2)),""))</f>
        <v>3</v>
      </c>
      <c r="AC301" t="str">
        <f>IF(E301="","Pending",IF(AB301&lt;=5,"On time","Delayed"))</f>
        <v>On time</v>
      </c>
      <c r="AD301" s="29" t="str">
        <f>IF(TRIM(S301)="","Not Assigned",S301)</f>
        <v>Neha</v>
      </c>
      <c r="AE301" t="str">
        <f>PROPER(TRIM(F301))</f>
        <v>Kavya Nair</v>
      </c>
      <c r="AF301" t="str">
        <f>PROPER(TRIM(K301))</f>
        <v>Home Appliances</v>
      </c>
      <c r="AG301" t="str">
        <f>PROPER(TRIM(J301))</f>
        <v>West</v>
      </c>
      <c r="AH301" t="str">
        <f t="shared" si="8"/>
        <v>Home Appliances</v>
      </c>
      <c r="AI301" t="str">
        <f t="shared" si="9"/>
        <v>Home Appliances</v>
      </c>
      <c r="AK301">
        <f>IF(COUNTIF($A$2:A301,A301)=1,1,0)</f>
        <v>1</v>
      </c>
    </row>
    <row r="302" spans="1:37">
      <c r="A302" s="4" t="s">
        <v>863</v>
      </c>
      <c r="B302" s="5" t="s">
        <v>346</v>
      </c>
      <c r="C302" s="5" t="s">
        <v>267</v>
      </c>
      <c r="D302" s="6">
        <v>45691</v>
      </c>
      <c r="E302" s="6">
        <v>45811</v>
      </c>
      <c r="F302" s="5" t="s">
        <v>348</v>
      </c>
      <c r="G302" s="5" t="s">
        <v>269</v>
      </c>
      <c r="H302" s="5" t="s">
        <v>864</v>
      </c>
      <c r="I302" s="5" t="s">
        <v>342</v>
      </c>
      <c r="J302" s="5" t="s">
        <v>261</v>
      </c>
      <c r="K302" s="5" t="s">
        <v>243</v>
      </c>
      <c r="L302" s="5" t="s">
        <v>271</v>
      </c>
      <c r="M302" s="5">
        <v>17</v>
      </c>
      <c r="N302" s="5">
        <v>1200</v>
      </c>
      <c r="O302" s="5">
        <v>15</v>
      </c>
      <c r="P302" s="5">
        <v>17340</v>
      </c>
      <c r="Q302" s="5">
        <v>2</v>
      </c>
      <c r="R302" s="5" t="s">
        <v>245</v>
      </c>
      <c r="S302" s="5" t="s">
        <v>263</v>
      </c>
      <c r="T302" s="5" t="s">
        <v>350</v>
      </c>
      <c r="U302" s="5">
        <v>9652985385</v>
      </c>
      <c r="V302" s="8" t="s">
        <v>257</v>
      </c>
      <c r="W302" t="str">
        <f>IF(OR(Q302&lt;=2,V302="Cancelled"),"Blacklisted",IF(AND(P302&gt;100000,Q302&gt;=4,O302&lt;=10%,V302="Completed"),"Platinum",IF(AND(P302&gt;=50000,Q302&gt;=3,V302="Completed"),"Gold",IF(AND(P302&lt;50000,V302="Completed"),"Silver",""))))</f>
        <v>Blacklisted</v>
      </c>
      <c r="X302" t="str">
        <f>PROPER(TRIM(F302))</f>
        <v>Vikas Mehta</v>
      </c>
      <c r="Y302" t="str">
        <f>LEFT(F302,3)&amp;MID(B302,2,3)&amp;LEFT(I302,2)</f>
        <v>Vik005Ja</v>
      </c>
      <c r="Z302" t="str">
        <f>IF(ISNUMBER(SEARCH("@",T302)),LOWER(TRIM(T302)),"invalid email")</f>
        <v>vikas.mehta@company.com</v>
      </c>
      <c r="AA302">
        <f ca="1">IF(H301="","",IFERROR(DATEDIF(IF(ISNUMBER(H301),H301,DATE(VALUE(RIGHT(H301,4)),VALUE(MID(H301,3,2)),VALUE(LEFT(H301,2)))),TODAY(),"Y"),""))</f>
        <v>37</v>
      </c>
      <c r="AB302" t="str">
        <f>IF(OR(D302="",E302=""),"",IFERROR(DATE(MID(E302,7,4),MID(E302,4,2),LEFT(E302,2))-DATE(MID(D302,7,4),MID(D302,4,2),LEFT(D302,2)),""))</f>
        <v/>
      </c>
      <c r="AC302" t="str">
        <f>IF(E302="","Pending",IF(AB302&lt;=5,"On time","Delayed"))</f>
        <v>Delayed</v>
      </c>
      <c r="AD302" s="29" t="str">
        <f>IF(TRIM(S302)="","Not Assigned",S302)</f>
        <v>Rahul</v>
      </c>
      <c r="AE302" t="str">
        <f>PROPER(TRIM(F302))</f>
        <v>Vikas Mehta</v>
      </c>
      <c r="AF302" t="str">
        <f>PROPER(TRIM(K302))</f>
        <v>Electronics</v>
      </c>
      <c r="AG302" t="str">
        <f>PROPER(TRIM(J302))</f>
        <v>North</v>
      </c>
      <c r="AH302" t="str">
        <f t="shared" si="8"/>
        <v>Electronics</v>
      </c>
      <c r="AI302" t="str">
        <f t="shared" si="9"/>
        <v>Electronics</v>
      </c>
      <c r="AK302">
        <f>IF(COUNTIF($A$2:A302,A302)=1,1,0)</f>
        <v>1</v>
      </c>
    </row>
    <row r="303" spans="1:37">
      <c r="A303" s="9" t="s">
        <v>865</v>
      </c>
      <c r="B303" s="10" t="s">
        <v>249</v>
      </c>
      <c r="C303" s="10" t="s">
        <v>250</v>
      </c>
      <c r="D303" s="11">
        <v>46267</v>
      </c>
      <c r="E303" s="10" t="s">
        <v>56</v>
      </c>
      <c r="F303" s="10" t="s">
        <v>251</v>
      </c>
      <c r="G303" s="10" t="s">
        <v>239</v>
      </c>
      <c r="H303" s="11">
        <v>36954</v>
      </c>
      <c r="I303" s="10" t="s">
        <v>252</v>
      </c>
      <c r="J303" s="10" t="s">
        <v>242</v>
      </c>
      <c r="K303" s="10" t="s">
        <v>15</v>
      </c>
      <c r="L303" s="10" t="s">
        <v>253</v>
      </c>
      <c r="M303" s="10">
        <v>8</v>
      </c>
      <c r="N303" s="10">
        <v>2200</v>
      </c>
      <c r="O303" s="10">
        <v>5</v>
      </c>
      <c r="P303" s="10">
        <v>16720</v>
      </c>
      <c r="Q303" s="10">
        <v>3</v>
      </c>
      <c r="R303" s="10" t="s">
        <v>272</v>
      </c>
      <c r="S303" s="10" t="s">
        <v>292</v>
      </c>
      <c r="T303" s="10" t="s">
        <v>264</v>
      </c>
      <c r="U303" s="10">
        <v>9427001508</v>
      </c>
      <c r="V303" s="12" t="s">
        <v>248</v>
      </c>
      <c r="W303" t="str">
        <f>IF(OR(Q303&lt;=2,V303="Cancelled"),"Blacklisted",IF(AND(P303&gt;100000,Q303&gt;=4,O303&lt;=10%,V303="Completed"),"Platinum",IF(AND(P303&gt;=50000,Q303&gt;=3,V303="Completed"),"Gold",IF(AND(P303&lt;50000,V303="Completed"),"Silver",""))))</f>
        <v/>
      </c>
      <c r="X303" t="str">
        <f>PROPER(TRIM(F303))</f>
        <v>Kavya Nair</v>
      </c>
      <c r="Y303" t="str">
        <f>LEFT(F303,3)&amp;MID(B303,2,3)&amp;LEFT(I303,2)</f>
        <v>Kav008Hy</v>
      </c>
      <c r="Z303" t="str">
        <f>IF(ISNUMBER(SEARCH("@",T303)),LOWER(TRIM(T303)),"invalid email")</f>
        <v>kavya.nair@company.com</v>
      </c>
      <c r="AA303" t="str">
        <f ca="1">IF(H302="","",IFERROR(DATEDIF(IF(ISNUMBER(H302),H302,DATE(VALUE(RIGHT(H302,4)),VALUE(MID(H302,3,2)),VALUE(LEFT(H302,2)))),TODAY(),"Y"),""))</f>
        <v/>
      </c>
      <c r="AB303" t="str">
        <f>IF(OR(D303="",E303=""),"",IFERROR(DATE(MID(E303,7,4),MID(E303,4,2),LEFT(E303,2))-DATE(MID(D303,7,4),MID(D303,4,2),LEFT(D303,2)),""))</f>
        <v/>
      </c>
      <c r="AC303" t="str">
        <f>IF(E303="","Pending",IF(AB303&lt;=5,"On time","Delayed"))</f>
        <v>Delayed</v>
      </c>
      <c r="AD303" s="29" t="str">
        <f>IF(TRIM(S303)="","Not Assigned",S303)</f>
        <v>Neha</v>
      </c>
      <c r="AE303" t="str">
        <f>PROPER(TRIM(F303))</f>
        <v>Kavya Nair</v>
      </c>
      <c r="AF303" t="str">
        <f>PROPER(TRIM(K303))</f>
        <v>Home Appliances</v>
      </c>
      <c r="AG303" t="str">
        <f>PROPER(TRIM(J303))</f>
        <v>South</v>
      </c>
      <c r="AH303" t="str">
        <f t="shared" si="8"/>
        <v>Home Appliances</v>
      </c>
      <c r="AI303" t="str">
        <f t="shared" si="9"/>
        <v>Home Appliances</v>
      </c>
      <c r="AK303">
        <f>IF(COUNTIF($A$2:A303,A303)=1,1,0)</f>
        <v>1</v>
      </c>
    </row>
    <row r="304" spans="1:37">
      <c r="A304" s="4" t="s">
        <v>866</v>
      </c>
      <c r="B304" s="5" t="s">
        <v>358</v>
      </c>
      <c r="C304" s="5" t="s">
        <v>330</v>
      </c>
      <c r="D304" s="5" t="s">
        <v>42</v>
      </c>
      <c r="E304" s="5" t="s">
        <v>150</v>
      </c>
      <c r="F304" s="5" t="s">
        <v>359</v>
      </c>
      <c r="G304" s="5" t="s">
        <v>239</v>
      </c>
      <c r="H304" s="6">
        <v>33727</v>
      </c>
      <c r="I304" s="5" t="s">
        <v>286</v>
      </c>
      <c r="J304" s="5" t="s">
        <v>287</v>
      </c>
      <c r="K304" s="5" t="s">
        <v>243</v>
      </c>
      <c r="L304" s="5" t="s">
        <v>333</v>
      </c>
      <c r="M304" s="5">
        <v>17</v>
      </c>
      <c r="N304" s="5">
        <v>700</v>
      </c>
      <c r="O304" s="5">
        <v>20</v>
      </c>
      <c r="P304" s="5">
        <v>9520</v>
      </c>
      <c r="Q304" s="5">
        <v>4</v>
      </c>
      <c r="R304" s="5" t="s">
        <v>245</v>
      </c>
      <c r="S304" s="5" t="s">
        <v>292</v>
      </c>
      <c r="T304" s="5" t="s">
        <v>360</v>
      </c>
      <c r="U304" s="5">
        <v>9666803655</v>
      </c>
      <c r="V304" s="8" t="s">
        <v>257</v>
      </c>
      <c r="W304" t="str">
        <f>IF(OR(Q304&lt;=2,V304="Cancelled"),"Blacklisted",IF(AND(P304&gt;100000,Q304&gt;=4,O304&lt;=10%,V304="Completed"),"Platinum",IF(AND(P304&gt;=50000,Q304&gt;=3,V304="Completed"),"Gold",IF(AND(P304&lt;50000,V304="Completed"),"Silver",""))))</f>
        <v>Silver</v>
      </c>
      <c r="X304" t="str">
        <f>PROPER(TRIM(F304))</f>
        <v>Sneha Joshi</v>
      </c>
      <c r="Y304" t="str">
        <f>LEFT(F304,3)&amp;MID(B304,2,3)&amp;LEFT(I304,2)</f>
        <v>Sne006Mu</v>
      </c>
      <c r="Z304" t="str">
        <f>IF(ISNUMBER(SEARCH("@",T304)),LOWER(TRIM(T304)),"invalid email")</f>
        <v>sneha.joshi@company.com</v>
      </c>
      <c r="AA304">
        <f ca="1">IF(H303="","",IFERROR(DATEDIF(IF(ISNUMBER(H303),H303,DATE(VALUE(RIGHT(H303,4)),VALUE(MID(H303,3,2)),VALUE(LEFT(H303,2)))),TODAY(),"Y"),""))</f>
        <v>25</v>
      </c>
      <c r="AB304">
        <f>IF(OR(D304="",E304=""),"",IFERROR(DATE(MID(E304,7,4),MID(E304,4,2),LEFT(E304,2))-DATE(MID(D304,7,4),MID(D304,4,2),LEFT(D304,2)),""))</f>
        <v>10</v>
      </c>
      <c r="AC304" t="str">
        <f>IF(E304="","Pending",IF(AB304&lt;=5,"On time","Delayed"))</f>
        <v>Delayed</v>
      </c>
      <c r="AD304" s="29" t="str">
        <f>IF(TRIM(S304)="","Not Assigned",S304)</f>
        <v>Neha</v>
      </c>
      <c r="AE304" t="str">
        <f>PROPER(TRIM(F304))</f>
        <v>Sneha Joshi</v>
      </c>
      <c r="AF304" t="str">
        <f>PROPER(TRIM(K304))</f>
        <v>Electronics</v>
      </c>
      <c r="AG304" t="str">
        <f>PROPER(TRIM(J304))</f>
        <v>West</v>
      </c>
      <c r="AH304" t="str">
        <f t="shared" si="8"/>
        <v>Electronics</v>
      </c>
      <c r="AI304" t="str">
        <f t="shared" si="9"/>
        <v>Electronics</v>
      </c>
      <c r="AK304">
        <f>IF(COUNTIF($A$2:A304,A304)=1,1,0)</f>
        <v>1</v>
      </c>
    </row>
    <row r="305" spans="1:37">
      <c r="A305" s="9" t="s">
        <v>867</v>
      </c>
      <c r="B305" s="10" t="s">
        <v>358</v>
      </c>
      <c r="C305" s="10" t="s">
        <v>322</v>
      </c>
      <c r="D305" s="10" t="s">
        <v>181</v>
      </c>
      <c r="E305" s="11">
        <v>45878</v>
      </c>
      <c r="F305" s="10" t="s">
        <v>359</v>
      </c>
      <c r="G305" s="10" t="s">
        <v>239</v>
      </c>
      <c r="H305" s="10" t="s">
        <v>776</v>
      </c>
      <c r="I305" s="10" t="s">
        <v>291</v>
      </c>
      <c r="J305" s="10" t="s">
        <v>287</v>
      </c>
      <c r="K305" s="10" t="s">
        <v>15</v>
      </c>
      <c r="L305" s="10" t="s">
        <v>325</v>
      </c>
      <c r="M305" s="10">
        <v>6</v>
      </c>
      <c r="N305" s="10">
        <v>8500</v>
      </c>
      <c r="O305" s="10">
        <v>15</v>
      </c>
      <c r="P305" s="10">
        <v>43350</v>
      </c>
      <c r="Q305" s="10">
        <v>1</v>
      </c>
      <c r="R305" s="10" t="s">
        <v>254</v>
      </c>
      <c r="S305" s="10" t="s">
        <v>246</v>
      </c>
      <c r="T305" s="10" t="s">
        <v>360</v>
      </c>
      <c r="U305" s="10">
        <v>9134878547</v>
      </c>
      <c r="V305" s="12" t="s">
        <v>257</v>
      </c>
      <c r="W305" t="str">
        <f>IF(OR(Q305&lt;=2,V305="Cancelled"),"Blacklisted",IF(AND(P305&gt;100000,Q305&gt;=4,O305&lt;=10%,V305="Completed"),"Platinum",IF(AND(P305&gt;=50000,Q305&gt;=3,V305="Completed"),"Gold",IF(AND(P305&lt;50000,V305="Completed"),"Silver",""))))</f>
        <v>Blacklisted</v>
      </c>
      <c r="X305" t="str">
        <f>PROPER(TRIM(F305))</f>
        <v>Sneha Joshi</v>
      </c>
      <c r="Y305" t="str">
        <f>LEFT(F305,3)&amp;MID(B305,2,3)&amp;LEFT(I305,2)</f>
        <v>Sne006Pu</v>
      </c>
      <c r="Z305" t="str">
        <f>IF(ISNUMBER(SEARCH("@",T305)),LOWER(TRIM(T305)),"invalid email")</f>
        <v>sneha.joshi@company.com</v>
      </c>
      <c r="AA305">
        <f ca="1">IF(H304="","",IFERROR(DATEDIF(IF(ISNUMBER(H304),H304,DATE(VALUE(RIGHT(H304,4)),VALUE(MID(H304,3,2)),VALUE(LEFT(H304,2)))),TODAY(),"Y"),""))</f>
        <v>34</v>
      </c>
      <c r="AB305" t="str">
        <f>IF(OR(D305="",E305=""),"",IFERROR(DATE(MID(E305,7,4),MID(E305,4,2),LEFT(E305,2))-DATE(MID(D305,7,4),MID(D305,4,2),LEFT(D305,2)),""))</f>
        <v/>
      </c>
      <c r="AC305" t="str">
        <f>IF(E305="","Pending",IF(AB305&lt;=5,"On time","Delayed"))</f>
        <v>Delayed</v>
      </c>
      <c r="AD305" s="29" t="str">
        <f>IF(TRIM(S305)="","Not Assigned",S305)</f>
        <v>Aisha</v>
      </c>
      <c r="AE305" t="str">
        <f>PROPER(TRIM(F305))</f>
        <v>Sneha Joshi</v>
      </c>
      <c r="AF305" t="str">
        <f>PROPER(TRIM(K305))</f>
        <v>Home Appliances</v>
      </c>
      <c r="AG305" t="str">
        <f>PROPER(TRIM(J305))</f>
        <v>West</v>
      </c>
      <c r="AH305" t="str">
        <f t="shared" si="8"/>
        <v>Home Appliances</v>
      </c>
      <c r="AI305" t="str">
        <f t="shared" si="9"/>
        <v>Home Appliances</v>
      </c>
      <c r="AK305">
        <f>IF(COUNTIF($A$2:A305,A305)=1,1,0)</f>
        <v>1</v>
      </c>
    </row>
    <row r="306" spans="1:37">
      <c r="A306" s="4" t="s">
        <v>868</v>
      </c>
      <c r="B306" s="5" t="s">
        <v>235</v>
      </c>
      <c r="C306" s="5" t="s">
        <v>280</v>
      </c>
      <c r="D306" s="6">
        <v>45818</v>
      </c>
      <c r="E306" s="6">
        <v>45971</v>
      </c>
      <c r="F306" s="5" t="s">
        <v>318</v>
      </c>
      <c r="G306" s="5" t="s">
        <v>239</v>
      </c>
      <c r="H306" s="6">
        <v>31511</v>
      </c>
      <c r="I306" s="5" t="s">
        <v>252</v>
      </c>
      <c r="J306" s="5" t="s">
        <v>242</v>
      </c>
      <c r="K306" s="5" t="s">
        <v>15</v>
      </c>
      <c r="L306" s="5" t="s">
        <v>282</v>
      </c>
      <c r="M306" s="5">
        <v>3</v>
      </c>
      <c r="N306" s="5">
        <v>3500</v>
      </c>
      <c r="O306" s="5">
        <v>10</v>
      </c>
      <c r="P306" s="5">
        <v>9450</v>
      </c>
      <c r="Q306" s="5">
        <v>1</v>
      </c>
      <c r="R306" s="5" t="s">
        <v>245</v>
      </c>
      <c r="S306" s="5" t="s">
        <v>263</v>
      </c>
      <c r="T306" s="5" t="s">
        <v>247</v>
      </c>
      <c r="U306" s="5">
        <v>9253593557</v>
      </c>
      <c r="V306" s="8" t="s">
        <v>257</v>
      </c>
      <c r="W306" t="str">
        <f>IF(OR(Q306&lt;=2,V306="Cancelled"),"Blacklisted",IF(AND(P306&gt;100000,Q306&gt;=4,O306&lt;=10%,V306="Completed"),"Platinum",IF(AND(P306&gt;=50000,Q306&gt;=3,V306="Completed"),"Gold",IF(AND(P306&lt;50000,V306="Completed"),"Silver",""))))</f>
        <v>Blacklisted</v>
      </c>
      <c r="X306" t="str">
        <f>PROPER(TRIM(F306))</f>
        <v>Pooja Shah</v>
      </c>
      <c r="Y306" t="str">
        <f>LEFT(F306,3)&amp;MID(B306,2,3)&amp;LEFT(I306,2)</f>
        <v>Poo010Hy</v>
      </c>
      <c r="Z306" t="str">
        <f>IF(ISNUMBER(SEARCH("@",T306)),LOWER(TRIM(T306)),"invalid email")</f>
        <v>pooja.shah@company.com</v>
      </c>
      <c r="AA306" t="str">
        <f ca="1">IF(H305="","",IFERROR(DATEDIF(IF(ISNUMBER(H305),H305,DATE(VALUE(RIGHT(H305,4)),VALUE(MID(H305,3,2)),VALUE(LEFT(H305,2)))),TODAY(),"Y"),""))</f>
        <v/>
      </c>
      <c r="AB306" t="str">
        <f>IF(OR(D306="",E306=""),"",IFERROR(DATE(MID(E306,7,4),MID(E306,4,2),LEFT(E306,2))-DATE(MID(D306,7,4),MID(D306,4,2),LEFT(D306,2)),""))</f>
        <v/>
      </c>
      <c r="AC306" t="str">
        <f>IF(E306="","Pending",IF(AB306&lt;=5,"On time","Delayed"))</f>
        <v>Delayed</v>
      </c>
      <c r="AD306" s="29" t="str">
        <f>IF(TRIM(S306)="","Not Assigned",S306)</f>
        <v>Rahul</v>
      </c>
      <c r="AE306" t="str">
        <f>PROPER(TRIM(F306))</f>
        <v>Pooja Shah</v>
      </c>
      <c r="AF306" t="str">
        <f>PROPER(TRIM(K306))</f>
        <v>Home Appliances</v>
      </c>
      <c r="AG306" t="str">
        <f>PROPER(TRIM(J306))</f>
        <v>South</v>
      </c>
      <c r="AH306" t="str">
        <f t="shared" si="8"/>
        <v>Home Appliances</v>
      </c>
      <c r="AI306" t="str">
        <f t="shared" si="9"/>
        <v>Home Appliances</v>
      </c>
      <c r="AK306">
        <f>IF(COUNTIF($A$2:A306,A306)=1,1,0)</f>
        <v>1</v>
      </c>
    </row>
    <row r="307" spans="1:37">
      <c r="A307" s="9" t="s">
        <v>869</v>
      </c>
      <c r="B307" s="10" t="s">
        <v>266</v>
      </c>
      <c r="C307" s="10" t="s">
        <v>258</v>
      </c>
      <c r="D307" s="10" t="s">
        <v>53</v>
      </c>
      <c r="E307" s="10" t="s">
        <v>585</v>
      </c>
      <c r="F307" s="10" t="s">
        <v>268</v>
      </c>
      <c r="G307" s="10" t="s">
        <v>269</v>
      </c>
      <c r="H307" s="10" t="s">
        <v>870</v>
      </c>
      <c r="I307" s="10" t="s">
        <v>306</v>
      </c>
      <c r="J307" s="10" t="s">
        <v>287</v>
      </c>
      <c r="K307" s="10" t="s">
        <v>243</v>
      </c>
      <c r="L307" s="10" t="s">
        <v>262</v>
      </c>
      <c r="M307" s="10">
        <v>2</v>
      </c>
      <c r="N307" s="10">
        <v>12000</v>
      </c>
      <c r="O307" s="10">
        <v>20</v>
      </c>
      <c r="P307" s="10">
        <v>19200</v>
      </c>
      <c r="Q307" s="10">
        <v>1</v>
      </c>
      <c r="R307" s="10" t="s">
        <v>272</v>
      </c>
      <c r="S307" s="10" t="s">
        <v>246</v>
      </c>
      <c r="T307" s="10" t="s">
        <v>273</v>
      </c>
      <c r="U307" s="10">
        <v>9183094051</v>
      </c>
      <c r="V307" s="12" t="s">
        <v>257</v>
      </c>
      <c r="W307" t="str">
        <f>IF(OR(Q307&lt;=2,V307="Cancelled"),"Blacklisted",IF(AND(P307&gt;100000,Q307&gt;=4,O307&lt;=10%,V307="Completed"),"Platinum",IF(AND(P307&gt;=50000,Q307&gt;=3,V307="Completed"),"Gold",IF(AND(P307&lt;50000,V307="Completed"),"Silver",""))))</f>
        <v>Blacklisted</v>
      </c>
      <c r="X307" t="str">
        <f>PROPER(TRIM(F307))</f>
        <v>Mohit Verma</v>
      </c>
      <c r="Y307" t="str">
        <f>LEFT(F307,3)&amp;MID(B307,2,3)&amp;LEFT(I307,2)</f>
        <v>Moh009Ah</v>
      </c>
      <c r="Z307" t="str">
        <f>IF(ISNUMBER(SEARCH("@",T307)),LOWER(TRIM(T307)),"invalid email")</f>
        <v>mohit.verma@company.com</v>
      </c>
      <c r="AA307">
        <f ca="1">IF(H306="","",IFERROR(DATEDIF(IF(ISNUMBER(H306),H306,DATE(VALUE(RIGHT(H306,4)),VALUE(MID(H306,3,2)),VALUE(LEFT(H306,2)))),TODAY(),"Y"),""))</f>
        <v>40</v>
      </c>
      <c r="AB307">
        <f>IF(OR(D307="",E307=""),"",IFERROR(DATE(MID(E307,7,4),MID(E307,4,2),LEFT(E307,2))-DATE(MID(D307,7,4),MID(D307,4,2),LEFT(D307,2)),""))</f>
        <v>12</v>
      </c>
      <c r="AC307" t="str">
        <f>IF(E307="","Pending",IF(AB307&lt;=5,"On time","Delayed"))</f>
        <v>Delayed</v>
      </c>
      <c r="AD307" s="29" t="str">
        <f>IF(TRIM(S307)="","Not Assigned",S307)</f>
        <v>Aisha</v>
      </c>
      <c r="AE307" t="str">
        <f>PROPER(TRIM(F307))</f>
        <v>Mohit Verma</v>
      </c>
      <c r="AF307" t="str">
        <f>PROPER(TRIM(K307))</f>
        <v>Electronics</v>
      </c>
      <c r="AG307" t="str">
        <f>PROPER(TRIM(J307))</f>
        <v>West</v>
      </c>
      <c r="AH307" t="str">
        <f t="shared" si="8"/>
        <v>Electronics</v>
      </c>
      <c r="AI307" t="str">
        <f t="shared" si="9"/>
        <v>Electronics</v>
      </c>
      <c r="AK307">
        <f>IF(COUNTIF($A$2:A307,A307)=1,1,0)</f>
        <v>1</v>
      </c>
    </row>
    <row r="308" spans="1:37">
      <c r="A308" s="4" t="s">
        <v>871</v>
      </c>
      <c r="B308" s="5" t="s">
        <v>346</v>
      </c>
      <c r="C308" s="5" t="s">
        <v>347</v>
      </c>
      <c r="D308" s="5" t="s">
        <v>20</v>
      </c>
      <c r="E308" s="5" t="s">
        <v>872</v>
      </c>
      <c r="F308" s="5" t="s">
        <v>348</v>
      </c>
      <c r="G308" s="5" t="s">
        <v>269</v>
      </c>
      <c r="H308" s="6">
        <v>33272</v>
      </c>
      <c r="I308" s="5" t="s">
        <v>260</v>
      </c>
      <c r="J308" s="5" t="s">
        <v>261</v>
      </c>
      <c r="K308" s="5" t="s">
        <v>295</v>
      </c>
      <c r="L308" s="5" t="s">
        <v>349</v>
      </c>
      <c r="M308" s="5">
        <v>12</v>
      </c>
      <c r="N308" s="5">
        <v>20</v>
      </c>
      <c r="O308" s="5">
        <v>20</v>
      </c>
      <c r="P308" s="5">
        <v>192</v>
      </c>
      <c r="Q308" s="5">
        <v>2</v>
      </c>
      <c r="R308" s="5" t="s">
        <v>272</v>
      </c>
      <c r="S308" s="5" t="s">
        <v>263</v>
      </c>
      <c r="T308" s="5" t="s">
        <v>350</v>
      </c>
      <c r="U308" s="5">
        <v>9293147620</v>
      </c>
      <c r="V308" s="8" t="s">
        <v>257</v>
      </c>
      <c r="W308" t="str">
        <f>IF(OR(Q308&lt;=2,V308="Cancelled"),"Blacklisted",IF(AND(P308&gt;100000,Q308&gt;=4,O308&lt;=10%,V308="Completed"),"Platinum",IF(AND(P308&gt;=50000,Q308&gt;=3,V308="Completed"),"Gold",IF(AND(P308&lt;50000,V308="Completed"),"Silver",""))))</f>
        <v>Blacklisted</v>
      </c>
      <c r="X308" t="str">
        <f>PROPER(TRIM(F308))</f>
        <v>Vikas Mehta</v>
      </c>
      <c r="Y308" t="str">
        <f>LEFT(F308,3)&amp;MID(B308,2,3)&amp;LEFT(I308,2)</f>
        <v>Vik005De</v>
      </c>
      <c r="Z308" t="str">
        <f>IF(ISNUMBER(SEARCH("@",T308)),LOWER(TRIM(T308)),"invalid email")</f>
        <v>vikas.mehta@company.com</v>
      </c>
      <c r="AA308" t="str">
        <f ca="1">IF(H307="","",IFERROR(DATEDIF(IF(ISNUMBER(H307),H307,DATE(VALUE(RIGHT(H307,4)),VALUE(MID(H307,3,2)),VALUE(LEFT(H307,2)))),TODAY(),"Y"),""))</f>
        <v/>
      </c>
      <c r="AB308">
        <f>IF(OR(D308="",E308=""),"",IFERROR(DATE(MID(E308,7,4),MID(E308,4,2),LEFT(E308,2))-DATE(MID(D308,7,4),MID(D308,4,2),LEFT(D308,2)),""))</f>
        <v>3</v>
      </c>
      <c r="AC308" t="str">
        <f>IF(E308="","Pending",IF(AB308&lt;=5,"On time","Delayed"))</f>
        <v>On time</v>
      </c>
      <c r="AD308" s="29" t="str">
        <f>IF(TRIM(S308)="","Not Assigned",S308)</f>
        <v>Rahul</v>
      </c>
      <c r="AE308" t="str">
        <f>PROPER(TRIM(F308))</f>
        <v>Vikas Mehta</v>
      </c>
      <c r="AF308" t="str">
        <f>PROPER(TRIM(K308))</f>
        <v>Stationery</v>
      </c>
      <c r="AG308" t="str">
        <f>PROPER(TRIM(J308))</f>
        <v>North</v>
      </c>
      <c r="AH308" t="str">
        <f t="shared" si="8"/>
        <v>Stationery</v>
      </c>
      <c r="AI308" t="str">
        <f t="shared" si="9"/>
        <v>Stationery</v>
      </c>
      <c r="AK308">
        <f>IF(COUNTIF($A$2:A308,A308)=1,1,0)</f>
        <v>1</v>
      </c>
    </row>
    <row r="309" spans="1:37">
      <c r="A309" s="9" t="s">
        <v>873</v>
      </c>
      <c r="B309" s="10" t="s">
        <v>284</v>
      </c>
      <c r="C309" s="10" t="s">
        <v>258</v>
      </c>
      <c r="D309" s="10" t="s">
        <v>154</v>
      </c>
      <c r="E309" s="10" t="s">
        <v>874</v>
      </c>
      <c r="F309" s="10" t="s">
        <v>285</v>
      </c>
      <c r="G309" s="10" t="s">
        <v>239</v>
      </c>
      <c r="H309" s="10" t="s">
        <v>875</v>
      </c>
      <c r="I309" s="10" t="s">
        <v>379</v>
      </c>
      <c r="J309" s="10" t="s">
        <v>21</v>
      </c>
      <c r="K309" s="10" t="s">
        <v>243</v>
      </c>
      <c r="L309" s="10" t="s">
        <v>262</v>
      </c>
      <c r="M309" s="10">
        <v>20</v>
      </c>
      <c r="N309" s="10">
        <v>12000</v>
      </c>
      <c r="O309" s="10">
        <v>15</v>
      </c>
      <c r="P309" s="10">
        <v>204000</v>
      </c>
      <c r="Q309" s="10">
        <v>3</v>
      </c>
      <c r="R309" s="10" t="s">
        <v>254</v>
      </c>
      <c r="S309" s="10" t="s">
        <v>255</v>
      </c>
      <c r="T309" s="10" t="s">
        <v>308</v>
      </c>
      <c r="U309" s="10">
        <v>9755583734</v>
      </c>
      <c r="V309" s="12" t="s">
        <v>248</v>
      </c>
      <c r="W309" t="str">
        <f>IF(OR(Q309&lt;=2,V309="Cancelled"),"Blacklisted",IF(AND(P309&gt;100000,Q309&gt;=4,O309&lt;=10%,V309="Completed"),"Platinum",IF(AND(P309&gt;=50000,Q309&gt;=3,V309="Completed"),"Gold",IF(AND(P309&lt;50000,V309="Completed"),"Silver",""))))</f>
        <v/>
      </c>
      <c r="X309" t="str">
        <f>PROPER(TRIM(F309))</f>
        <v>Priya Patel</v>
      </c>
      <c r="Y309" t="str">
        <f>LEFT(F309,3)&amp;MID(B309,2,3)&amp;LEFT(I309,2)</f>
        <v>Pri002Ko</v>
      </c>
      <c r="Z309" t="str">
        <f>IF(ISNUMBER(SEARCH("@",T309)),LOWER(TRIM(T309)),"invalid email")</f>
        <v>priya.patel@company.com</v>
      </c>
      <c r="AA309">
        <f ca="1">IF(H308="","",IFERROR(DATEDIF(IF(ISNUMBER(H308),H308,DATE(VALUE(RIGHT(H308,4)),VALUE(MID(H308,3,2)),VALUE(LEFT(H308,2)))),TODAY(),"Y"),""))</f>
        <v>35</v>
      </c>
      <c r="AB309">
        <f>IF(OR(D309="",E309=""),"",IFERROR(DATE(MID(E309,7,4),MID(E309,4,2),LEFT(E309,2))-DATE(MID(D309,7,4),MID(D309,4,2),LEFT(D309,2)),""))</f>
        <v>2</v>
      </c>
      <c r="AC309" t="str">
        <f>IF(E309="","Pending",IF(AB309&lt;=5,"On time","Delayed"))</f>
        <v>On time</v>
      </c>
      <c r="AD309" s="29" t="str">
        <f>IF(TRIM(S309)="","Not Assigned",S309)</f>
        <v>Ritika</v>
      </c>
      <c r="AE309" t="str">
        <f>PROPER(TRIM(F309))</f>
        <v>Priya Patel</v>
      </c>
      <c r="AF309" t="str">
        <f>PROPER(TRIM(K309))</f>
        <v>Electronics</v>
      </c>
      <c r="AG309" t="str">
        <f>PROPER(TRIM(J309))</f>
        <v>East</v>
      </c>
      <c r="AH309" t="str">
        <f t="shared" si="8"/>
        <v>Electronics</v>
      </c>
      <c r="AI309" t="str">
        <f t="shared" si="9"/>
        <v>Electronics</v>
      </c>
      <c r="AK309">
        <f>IF(COUNTIF($A$2:A309,A309)=1,1,0)</f>
        <v>1</v>
      </c>
    </row>
    <row r="310" spans="1:37">
      <c r="A310" s="4" t="s">
        <v>876</v>
      </c>
      <c r="B310" s="5" t="s">
        <v>235</v>
      </c>
      <c r="C310" s="5" t="s">
        <v>294</v>
      </c>
      <c r="D310" s="5" t="s">
        <v>131</v>
      </c>
      <c r="E310" s="6">
        <v>46116</v>
      </c>
      <c r="F310" s="5" t="s">
        <v>318</v>
      </c>
      <c r="G310" s="5" t="s">
        <v>239</v>
      </c>
      <c r="H310" s="6">
        <v>37654</v>
      </c>
      <c r="I310" s="5" t="s">
        <v>342</v>
      </c>
      <c r="J310" s="5" t="s">
        <v>261</v>
      </c>
      <c r="K310" s="5" t="s">
        <v>295</v>
      </c>
      <c r="L310" s="5" t="s">
        <v>296</v>
      </c>
      <c r="M310" s="5">
        <v>13</v>
      </c>
      <c r="N310" s="5">
        <v>60</v>
      </c>
      <c r="O310" s="5">
        <v>10</v>
      </c>
      <c r="P310" s="5">
        <v>702</v>
      </c>
      <c r="Q310" s="5">
        <v>5</v>
      </c>
      <c r="R310" s="5" t="s">
        <v>254</v>
      </c>
      <c r="S310" s="5" t="s">
        <v>255</v>
      </c>
      <c r="T310" s="5" t="s">
        <v>247</v>
      </c>
      <c r="U310" s="5">
        <v>9186592813</v>
      </c>
      <c r="V310" s="8" t="s">
        <v>248</v>
      </c>
      <c r="W310" t="str">
        <f>IF(OR(Q310&lt;=2,V310="Cancelled"),"Blacklisted",IF(AND(P310&gt;100000,Q310&gt;=4,O310&lt;=10%,V310="Completed"),"Platinum",IF(AND(P310&gt;=50000,Q310&gt;=3,V310="Completed"),"Gold",IF(AND(P310&lt;50000,V310="Completed"),"Silver",""))))</f>
        <v/>
      </c>
      <c r="X310" t="str">
        <f>PROPER(TRIM(F310))</f>
        <v>Pooja Shah</v>
      </c>
      <c r="Y310" t="str">
        <f>LEFT(F310,3)&amp;MID(B310,2,3)&amp;LEFT(I310,2)</f>
        <v>Poo010Ja</v>
      </c>
      <c r="Z310" t="str">
        <f>IF(ISNUMBER(SEARCH("@",T310)),LOWER(TRIM(T310)),"invalid email")</f>
        <v>pooja.shah@company.com</v>
      </c>
      <c r="AA310" t="str">
        <f ca="1">IF(H309="","",IFERROR(DATEDIF(IF(ISNUMBER(H309),H309,DATE(VALUE(RIGHT(H309,4)),VALUE(MID(H309,3,2)),VALUE(LEFT(H309,2)))),TODAY(),"Y"),""))</f>
        <v/>
      </c>
      <c r="AB310" t="str">
        <f>IF(OR(D310="",E310=""),"",IFERROR(DATE(MID(E310,7,4),MID(E310,4,2),LEFT(E310,2))-DATE(MID(D310,7,4),MID(D310,4,2),LEFT(D310,2)),""))</f>
        <v/>
      </c>
      <c r="AC310" t="str">
        <f>IF(E310="","Pending",IF(AB310&lt;=5,"On time","Delayed"))</f>
        <v>Delayed</v>
      </c>
      <c r="AD310" s="29" t="str">
        <f>IF(TRIM(S310)="","Not Assigned",S310)</f>
        <v>Ritika</v>
      </c>
      <c r="AE310" t="str">
        <f>PROPER(TRIM(F310))</f>
        <v>Pooja Shah</v>
      </c>
      <c r="AF310" t="str">
        <f>PROPER(TRIM(K310))</f>
        <v>Stationery</v>
      </c>
      <c r="AG310" t="str">
        <f>PROPER(TRIM(J310))</f>
        <v>North</v>
      </c>
      <c r="AH310" t="str">
        <f t="shared" si="8"/>
        <v>Stationery</v>
      </c>
      <c r="AI310" t="str">
        <f t="shared" si="9"/>
        <v>Stationery</v>
      </c>
      <c r="AK310">
        <f>IF(COUNTIF($A$2:A310,A310)=1,1,0)</f>
        <v>1</v>
      </c>
    </row>
    <row r="311" spans="1:37">
      <c r="A311" s="9" t="s">
        <v>877</v>
      </c>
      <c r="B311" s="10" t="s">
        <v>266</v>
      </c>
      <c r="C311" s="10" t="s">
        <v>236</v>
      </c>
      <c r="D311" s="11">
        <v>45874</v>
      </c>
      <c r="E311" s="10" t="s">
        <v>79</v>
      </c>
      <c r="F311" s="10" t="s">
        <v>268</v>
      </c>
      <c r="G311" s="10" t="s">
        <v>269</v>
      </c>
      <c r="H311" s="10" t="s">
        <v>878</v>
      </c>
      <c r="I311" s="10" t="s">
        <v>291</v>
      </c>
      <c r="J311" s="10" t="s">
        <v>287</v>
      </c>
      <c r="K311" s="10" t="s">
        <v>243</v>
      </c>
      <c r="L311" s="10" t="s">
        <v>244</v>
      </c>
      <c r="M311" s="10">
        <v>13</v>
      </c>
      <c r="N311" s="10">
        <v>55000</v>
      </c>
      <c r="O311" s="10">
        <v>5</v>
      </c>
      <c r="P311" s="10">
        <v>679250</v>
      </c>
      <c r="Q311" s="10">
        <v>1</v>
      </c>
      <c r="R311" s="10" t="s">
        <v>277</v>
      </c>
      <c r="S311" s="10" t="s">
        <v>312</v>
      </c>
      <c r="T311" s="10" t="s">
        <v>273</v>
      </c>
      <c r="U311" s="10">
        <v>9203482008</v>
      </c>
      <c r="V311" s="12" t="s">
        <v>248</v>
      </c>
      <c r="W311" t="str">
        <f>IF(OR(Q311&lt;=2,V311="Cancelled"),"Blacklisted",IF(AND(P311&gt;100000,Q311&gt;=4,O311&lt;=10%,V311="Completed"),"Platinum",IF(AND(P311&gt;=50000,Q311&gt;=3,V311="Completed"),"Gold",IF(AND(P311&lt;50000,V311="Completed"),"Silver",""))))</f>
        <v>Blacklisted</v>
      </c>
      <c r="X311" t="str">
        <f>PROPER(TRIM(F311))</f>
        <v>Mohit Verma</v>
      </c>
      <c r="Y311" t="str">
        <f>LEFT(F311,3)&amp;MID(B311,2,3)&amp;LEFT(I311,2)</f>
        <v>Moh009Pu</v>
      </c>
      <c r="Z311" t="str">
        <f>IF(ISNUMBER(SEARCH("@",T311)),LOWER(TRIM(T311)),"invalid email")</f>
        <v>mohit.verma@company.com</v>
      </c>
      <c r="AA311">
        <f ca="1">IF(H310="","",IFERROR(DATEDIF(IF(ISNUMBER(H310),H310,DATE(VALUE(RIGHT(H310,4)),VALUE(MID(H310,3,2)),VALUE(LEFT(H310,2)))),TODAY(),"Y"),""))</f>
        <v>23</v>
      </c>
      <c r="AB311" t="str">
        <f>IF(OR(D311="",E311=""),"",IFERROR(DATE(MID(E311,7,4),MID(E311,4,2),LEFT(E311,2))-DATE(MID(D311,7,4),MID(D311,4,2),LEFT(D311,2)),""))</f>
        <v/>
      </c>
      <c r="AC311" t="str">
        <f>IF(E311="","Pending",IF(AB311&lt;=5,"On time","Delayed"))</f>
        <v>Delayed</v>
      </c>
      <c r="AD311" s="29" t="str">
        <f>IF(TRIM(S311)="","Not Assigned",S311)</f>
        <v>Karan</v>
      </c>
      <c r="AE311" t="str">
        <f>PROPER(TRIM(F311))</f>
        <v>Mohit Verma</v>
      </c>
      <c r="AF311" t="str">
        <f>PROPER(TRIM(K311))</f>
        <v>Electronics</v>
      </c>
      <c r="AG311" t="str">
        <f>PROPER(TRIM(J311))</f>
        <v>West</v>
      </c>
      <c r="AH311" t="str">
        <f t="shared" si="8"/>
        <v>Electronics</v>
      </c>
      <c r="AI311" t="str">
        <f t="shared" si="9"/>
        <v>Electronics</v>
      </c>
      <c r="AK311">
        <f>IF(COUNTIF($A$2:A311,A311)=1,1,0)</f>
        <v>1</v>
      </c>
    </row>
    <row r="312" spans="1:37">
      <c r="A312" s="4" t="s">
        <v>879</v>
      </c>
      <c r="B312" s="5" t="s">
        <v>284</v>
      </c>
      <c r="C312" s="5" t="s">
        <v>267</v>
      </c>
      <c r="D312" s="6">
        <v>46206</v>
      </c>
      <c r="E312" s="6">
        <v>46298</v>
      </c>
      <c r="F312" s="5" t="s">
        <v>285</v>
      </c>
      <c r="G312" s="5" t="s">
        <v>239</v>
      </c>
      <c r="H312" s="5" t="s">
        <v>880</v>
      </c>
      <c r="I312" s="5" t="s">
        <v>241</v>
      </c>
      <c r="J312" s="5" t="s">
        <v>242</v>
      </c>
      <c r="K312" s="5" t="s">
        <v>243</v>
      </c>
      <c r="L312" s="5" t="s">
        <v>271</v>
      </c>
      <c r="M312" s="5">
        <v>7</v>
      </c>
      <c r="N312" s="5">
        <v>1200</v>
      </c>
      <c r="O312" s="5">
        <v>15</v>
      </c>
      <c r="P312" s="5">
        <v>7140</v>
      </c>
      <c r="Q312" s="5">
        <v>5</v>
      </c>
      <c r="R312" s="5" t="s">
        <v>277</v>
      </c>
      <c r="S312" s="5" t="s">
        <v>263</v>
      </c>
      <c r="T312" s="5" t="s">
        <v>308</v>
      </c>
      <c r="U312" s="5">
        <v>9829888777</v>
      </c>
      <c r="V312" s="8" t="s">
        <v>248</v>
      </c>
      <c r="W312" t="str">
        <f>IF(OR(Q312&lt;=2,V312="Cancelled"),"Blacklisted",IF(AND(P312&gt;100000,Q312&gt;=4,O312&lt;=10%,V312="Completed"),"Platinum",IF(AND(P312&gt;=50000,Q312&gt;=3,V312="Completed"),"Gold",IF(AND(P312&lt;50000,V312="Completed"),"Silver",""))))</f>
        <v/>
      </c>
      <c r="X312" t="str">
        <f>PROPER(TRIM(F312))</f>
        <v>Priya Patel</v>
      </c>
      <c r="Y312" t="str">
        <f>LEFT(F312,3)&amp;MID(B312,2,3)&amp;LEFT(I312,2)</f>
        <v>Pri002Be</v>
      </c>
      <c r="Z312" t="str">
        <f>IF(ISNUMBER(SEARCH("@",T312)),LOWER(TRIM(T312)),"invalid email")</f>
        <v>priya.patel@company.com</v>
      </c>
      <c r="AA312" t="str">
        <f ca="1">IF(H311="","",IFERROR(DATEDIF(IF(ISNUMBER(H311),H311,DATE(VALUE(RIGHT(H311,4)),VALUE(MID(H311,3,2)),VALUE(LEFT(H311,2)))),TODAY(),"Y"),""))</f>
        <v/>
      </c>
      <c r="AB312" t="str">
        <f>IF(OR(D312="",E312=""),"",IFERROR(DATE(MID(E312,7,4),MID(E312,4,2),LEFT(E312,2))-DATE(MID(D312,7,4),MID(D312,4,2),LEFT(D312,2)),""))</f>
        <v/>
      </c>
      <c r="AC312" t="str">
        <f>IF(E312="","Pending",IF(AB312&lt;=5,"On time","Delayed"))</f>
        <v>Delayed</v>
      </c>
      <c r="AD312" s="29" t="str">
        <f>IF(TRIM(S312)="","Not Assigned",S312)</f>
        <v>Rahul</v>
      </c>
      <c r="AE312" t="str">
        <f>PROPER(TRIM(F312))</f>
        <v>Priya Patel</v>
      </c>
      <c r="AF312" t="str">
        <f>PROPER(TRIM(K312))</f>
        <v>Electronics</v>
      </c>
      <c r="AG312" t="str">
        <f>PROPER(TRIM(J312))</f>
        <v>South</v>
      </c>
      <c r="AH312" t="str">
        <f t="shared" si="8"/>
        <v>Electronics</v>
      </c>
      <c r="AI312" t="str">
        <f t="shared" si="9"/>
        <v>Electronics</v>
      </c>
      <c r="AK312">
        <f>IF(COUNTIF($A$2:A312,A312)=1,1,0)</f>
        <v>1</v>
      </c>
    </row>
    <row r="313" spans="1:37">
      <c r="A313" s="9" t="s">
        <v>881</v>
      </c>
      <c r="B313" s="10" t="s">
        <v>275</v>
      </c>
      <c r="C313" s="10" t="s">
        <v>258</v>
      </c>
      <c r="D313" s="10" t="s">
        <v>159</v>
      </c>
      <c r="E313" s="10" t="s">
        <v>882</v>
      </c>
      <c r="F313" s="10" t="s">
        <v>328</v>
      </c>
      <c r="G313" s="10" t="s">
        <v>269</v>
      </c>
      <c r="H313" s="10" t="s">
        <v>883</v>
      </c>
      <c r="I313" s="10" t="s">
        <v>342</v>
      </c>
      <c r="J313" s="10" t="s">
        <v>261</v>
      </c>
      <c r="K313" s="10" t="s">
        <v>243</v>
      </c>
      <c r="L313" s="10" t="s">
        <v>262</v>
      </c>
      <c r="M313" s="10">
        <v>17</v>
      </c>
      <c r="N313" s="10">
        <v>12000</v>
      </c>
      <c r="O313" s="10">
        <v>5</v>
      </c>
      <c r="P313" s="10">
        <v>193800</v>
      </c>
      <c r="Q313" s="10">
        <v>1</v>
      </c>
      <c r="R313" s="10" t="s">
        <v>254</v>
      </c>
      <c r="S313" s="10" t="s">
        <v>246</v>
      </c>
      <c r="T313" s="10" t="s">
        <v>278</v>
      </c>
      <c r="U313" s="10">
        <v>9566101317</v>
      </c>
      <c r="V313" s="12" t="s">
        <v>265</v>
      </c>
      <c r="W313" t="str">
        <f>IF(OR(Q313&lt;=2,V313="Cancelled"),"Blacklisted",IF(AND(P313&gt;100000,Q313&gt;=4,O313&lt;=10%,V313="Completed"),"Platinum",IF(AND(P313&gt;=50000,Q313&gt;=3,V313="Completed"),"Gold",IF(AND(P313&lt;50000,V313="Completed"),"Silver",""))))</f>
        <v>Blacklisted</v>
      </c>
      <c r="X313" t="str">
        <f>PROPER(TRIM(F313))</f>
        <v>Arjun Rao</v>
      </c>
      <c r="Y313" t="str">
        <f>LEFT(F313,3)&amp;MID(B313,2,3)&amp;LEFT(I313,2)</f>
        <v>Arj007Ja</v>
      </c>
      <c r="Z313" t="str">
        <f>IF(ISNUMBER(SEARCH("@",T313)),LOWER(TRIM(T313)),"invalid email")</f>
        <v>arjun.rao@company.com</v>
      </c>
      <c r="AA313" t="str">
        <f ca="1">IF(H312="","",IFERROR(DATEDIF(IF(ISNUMBER(H312),H312,DATE(VALUE(RIGHT(H312,4)),VALUE(MID(H312,3,2)),VALUE(LEFT(H312,2)))),TODAY(),"Y"),""))</f>
        <v/>
      </c>
      <c r="AB313">
        <f>IF(OR(D313="",E313=""),"",IFERROR(DATE(MID(E313,7,4),MID(E313,4,2),LEFT(E313,2))-DATE(MID(D313,7,4),MID(D313,4,2),LEFT(D313,2)),""))</f>
        <v>4</v>
      </c>
      <c r="AC313" t="str">
        <f>IF(E313="","Pending",IF(AB313&lt;=5,"On time","Delayed"))</f>
        <v>On time</v>
      </c>
      <c r="AD313" s="29" t="str">
        <f>IF(TRIM(S313)="","Not Assigned",S313)</f>
        <v>Aisha</v>
      </c>
      <c r="AE313" t="str">
        <f>PROPER(TRIM(F313))</f>
        <v>Arjun Rao</v>
      </c>
      <c r="AF313" t="str">
        <f>PROPER(TRIM(K313))</f>
        <v>Electronics</v>
      </c>
      <c r="AG313" t="str">
        <f>PROPER(TRIM(J313))</f>
        <v>North</v>
      </c>
      <c r="AH313" t="str">
        <f t="shared" si="8"/>
        <v>Electronics</v>
      </c>
      <c r="AI313" t="str">
        <f t="shared" si="9"/>
        <v>Electronics</v>
      </c>
      <c r="AK313">
        <f>IF(COUNTIF($A$2:A313,A313)=1,1,0)</f>
        <v>1</v>
      </c>
    </row>
    <row r="314" spans="1:37">
      <c r="A314" s="4" t="s">
        <v>884</v>
      </c>
      <c r="B314" s="5" t="s">
        <v>275</v>
      </c>
      <c r="C314" s="5" t="s">
        <v>347</v>
      </c>
      <c r="D314" s="5" t="s">
        <v>78</v>
      </c>
      <c r="E314" s="5" t="s">
        <v>142</v>
      </c>
      <c r="F314" s="5" t="s">
        <v>328</v>
      </c>
      <c r="G314" s="5" t="s">
        <v>269</v>
      </c>
      <c r="H314" s="6">
        <v>28532</v>
      </c>
      <c r="I314" s="5" t="s">
        <v>241</v>
      </c>
      <c r="J314" s="5" t="s">
        <v>242</v>
      </c>
      <c r="K314" s="5" t="s">
        <v>295</v>
      </c>
      <c r="L314" s="5" t="s">
        <v>349</v>
      </c>
      <c r="M314" s="5">
        <v>10</v>
      </c>
      <c r="N314" s="5">
        <v>20</v>
      </c>
      <c r="O314" s="5">
        <v>5</v>
      </c>
      <c r="P314" s="5">
        <v>190</v>
      </c>
      <c r="Q314" s="5">
        <v>2</v>
      </c>
      <c r="R314" s="5" t="s">
        <v>254</v>
      </c>
      <c r="S314" s="5" t="s">
        <v>246</v>
      </c>
      <c r="T314" s="5" t="s">
        <v>278</v>
      </c>
      <c r="U314" s="5">
        <v>9706240823</v>
      </c>
      <c r="V314" s="8" t="s">
        <v>265</v>
      </c>
      <c r="W314" t="str">
        <f>IF(OR(Q314&lt;=2,V314="Cancelled"),"Blacklisted",IF(AND(P314&gt;100000,Q314&gt;=4,O314&lt;=10%,V314="Completed"),"Platinum",IF(AND(P314&gt;=50000,Q314&gt;=3,V314="Completed"),"Gold",IF(AND(P314&lt;50000,V314="Completed"),"Silver",""))))</f>
        <v>Blacklisted</v>
      </c>
      <c r="X314" t="str">
        <f>PROPER(TRIM(F314))</f>
        <v>Arjun Rao</v>
      </c>
      <c r="Y314" t="str">
        <f>LEFT(F314,3)&amp;MID(B314,2,3)&amp;LEFT(I314,2)</f>
        <v>Arj007Be</v>
      </c>
      <c r="Z314" t="str">
        <f>IF(ISNUMBER(SEARCH("@",T314)),LOWER(TRIM(T314)),"invalid email")</f>
        <v>arjun.rao@company.com</v>
      </c>
      <c r="AA314" t="str">
        <f ca="1">IF(H313="","",IFERROR(DATEDIF(IF(ISNUMBER(H313),H313,DATE(VALUE(RIGHT(H313,4)),VALUE(MID(H313,3,2)),VALUE(LEFT(H313,2)))),TODAY(),"Y"),""))</f>
        <v/>
      </c>
      <c r="AB314">
        <f>IF(OR(D314="",E314=""),"",IFERROR(DATE(MID(E314,7,4),MID(E314,4,2),LEFT(E314,2))-DATE(MID(D314,7,4),MID(D314,4,2),LEFT(D314,2)),""))</f>
        <v>6</v>
      </c>
      <c r="AC314" t="str">
        <f>IF(E314="","Pending",IF(AB314&lt;=5,"On time","Delayed"))</f>
        <v>Delayed</v>
      </c>
      <c r="AD314" s="29" t="str">
        <f>IF(TRIM(S314)="","Not Assigned",S314)</f>
        <v>Aisha</v>
      </c>
      <c r="AE314" t="str">
        <f>PROPER(TRIM(F314))</f>
        <v>Arjun Rao</v>
      </c>
      <c r="AF314" t="str">
        <f>PROPER(TRIM(K314))</f>
        <v>Stationery</v>
      </c>
      <c r="AG314" t="str">
        <f>PROPER(TRIM(J314))</f>
        <v>South</v>
      </c>
      <c r="AH314" t="str">
        <f t="shared" si="8"/>
        <v>Stationery</v>
      </c>
      <c r="AI314" t="str">
        <f t="shared" si="9"/>
        <v>Stationery</v>
      </c>
      <c r="AK314">
        <f>IF(COUNTIF($A$2:A314,A314)=1,1,0)</f>
        <v>1</v>
      </c>
    </row>
    <row r="315" spans="1:37">
      <c r="A315" s="9" t="s">
        <v>885</v>
      </c>
      <c r="B315" s="10" t="s">
        <v>321</v>
      </c>
      <c r="C315" s="10" t="s">
        <v>250</v>
      </c>
      <c r="D315" s="11">
        <v>45788</v>
      </c>
      <c r="E315" s="11">
        <v>45880</v>
      </c>
      <c r="F315" s="10" t="s">
        <v>408</v>
      </c>
      <c r="G315" s="10" t="s">
        <v>239</v>
      </c>
      <c r="H315" s="10" t="s">
        <v>886</v>
      </c>
      <c r="I315" s="10" t="s">
        <v>260</v>
      </c>
      <c r="J315" s="10" t="s">
        <v>261</v>
      </c>
      <c r="K315" s="10" t="s">
        <v>15</v>
      </c>
      <c r="L315" s="10" t="s">
        <v>253</v>
      </c>
      <c r="M315" s="10">
        <v>11</v>
      </c>
      <c r="N315" s="10">
        <v>2200</v>
      </c>
      <c r="O315" s="10">
        <v>5</v>
      </c>
      <c r="P315" s="10">
        <v>22990</v>
      </c>
      <c r="Q315" s="10">
        <v>5</v>
      </c>
      <c r="R315" s="10" t="s">
        <v>272</v>
      </c>
      <c r="S315" s="10" t="s">
        <v>263</v>
      </c>
      <c r="T315" s="10" t="s">
        <v>326</v>
      </c>
      <c r="U315" s="10">
        <v>9259943760</v>
      </c>
      <c r="V315" s="12" t="s">
        <v>248</v>
      </c>
      <c r="W315" t="str">
        <f>IF(OR(Q315&lt;=2,V315="Cancelled"),"Blacklisted",IF(AND(P315&gt;100000,Q315&gt;=4,O315&lt;=10%,V315="Completed"),"Platinum",IF(AND(P315&gt;=50000,Q315&gt;=3,V315="Completed"),"Gold",IF(AND(P315&lt;50000,V315="Completed"),"Silver",""))))</f>
        <v/>
      </c>
      <c r="X315" t="str">
        <f>PROPER(TRIM(F315))</f>
        <v>Anita Gupta</v>
      </c>
      <c r="Y315" t="str">
        <f>LEFT(F315,3)&amp;MID(B315,2,3)&amp;LEFT(I315,2)</f>
        <v>Ani004De</v>
      </c>
      <c r="Z315" t="str">
        <f>IF(ISNUMBER(SEARCH("@",T315)),LOWER(TRIM(T315)),"invalid email")</f>
        <v>anita.gupta@company.com</v>
      </c>
      <c r="AA315">
        <f ca="1">IF(H314="","",IFERROR(DATEDIF(IF(ISNUMBER(H314),H314,DATE(VALUE(RIGHT(H314,4)),VALUE(MID(H314,3,2)),VALUE(LEFT(H314,2)))),TODAY(),"Y"),""))</f>
        <v>48</v>
      </c>
      <c r="AB315" t="str">
        <f>IF(OR(D315="",E315=""),"",IFERROR(DATE(MID(E315,7,4),MID(E315,4,2),LEFT(E315,2))-DATE(MID(D315,7,4),MID(D315,4,2),LEFT(D315,2)),""))</f>
        <v/>
      </c>
      <c r="AC315" t="str">
        <f>IF(E315="","Pending",IF(AB315&lt;=5,"On time","Delayed"))</f>
        <v>Delayed</v>
      </c>
      <c r="AD315" s="29" t="str">
        <f>IF(TRIM(S315)="","Not Assigned",S315)</f>
        <v>Rahul</v>
      </c>
      <c r="AE315" t="str">
        <f>PROPER(TRIM(F315))</f>
        <v>Anita Gupta</v>
      </c>
      <c r="AF315" t="str">
        <f>PROPER(TRIM(K315))</f>
        <v>Home Appliances</v>
      </c>
      <c r="AG315" t="str">
        <f>PROPER(TRIM(J315))</f>
        <v>North</v>
      </c>
      <c r="AH315" t="str">
        <f t="shared" si="8"/>
        <v>Home Appliances</v>
      </c>
      <c r="AI315" t="str">
        <f t="shared" si="9"/>
        <v>Home Appliances</v>
      </c>
      <c r="AK315">
        <f>IF(COUNTIF($A$2:A315,A315)=1,1,0)</f>
        <v>1</v>
      </c>
    </row>
    <row r="316" spans="1:37">
      <c r="A316" s="4" t="s">
        <v>887</v>
      </c>
      <c r="B316" s="5" t="s">
        <v>284</v>
      </c>
      <c r="C316" s="5" t="s">
        <v>294</v>
      </c>
      <c r="D316" s="5" t="s">
        <v>130</v>
      </c>
      <c r="E316" s="5" t="s">
        <v>176</v>
      </c>
      <c r="F316" s="5" t="s">
        <v>285</v>
      </c>
      <c r="G316" s="5" t="s">
        <v>239</v>
      </c>
      <c r="H316" s="6">
        <v>34912</v>
      </c>
      <c r="I316" s="5" t="s">
        <v>342</v>
      </c>
      <c r="J316" s="5" t="s">
        <v>261</v>
      </c>
      <c r="K316" s="5" t="s">
        <v>295</v>
      </c>
      <c r="L316" s="5" t="s">
        <v>296</v>
      </c>
      <c r="M316" s="5">
        <v>8</v>
      </c>
      <c r="N316" s="5">
        <v>60</v>
      </c>
      <c r="O316" s="5">
        <v>15</v>
      </c>
      <c r="P316" s="5">
        <v>408</v>
      </c>
      <c r="Q316" s="5">
        <v>4</v>
      </c>
      <c r="R316" s="5" t="s">
        <v>254</v>
      </c>
      <c r="S316" s="5" t="s">
        <v>263</v>
      </c>
      <c r="T316" s="5" t="s">
        <v>308</v>
      </c>
      <c r="U316" s="5">
        <v>9527326977</v>
      </c>
      <c r="V316" s="8" t="s">
        <v>248</v>
      </c>
      <c r="W316" t="str">
        <f>IF(OR(Q316&lt;=2,V316="Cancelled"),"Blacklisted",IF(AND(P316&gt;100000,Q316&gt;=4,O316&lt;=10%,V316="Completed"),"Platinum",IF(AND(P316&gt;=50000,Q316&gt;=3,V316="Completed"),"Gold",IF(AND(P316&lt;50000,V316="Completed"),"Silver",""))))</f>
        <v/>
      </c>
      <c r="X316" t="str">
        <f>PROPER(TRIM(F316))</f>
        <v>Priya Patel</v>
      </c>
      <c r="Y316" t="str">
        <f>LEFT(F316,3)&amp;MID(B316,2,3)&amp;LEFT(I316,2)</f>
        <v>Pri002Ja</v>
      </c>
      <c r="Z316" t="str">
        <f>IF(ISNUMBER(SEARCH("@",T316)),LOWER(TRIM(T316)),"invalid email")</f>
        <v>priya.patel@company.com</v>
      </c>
      <c r="AA316" t="str">
        <f ca="1">IF(H315="","",IFERROR(DATEDIF(IF(ISNUMBER(H315),H315,DATE(VALUE(RIGHT(H315,4)),VALUE(MID(H315,3,2)),VALUE(LEFT(H315,2)))),TODAY(),"Y"),""))</f>
        <v/>
      </c>
      <c r="AB316">
        <f>IF(OR(D316="",E316=""),"",IFERROR(DATE(MID(E316,7,4),MID(E316,4,2),LEFT(E316,2))-DATE(MID(D316,7,4),MID(D316,4,2),LEFT(D316,2)),""))</f>
        <v>4</v>
      </c>
      <c r="AC316" t="str">
        <f>IF(E316="","Pending",IF(AB316&lt;=5,"On time","Delayed"))</f>
        <v>On time</v>
      </c>
      <c r="AD316" s="29" t="str">
        <f>IF(TRIM(S316)="","Not Assigned",S316)</f>
        <v>Rahul</v>
      </c>
      <c r="AE316" t="str">
        <f>PROPER(TRIM(F316))</f>
        <v>Priya Patel</v>
      </c>
      <c r="AF316" t="str">
        <f>PROPER(TRIM(K316))</f>
        <v>Stationery</v>
      </c>
      <c r="AG316" t="str">
        <f>PROPER(TRIM(J316))</f>
        <v>North</v>
      </c>
      <c r="AH316" t="str">
        <f t="shared" si="8"/>
        <v>Stationery</v>
      </c>
      <c r="AI316" t="str">
        <f t="shared" si="9"/>
        <v>Stationery</v>
      </c>
      <c r="AK316">
        <f>IF(COUNTIF($A$2:A316,A316)=1,1,0)</f>
        <v>1</v>
      </c>
    </row>
    <row r="317" spans="1:37">
      <c r="A317" s="9" t="s">
        <v>888</v>
      </c>
      <c r="B317" s="10" t="s">
        <v>346</v>
      </c>
      <c r="C317" s="10" t="s">
        <v>362</v>
      </c>
      <c r="D317" s="10" t="s">
        <v>120</v>
      </c>
      <c r="E317" s="10" t="s">
        <v>140</v>
      </c>
      <c r="F317" s="10" t="s">
        <v>348</v>
      </c>
      <c r="G317" s="10" t="s">
        <v>269</v>
      </c>
      <c r="H317" s="10" t="s">
        <v>889</v>
      </c>
      <c r="I317" s="10" t="s">
        <v>260</v>
      </c>
      <c r="J317" s="10" t="s">
        <v>261</v>
      </c>
      <c r="K317" s="10" t="s">
        <v>295</v>
      </c>
      <c r="L317" s="10" t="s">
        <v>363</v>
      </c>
      <c r="M317" s="10">
        <v>17</v>
      </c>
      <c r="N317" s="10">
        <v>45</v>
      </c>
      <c r="O317" s="10">
        <v>15</v>
      </c>
      <c r="P317" s="10">
        <v>650.25</v>
      </c>
      <c r="Q317" s="10">
        <v>2</v>
      </c>
      <c r="R317" s="10" t="s">
        <v>277</v>
      </c>
      <c r="S317" s="10" t="s">
        <v>312</v>
      </c>
      <c r="T317" s="10" t="s">
        <v>350</v>
      </c>
      <c r="U317" s="10">
        <v>9886970990</v>
      </c>
      <c r="V317" s="12" t="s">
        <v>257</v>
      </c>
      <c r="W317" t="str">
        <f>IF(OR(Q317&lt;=2,V317="Cancelled"),"Blacklisted",IF(AND(P317&gt;100000,Q317&gt;=4,O317&lt;=10%,V317="Completed"),"Platinum",IF(AND(P317&gt;=50000,Q317&gt;=3,V317="Completed"),"Gold",IF(AND(P317&lt;50000,V317="Completed"),"Silver",""))))</f>
        <v>Blacklisted</v>
      </c>
      <c r="X317" t="str">
        <f>PROPER(TRIM(F317))</f>
        <v>Vikas Mehta</v>
      </c>
      <c r="Y317" t="str">
        <f>LEFT(F317,3)&amp;MID(B317,2,3)&amp;LEFT(I317,2)</f>
        <v>Vik005De</v>
      </c>
      <c r="Z317" t="str">
        <f>IF(ISNUMBER(SEARCH("@",T317)),LOWER(TRIM(T317)),"invalid email")</f>
        <v>vikas.mehta@company.com</v>
      </c>
      <c r="AA317">
        <f ca="1">IF(H316="","",IFERROR(DATEDIF(IF(ISNUMBER(H316),H316,DATE(VALUE(RIGHT(H316,4)),VALUE(MID(H316,3,2)),VALUE(LEFT(H316,2)))),TODAY(),"Y"),""))</f>
        <v>31</v>
      </c>
      <c r="AB317">
        <f>IF(OR(D317="",E317=""),"",IFERROR(DATE(MID(E317,7,4),MID(E317,4,2),LEFT(E317,2))-DATE(MID(D317,7,4),MID(D317,4,2),LEFT(D317,2)),""))</f>
        <v>2</v>
      </c>
      <c r="AC317" t="str">
        <f>IF(E317="","Pending",IF(AB317&lt;=5,"On time","Delayed"))</f>
        <v>On time</v>
      </c>
      <c r="AD317" s="29" t="str">
        <f>IF(TRIM(S317)="","Not Assigned",S317)</f>
        <v>Karan</v>
      </c>
      <c r="AE317" t="str">
        <f>PROPER(TRIM(F317))</f>
        <v>Vikas Mehta</v>
      </c>
      <c r="AF317" t="str">
        <f>PROPER(TRIM(K317))</f>
        <v>Stationery</v>
      </c>
      <c r="AG317" t="str">
        <f>PROPER(TRIM(J317))</f>
        <v>North</v>
      </c>
      <c r="AH317" t="str">
        <f t="shared" si="8"/>
        <v>Stationery</v>
      </c>
      <c r="AI317" t="str">
        <f t="shared" si="9"/>
        <v>Stationery</v>
      </c>
      <c r="AK317">
        <f>IF(COUNTIF($A$2:A317,A317)=1,1,0)</f>
        <v>1</v>
      </c>
    </row>
    <row r="318" spans="1:37">
      <c r="A318" s="4" t="s">
        <v>890</v>
      </c>
      <c r="B318" s="5" t="s">
        <v>392</v>
      </c>
      <c r="C318" s="5" t="s">
        <v>330</v>
      </c>
      <c r="D318" s="5" t="s">
        <v>162</v>
      </c>
      <c r="E318" s="6">
        <v>45933</v>
      </c>
      <c r="F318" s="5" t="s">
        <v>323</v>
      </c>
      <c r="G318" s="5" t="s">
        <v>269</v>
      </c>
      <c r="H318" s="5" t="s">
        <v>891</v>
      </c>
      <c r="I318" s="5" t="s">
        <v>342</v>
      </c>
      <c r="J318" s="5" t="s">
        <v>261</v>
      </c>
      <c r="K318" s="5" t="s">
        <v>243</v>
      </c>
      <c r="L318" s="5" t="s">
        <v>333</v>
      </c>
      <c r="M318" s="5">
        <v>14</v>
      </c>
      <c r="N318" s="5">
        <v>700</v>
      </c>
      <c r="O318" s="5">
        <v>15</v>
      </c>
      <c r="P318" s="5">
        <v>8330</v>
      </c>
      <c r="Q318" s="5">
        <v>1</v>
      </c>
      <c r="R318" s="5" t="s">
        <v>272</v>
      </c>
      <c r="S318" s="5" t="s">
        <v>292</v>
      </c>
      <c r="T318" s="5" t="s">
        <v>395</v>
      </c>
      <c r="U318" s="5">
        <v>9106930369</v>
      </c>
      <c r="V318" s="8" t="s">
        <v>257</v>
      </c>
      <c r="W318" t="str">
        <f>IF(OR(Q318&lt;=2,V318="Cancelled"),"Blacklisted",IF(AND(P318&gt;100000,Q318&gt;=4,O318&lt;=10%,V318="Completed"),"Platinum",IF(AND(P318&gt;=50000,Q318&gt;=3,V318="Completed"),"Gold",IF(AND(P318&lt;50000,V318="Completed"),"Silver",""))))</f>
        <v>Blacklisted</v>
      </c>
      <c r="X318" t="str">
        <f>PROPER(TRIM(F318))</f>
        <v>Amit Sharma</v>
      </c>
      <c r="Y318" t="str">
        <f>LEFT(F318,3)&amp;MID(B318,2,3)&amp;LEFT(I318,2)</f>
        <v>Ami001Ja</v>
      </c>
      <c r="Z318" t="str">
        <f>IF(ISNUMBER(SEARCH("@",T318)),LOWER(TRIM(T318)),"invalid email")</f>
        <v>amit.sharma@company.com</v>
      </c>
      <c r="AA318" t="str">
        <f ca="1">IF(H317="","",IFERROR(DATEDIF(IF(ISNUMBER(H317),H317,DATE(VALUE(RIGHT(H317,4)),VALUE(MID(H317,3,2)),VALUE(LEFT(H317,2)))),TODAY(),"Y"),""))</f>
        <v/>
      </c>
      <c r="AB318" t="str">
        <f>IF(OR(D318="",E318=""),"",IFERROR(DATE(MID(E318,7,4),MID(E318,4,2),LEFT(E318,2))-DATE(MID(D318,7,4),MID(D318,4,2),LEFT(D318,2)),""))</f>
        <v/>
      </c>
      <c r="AC318" t="str">
        <f>IF(E318="","Pending",IF(AB318&lt;=5,"On time","Delayed"))</f>
        <v>Delayed</v>
      </c>
      <c r="AD318" s="29" t="str">
        <f>IF(TRIM(S318)="","Not Assigned",S318)</f>
        <v>Neha</v>
      </c>
      <c r="AE318" t="str">
        <f>PROPER(TRIM(F318))</f>
        <v>Amit Sharma</v>
      </c>
      <c r="AF318" t="str">
        <f>PROPER(TRIM(K318))</f>
        <v>Electronics</v>
      </c>
      <c r="AG318" t="str">
        <f>PROPER(TRIM(J318))</f>
        <v>North</v>
      </c>
      <c r="AH318" t="str">
        <f t="shared" si="8"/>
        <v>Electronics</v>
      </c>
      <c r="AI318" t="str">
        <f t="shared" si="9"/>
        <v>Electronics</v>
      </c>
      <c r="AK318">
        <f>IF(COUNTIF($A$2:A318,A318)=1,1,0)</f>
        <v>1</v>
      </c>
    </row>
    <row r="319" spans="1:37">
      <c r="A319" s="9" t="s">
        <v>892</v>
      </c>
      <c r="B319" s="10" t="s">
        <v>275</v>
      </c>
      <c r="C319" s="10" t="s">
        <v>267</v>
      </c>
      <c r="D319" s="11">
        <v>45722</v>
      </c>
      <c r="E319" s="10" t="s">
        <v>28</v>
      </c>
      <c r="F319" s="10" t="s">
        <v>328</v>
      </c>
      <c r="G319" s="10" t="s">
        <v>269</v>
      </c>
      <c r="H319" s="10" t="s">
        <v>893</v>
      </c>
      <c r="I319" s="10" t="s">
        <v>291</v>
      </c>
      <c r="J319" s="10" t="s">
        <v>287</v>
      </c>
      <c r="K319" s="10" t="s">
        <v>243</v>
      </c>
      <c r="L319" s="10" t="s">
        <v>271</v>
      </c>
      <c r="M319" s="10">
        <v>3</v>
      </c>
      <c r="N319" s="10">
        <v>1200</v>
      </c>
      <c r="O319" s="10">
        <v>5</v>
      </c>
      <c r="P319" s="10">
        <v>3420</v>
      </c>
      <c r="Q319" s="10">
        <v>3</v>
      </c>
      <c r="R319" s="10" t="s">
        <v>245</v>
      </c>
      <c r="S319" s="10" t="s">
        <v>312</v>
      </c>
      <c r="T319" s="10" t="s">
        <v>278</v>
      </c>
      <c r="U319" s="10">
        <v>9342009114</v>
      </c>
      <c r="V319" s="12" t="s">
        <v>257</v>
      </c>
      <c r="W319" t="str">
        <f>IF(OR(Q319&lt;=2,V319="Cancelled"),"Blacklisted",IF(AND(P319&gt;100000,Q319&gt;=4,O319&lt;=10%,V319="Completed"),"Platinum",IF(AND(P319&gt;=50000,Q319&gt;=3,V319="Completed"),"Gold",IF(AND(P319&lt;50000,V319="Completed"),"Silver",""))))</f>
        <v>Silver</v>
      </c>
      <c r="X319" t="str">
        <f>PROPER(TRIM(F319))</f>
        <v>Arjun Rao</v>
      </c>
      <c r="Y319" t="str">
        <f>LEFT(F319,3)&amp;MID(B319,2,3)&amp;LEFT(I319,2)</f>
        <v>Arj007Pu</v>
      </c>
      <c r="Z319" t="str">
        <f>IF(ISNUMBER(SEARCH("@",T319)),LOWER(TRIM(T319)),"invalid email")</f>
        <v>arjun.rao@company.com</v>
      </c>
      <c r="AA319" t="str">
        <f ca="1">IF(H318="","",IFERROR(DATEDIF(IF(ISNUMBER(H318),H318,DATE(VALUE(RIGHT(H318,4)),VALUE(MID(H318,3,2)),VALUE(LEFT(H318,2)))),TODAY(),"Y"),""))</f>
        <v/>
      </c>
      <c r="AB319" t="str">
        <f>IF(OR(D319="",E319=""),"",IFERROR(DATE(MID(E319,7,4),MID(E319,4,2),LEFT(E319,2))-DATE(MID(D319,7,4),MID(D319,4,2),LEFT(D319,2)),""))</f>
        <v/>
      </c>
      <c r="AC319" t="str">
        <f>IF(E319="","Pending",IF(AB319&lt;=5,"On time","Delayed"))</f>
        <v>Delayed</v>
      </c>
      <c r="AD319" s="29" t="str">
        <f>IF(TRIM(S319)="","Not Assigned",S319)</f>
        <v>Karan</v>
      </c>
      <c r="AE319" t="str">
        <f>PROPER(TRIM(F319))</f>
        <v>Arjun Rao</v>
      </c>
      <c r="AF319" t="str">
        <f>PROPER(TRIM(K319))</f>
        <v>Electronics</v>
      </c>
      <c r="AG319" t="str">
        <f>PROPER(TRIM(J319))</f>
        <v>West</v>
      </c>
      <c r="AH319" t="str">
        <f t="shared" si="8"/>
        <v>Electronics</v>
      </c>
      <c r="AI319" t="str">
        <f t="shared" si="9"/>
        <v>Electronics</v>
      </c>
      <c r="AK319">
        <f>IF(COUNTIF($A$2:A319,A319)=1,1,0)</f>
        <v>1</v>
      </c>
    </row>
    <row r="320" spans="1:37">
      <c r="A320" s="4" t="s">
        <v>894</v>
      </c>
      <c r="B320" s="5" t="s">
        <v>249</v>
      </c>
      <c r="C320" s="5" t="s">
        <v>267</v>
      </c>
      <c r="D320" s="6">
        <v>45845</v>
      </c>
      <c r="E320" s="5" t="s">
        <v>641</v>
      </c>
      <c r="F320" s="5" t="s">
        <v>251</v>
      </c>
      <c r="G320" s="5" t="s">
        <v>239</v>
      </c>
      <c r="H320" s="5" t="s">
        <v>895</v>
      </c>
      <c r="I320" s="5" t="s">
        <v>306</v>
      </c>
      <c r="J320" s="5" t="s">
        <v>287</v>
      </c>
      <c r="K320" s="5" t="s">
        <v>243</v>
      </c>
      <c r="L320" s="5" t="s">
        <v>271</v>
      </c>
      <c r="M320" s="5">
        <v>9</v>
      </c>
      <c r="N320" s="5">
        <v>1200</v>
      </c>
      <c r="O320" s="5">
        <v>15</v>
      </c>
      <c r="P320" s="5">
        <v>9180</v>
      </c>
      <c r="Q320" s="5">
        <v>3</v>
      </c>
      <c r="R320" s="5" t="s">
        <v>254</v>
      </c>
      <c r="S320" s="5" t="s">
        <v>263</v>
      </c>
      <c r="T320" s="5" t="s">
        <v>264</v>
      </c>
      <c r="U320" s="5">
        <v>9992739960</v>
      </c>
      <c r="V320" s="8" t="s">
        <v>257</v>
      </c>
      <c r="W320" t="str">
        <f>IF(OR(Q320&lt;=2,V320="Cancelled"),"Blacklisted",IF(AND(P320&gt;100000,Q320&gt;=4,O320&lt;=10%,V320="Completed"),"Platinum",IF(AND(P320&gt;=50000,Q320&gt;=3,V320="Completed"),"Gold",IF(AND(P320&lt;50000,V320="Completed"),"Silver",""))))</f>
        <v>Silver</v>
      </c>
      <c r="X320" t="str">
        <f>PROPER(TRIM(F320))</f>
        <v>Kavya Nair</v>
      </c>
      <c r="Y320" t="str">
        <f>LEFT(F320,3)&amp;MID(B320,2,3)&amp;LEFT(I320,2)</f>
        <v>Kav008Ah</v>
      </c>
      <c r="Z320" t="str">
        <f>IF(ISNUMBER(SEARCH("@",T320)),LOWER(TRIM(T320)),"invalid email")</f>
        <v>kavya.nair@company.com</v>
      </c>
      <c r="AA320" t="str">
        <f ca="1">IF(H319="","",IFERROR(DATEDIF(IF(ISNUMBER(H319),H319,DATE(VALUE(RIGHT(H319,4)),VALUE(MID(H319,3,2)),VALUE(LEFT(H319,2)))),TODAY(),"Y"),""))</f>
        <v/>
      </c>
      <c r="AB320" t="str">
        <f>IF(OR(D320="",E320=""),"",IFERROR(DATE(MID(E320,7,4),MID(E320,4,2),LEFT(E320,2))-DATE(MID(D320,7,4),MID(D320,4,2),LEFT(D320,2)),""))</f>
        <v/>
      </c>
      <c r="AC320" t="str">
        <f>IF(E320="","Pending",IF(AB320&lt;=5,"On time","Delayed"))</f>
        <v>Delayed</v>
      </c>
      <c r="AD320" s="29" t="str">
        <f>IF(TRIM(S320)="","Not Assigned",S320)</f>
        <v>Rahul</v>
      </c>
      <c r="AE320" t="str">
        <f>PROPER(TRIM(F320))</f>
        <v>Kavya Nair</v>
      </c>
      <c r="AF320" t="str">
        <f>PROPER(TRIM(K320))</f>
        <v>Electronics</v>
      </c>
      <c r="AG320" t="str">
        <f>PROPER(TRIM(J320))</f>
        <v>West</v>
      </c>
      <c r="AH320" t="str">
        <f t="shared" si="8"/>
        <v>Electronics</v>
      </c>
      <c r="AI320" t="str">
        <f t="shared" si="9"/>
        <v>Electronics</v>
      </c>
      <c r="AK320">
        <f>IF(COUNTIF($A$2:A320,A320)=1,1,0)</f>
        <v>1</v>
      </c>
    </row>
    <row r="321" spans="1:37">
      <c r="A321" s="9" t="s">
        <v>896</v>
      </c>
      <c r="B321" s="10" t="s">
        <v>358</v>
      </c>
      <c r="C321" s="10" t="s">
        <v>347</v>
      </c>
      <c r="D321" s="10" t="s">
        <v>90</v>
      </c>
      <c r="E321" s="10" t="s">
        <v>407</v>
      </c>
      <c r="F321" s="10" t="s">
        <v>359</v>
      </c>
      <c r="G321" s="10" t="s">
        <v>239</v>
      </c>
      <c r="H321" s="10" t="s">
        <v>897</v>
      </c>
      <c r="I321" s="10" t="s">
        <v>286</v>
      </c>
      <c r="J321" s="10" t="s">
        <v>287</v>
      </c>
      <c r="K321" s="10" t="s">
        <v>295</v>
      </c>
      <c r="L321" s="10" t="s">
        <v>349</v>
      </c>
      <c r="M321" s="10">
        <v>5</v>
      </c>
      <c r="N321" s="10">
        <v>20</v>
      </c>
      <c r="O321" s="10">
        <v>5</v>
      </c>
      <c r="P321" s="10">
        <v>95</v>
      </c>
      <c r="Q321" s="10">
        <v>4</v>
      </c>
      <c r="R321" s="10" t="s">
        <v>254</v>
      </c>
      <c r="S321" s="10" t="s">
        <v>312</v>
      </c>
      <c r="T321" s="10" t="s">
        <v>360</v>
      </c>
      <c r="U321" s="10">
        <v>9241987748</v>
      </c>
      <c r="V321" s="12" t="s">
        <v>257</v>
      </c>
      <c r="W321" t="str">
        <f>IF(OR(Q321&lt;=2,V321="Cancelled"),"Blacklisted",IF(AND(P321&gt;100000,Q321&gt;=4,O321&lt;=10%,V321="Completed"),"Platinum",IF(AND(P321&gt;=50000,Q321&gt;=3,V321="Completed"),"Gold",IF(AND(P321&lt;50000,V321="Completed"),"Silver",""))))</f>
        <v>Silver</v>
      </c>
      <c r="X321" t="str">
        <f>PROPER(TRIM(F321))</f>
        <v>Sneha Joshi</v>
      </c>
      <c r="Y321" t="str">
        <f>LEFT(F321,3)&amp;MID(B321,2,3)&amp;LEFT(I321,2)</f>
        <v>Sne006Mu</v>
      </c>
      <c r="Z321" t="str">
        <f>IF(ISNUMBER(SEARCH("@",T321)),LOWER(TRIM(T321)),"invalid email")</f>
        <v>sneha.joshi@company.com</v>
      </c>
      <c r="AA321" t="str">
        <f ca="1">IF(H320="","",IFERROR(DATEDIF(IF(ISNUMBER(H320),H320,DATE(VALUE(RIGHT(H320,4)),VALUE(MID(H320,3,2)),VALUE(LEFT(H320,2)))),TODAY(),"Y"),""))</f>
        <v/>
      </c>
      <c r="AB321">
        <f>IF(OR(D321="",E321=""),"",IFERROR(DATE(MID(E321,7,4),MID(E321,4,2),LEFT(E321,2))-DATE(MID(D321,7,4),MID(D321,4,2),LEFT(D321,2)),""))</f>
        <v>1</v>
      </c>
      <c r="AC321" t="str">
        <f>IF(E321="","Pending",IF(AB321&lt;=5,"On time","Delayed"))</f>
        <v>On time</v>
      </c>
      <c r="AD321" s="29" t="str">
        <f>IF(TRIM(S321)="","Not Assigned",S321)</f>
        <v>Karan</v>
      </c>
      <c r="AE321" t="str">
        <f>PROPER(TRIM(F321))</f>
        <v>Sneha Joshi</v>
      </c>
      <c r="AF321" t="str">
        <f>PROPER(TRIM(K321))</f>
        <v>Stationery</v>
      </c>
      <c r="AG321" t="str">
        <f>PROPER(TRIM(J321))</f>
        <v>West</v>
      </c>
      <c r="AH321" t="str">
        <f t="shared" si="8"/>
        <v>Stationery</v>
      </c>
      <c r="AI321" t="str">
        <f t="shared" si="9"/>
        <v>Stationery</v>
      </c>
      <c r="AK321">
        <f>IF(COUNTIF($A$2:A321,A321)=1,1,0)</f>
        <v>1</v>
      </c>
    </row>
    <row r="322" spans="1:37">
      <c r="A322" s="4" t="s">
        <v>898</v>
      </c>
      <c r="B322" s="5" t="s">
        <v>358</v>
      </c>
      <c r="C322" s="5" t="s">
        <v>250</v>
      </c>
      <c r="D322" s="6">
        <v>45942</v>
      </c>
      <c r="E322" s="5" t="s">
        <v>899</v>
      </c>
      <c r="F322" s="5" t="s">
        <v>359</v>
      </c>
      <c r="G322" s="5" t="s">
        <v>239</v>
      </c>
      <c r="H322" s="5" t="s">
        <v>900</v>
      </c>
      <c r="I322" s="5" t="s">
        <v>306</v>
      </c>
      <c r="J322" s="5" t="s">
        <v>287</v>
      </c>
      <c r="K322" s="5" t="s">
        <v>15</v>
      </c>
      <c r="L322" s="5" t="s">
        <v>253</v>
      </c>
      <c r="M322" s="5">
        <v>8</v>
      </c>
      <c r="N322" s="5">
        <v>2200</v>
      </c>
      <c r="O322" s="5">
        <v>10</v>
      </c>
      <c r="P322" s="5">
        <v>15840</v>
      </c>
      <c r="Q322" s="5">
        <v>4</v>
      </c>
      <c r="R322" s="5" t="s">
        <v>277</v>
      </c>
      <c r="S322" s="5" t="s">
        <v>246</v>
      </c>
      <c r="T322" s="5" t="s">
        <v>360</v>
      </c>
      <c r="U322" s="5">
        <v>9571990711</v>
      </c>
      <c r="V322" s="8" t="s">
        <v>265</v>
      </c>
      <c r="W322" t="str">
        <f>IF(OR(Q322&lt;=2,V322="Cancelled"),"Blacklisted",IF(AND(P322&gt;100000,Q322&gt;=4,O322&lt;=10%,V322="Completed"),"Platinum",IF(AND(P322&gt;=50000,Q322&gt;=3,V322="Completed"),"Gold",IF(AND(P322&lt;50000,V322="Completed"),"Silver",""))))</f>
        <v>Blacklisted</v>
      </c>
      <c r="X322" t="str">
        <f>PROPER(TRIM(F322))</f>
        <v>Sneha Joshi</v>
      </c>
      <c r="Y322" t="str">
        <f>LEFT(F322,3)&amp;MID(B322,2,3)&amp;LEFT(I322,2)</f>
        <v>Sne006Ah</v>
      </c>
      <c r="Z322" t="str">
        <f>IF(ISNUMBER(SEARCH("@",T322)),LOWER(TRIM(T322)),"invalid email")</f>
        <v>sneha.joshi@company.com</v>
      </c>
      <c r="AA322" t="str">
        <f ca="1">IF(H321="","",IFERROR(DATEDIF(IF(ISNUMBER(H321),H321,DATE(VALUE(RIGHT(H321,4)),VALUE(MID(H321,3,2)),VALUE(LEFT(H321,2)))),TODAY(),"Y"),""))</f>
        <v/>
      </c>
      <c r="AB322" t="str">
        <f>IF(OR(D322="",E322=""),"",IFERROR(DATE(MID(E322,7,4),MID(E322,4,2),LEFT(E322,2))-DATE(MID(D322,7,4),MID(D322,4,2),LEFT(D322,2)),""))</f>
        <v/>
      </c>
      <c r="AC322" t="str">
        <f>IF(E322="","Pending",IF(AB322&lt;=5,"On time","Delayed"))</f>
        <v>Delayed</v>
      </c>
      <c r="AD322" s="29" t="str">
        <f>IF(TRIM(S322)="","Not Assigned",S322)</f>
        <v>Aisha</v>
      </c>
      <c r="AE322" t="str">
        <f>PROPER(TRIM(F322))</f>
        <v>Sneha Joshi</v>
      </c>
      <c r="AF322" t="str">
        <f>PROPER(TRIM(K322))</f>
        <v>Home Appliances</v>
      </c>
      <c r="AG322" t="str">
        <f>PROPER(TRIM(J322))</f>
        <v>West</v>
      </c>
      <c r="AH322" t="str">
        <f t="shared" si="8"/>
        <v>Home Appliances</v>
      </c>
      <c r="AI322" t="str">
        <f t="shared" si="9"/>
        <v>Home Appliances</v>
      </c>
      <c r="AK322">
        <f>IF(COUNTIF($A$2:A322,A322)=1,1,0)</f>
        <v>1</v>
      </c>
    </row>
    <row r="323" spans="1:37">
      <c r="A323" s="9" t="s">
        <v>901</v>
      </c>
      <c r="B323" s="10" t="s">
        <v>358</v>
      </c>
      <c r="C323" s="10" t="s">
        <v>330</v>
      </c>
      <c r="D323" s="11">
        <v>46237</v>
      </c>
      <c r="E323" s="11">
        <v>46359</v>
      </c>
      <c r="F323" s="10" t="s">
        <v>359</v>
      </c>
      <c r="G323" s="10" t="s">
        <v>239</v>
      </c>
      <c r="H323" s="11">
        <v>29281</v>
      </c>
      <c r="I323" s="10" t="s">
        <v>286</v>
      </c>
      <c r="J323" s="10" t="s">
        <v>287</v>
      </c>
      <c r="K323" s="10" t="s">
        <v>243</v>
      </c>
      <c r="L323" s="10" t="s">
        <v>333</v>
      </c>
      <c r="M323" s="10">
        <v>10</v>
      </c>
      <c r="N323" s="10">
        <v>700</v>
      </c>
      <c r="O323" s="10">
        <v>20</v>
      </c>
      <c r="P323" s="10">
        <v>5600</v>
      </c>
      <c r="Q323" s="10">
        <v>1</v>
      </c>
      <c r="R323" s="10" t="s">
        <v>277</v>
      </c>
      <c r="S323" s="10" t="s">
        <v>292</v>
      </c>
      <c r="T323" s="10" t="s">
        <v>360</v>
      </c>
      <c r="U323" s="10">
        <v>9219231183</v>
      </c>
      <c r="V323" s="12" t="s">
        <v>257</v>
      </c>
      <c r="W323" t="str">
        <f>IF(OR(Q323&lt;=2,V323="Cancelled"),"Blacklisted",IF(AND(P323&gt;100000,Q323&gt;=4,O323&lt;=10%,V323="Completed"),"Platinum",IF(AND(P323&gt;=50000,Q323&gt;=3,V323="Completed"),"Gold",IF(AND(P323&lt;50000,V323="Completed"),"Silver",""))))</f>
        <v>Blacklisted</v>
      </c>
      <c r="X323" t="str">
        <f>PROPER(TRIM(F323))</f>
        <v>Sneha Joshi</v>
      </c>
      <c r="Y323" t="str">
        <f>LEFT(F323,3)&amp;MID(B323,2,3)&amp;LEFT(I323,2)</f>
        <v>Sne006Mu</v>
      </c>
      <c r="Z323" t="str">
        <f>IF(ISNUMBER(SEARCH("@",T323)),LOWER(TRIM(T323)),"invalid email")</f>
        <v>sneha.joshi@company.com</v>
      </c>
      <c r="AA323" t="str">
        <f ca="1">IF(H322="","",IFERROR(DATEDIF(IF(ISNUMBER(H322),H322,DATE(VALUE(RIGHT(H322,4)),VALUE(MID(H322,3,2)),VALUE(LEFT(H322,2)))),TODAY(),"Y"),""))</f>
        <v/>
      </c>
      <c r="AB323" t="str">
        <f>IF(OR(D323="",E323=""),"",IFERROR(DATE(MID(E323,7,4),MID(E323,4,2),LEFT(E323,2))-DATE(MID(D323,7,4),MID(D323,4,2),LEFT(D323,2)),""))</f>
        <v/>
      </c>
      <c r="AC323" t="str">
        <f>IF(E323="","Pending",IF(AB323&lt;=5,"On time","Delayed"))</f>
        <v>Delayed</v>
      </c>
      <c r="AD323" s="29" t="str">
        <f>IF(TRIM(S323)="","Not Assigned",S323)</f>
        <v>Neha</v>
      </c>
      <c r="AE323" t="str">
        <f>PROPER(TRIM(F323))</f>
        <v>Sneha Joshi</v>
      </c>
      <c r="AF323" t="str">
        <f>PROPER(TRIM(K323))</f>
        <v>Electronics</v>
      </c>
      <c r="AG323" t="str">
        <f>PROPER(TRIM(J323))</f>
        <v>West</v>
      </c>
      <c r="AH323" t="str">
        <f t="shared" ref="AH323:AH386" si="10">PROPER(TRIM(K323))</f>
        <v>Electronics</v>
      </c>
      <c r="AI323" t="str">
        <f t="shared" ref="AI323:AI386" si="11">IF(OR(LOWER(TRIM(K323))="electronic",LOWER(TRIM(K323))="electronics"),"Electronics",PROPER(TRIM(K323)))</f>
        <v>Electronics</v>
      </c>
      <c r="AK323">
        <f>IF(COUNTIF($A$2:A323,A323)=1,1,0)</f>
        <v>1</v>
      </c>
    </row>
    <row r="324" spans="1:37">
      <c r="A324" s="4" t="s">
        <v>902</v>
      </c>
      <c r="B324" s="5" t="s">
        <v>275</v>
      </c>
      <c r="C324" s="5" t="s">
        <v>330</v>
      </c>
      <c r="D324" s="5" t="s">
        <v>147</v>
      </c>
      <c r="E324" s="5" t="s">
        <v>903</v>
      </c>
      <c r="F324" s="5" t="s">
        <v>328</v>
      </c>
      <c r="G324" s="5" t="s">
        <v>269</v>
      </c>
      <c r="H324" s="6">
        <v>28703</v>
      </c>
      <c r="I324" s="5" t="s">
        <v>241</v>
      </c>
      <c r="J324" s="5" t="s">
        <v>242</v>
      </c>
      <c r="K324" s="5" t="s">
        <v>243</v>
      </c>
      <c r="L324" s="5" t="s">
        <v>333</v>
      </c>
      <c r="M324" s="5">
        <v>2</v>
      </c>
      <c r="N324" s="5">
        <v>700</v>
      </c>
      <c r="O324" s="5">
        <v>20</v>
      </c>
      <c r="P324" s="5">
        <v>1120</v>
      </c>
      <c r="Q324" s="5">
        <v>2</v>
      </c>
      <c r="R324" s="5" t="s">
        <v>254</v>
      </c>
      <c r="S324" s="5" t="s">
        <v>292</v>
      </c>
      <c r="T324" s="5" t="s">
        <v>278</v>
      </c>
      <c r="U324" s="5">
        <v>9847386174</v>
      </c>
      <c r="V324" s="8" t="s">
        <v>248</v>
      </c>
      <c r="W324" t="str">
        <f>IF(OR(Q324&lt;=2,V324="Cancelled"),"Blacklisted",IF(AND(P324&gt;100000,Q324&gt;=4,O324&lt;=10%,V324="Completed"),"Platinum",IF(AND(P324&gt;=50000,Q324&gt;=3,V324="Completed"),"Gold",IF(AND(P324&lt;50000,V324="Completed"),"Silver",""))))</f>
        <v>Blacklisted</v>
      </c>
      <c r="X324" t="str">
        <f>PROPER(TRIM(F324))</f>
        <v>Arjun Rao</v>
      </c>
      <c r="Y324" t="str">
        <f>LEFT(F324,3)&amp;MID(B324,2,3)&amp;LEFT(I324,2)</f>
        <v>Arj007Be</v>
      </c>
      <c r="Z324" t="str">
        <f>IF(ISNUMBER(SEARCH("@",T324)),LOWER(TRIM(T324)),"invalid email")</f>
        <v>arjun.rao@company.com</v>
      </c>
      <c r="AA324">
        <f ca="1">IF(H323="","",IFERROR(DATEDIF(IF(ISNUMBER(H323),H323,DATE(VALUE(RIGHT(H323,4)),VALUE(MID(H323,3,2)),VALUE(LEFT(H323,2)))),TODAY(),"Y"),""))</f>
        <v>46</v>
      </c>
      <c r="AB324">
        <f>IF(OR(D324="",E324=""),"",IFERROR(DATE(MID(E324,7,4),MID(E324,4,2),LEFT(E324,2))-DATE(MID(D324,7,4),MID(D324,4,2),LEFT(D324,2)),""))</f>
        <v>3</v>
      </c>
      <c r="AC324" t="str">
        <f>IF(E324="","Pending",IF(AB324&lt;=5,"On time","Delayed"))</f>
        <v>On time</v>
      </c>
      <c r="AD324" s="29" t="str">
        <f>IF(TRIM(S324)="","Not Assigned",S324)</f>
        <v>Neha</v>
      </c>
      <c r="AE324" t="str">
        <f>PROPER(TRIM(F324))</f>
        <v>Arjun Rao</v>
      </c>
      <c r="AF324" t="str">
        <f>PROPER(TRIM(K324))</f>
        <v>Electronics</v>
      </c>
      <c r="AG324" t="str">
        <f>PROPER(TRIM(J324))</f>
        <v>South</v>
      </c>
      <c r="AH324" t="str">
        <f t="shared" si="10"/>
        <v>Electronics</v>
      </c>
      <c r="AI324" t="str">
        <f t="shared" si="11"/>
        <v>Electronics</v>
      </c>
      <c r="AK324">
        <f>IF(COUNTIF($A$2:A324,A324)=1,1,0)</f>
        <v>1</v>
      </c>
    </row>
    <row r="325" spans="1:37">
      <c r="A325" s="9" t="s">
        <v>904</v>
      </c>
      <c r="B325" s="10" t="s">
        <v>346</v>
      </c>
      <c r="C325" s="10" t="s">
        <v>280</v>
      </c>
      <c r="D325" s="10" t="s">
        <v>80</v>
      </c>
      <c r="E325" s="10" t="s">
        <v>661</v>
      </c>
      <c r="F325" s="10" t="s">
        <v>348</v>
      </c>
      <c r="G325" s="10" t="s">
        <v>269</v>
      </c>
      <c r="H325" s="11">
        <v>33732</v>
      </c>
      <c r="I325" s="10" t="s">
        <v>291</v>
      </c>
      <c r="J325" s="10" t="s">
        <v>287</v>
      </c>
      <c r="K325" s="10" t="s">
        <v>15</v>
      </c>
      <c r="L325" s="10" t="s">
        <v>282</v>
      </c>
      <c r="M325" s="10">
        <v>16</v>
      </c>
      <c r="N325" s="10">
        <v>3500</v>
      </c>
      <c r="O325" s="10">
        <v>20</v>
      </c>
      <c r="P325" s="10">
        <v>44800</v>
      </c>
      <c r="Q325" s="10">
        <v>2</v>
      </c>
      <c r="R325" s="10" t="s">
        <v>277</v>
      </c>
      <c r="S325" s="10" t="s">
        <v>255</v>
      </c>
      <c r="T325" s="10" t="s">
        <v>350</v>
      </c>
      <c r="U325" s="10">
        <v>9941274924</v>
      </c>
      <c r="V325" s="12" t="s">
        <v>248</v>
      </c>
      <c r="W325" t="str">
        <f>IF(OR(Q325&lt;=2,V325="Cancelled"),"Blacklisted",IF(AND(P325&gt;100000,Q325&gt;=4,O325&lt;=10%,V325="Completed"),"Platinum",IF(AND(P325&gt;=50000,Q325&gt;=3,V325="Completed"),"Gold",IF(AND(P325&lt;50000,V325="Completed"),"Silver",""))))</f>
        <v>Blacklisted</v>
      </c>
      <c r="X325" t="str">
        <f>PROPER(TRIM(F325))</f>
        <v>Vikas Mehta</v>
      </c>
      <c r="Y325" t="str">
        <f>LEFT(F325,3)&amp;MID(B325,2,3)&amp;LEFT(I325,2)</f>
        <v>Vik005Pu</v>
      </c>
      <c r="Z325" t="str">
        <f>IF(ISNUMBER(SEARCH("@",T325)),LOWER(TRIM(T325)),"invalid email")</f>
        <v>vikas.mehta@company.com</v>
      </c>
      <c r="AA325">
        <f ca="1">IF(H324="","",IFERROR(DATEDIF(IF(ISNUMBER(H324),H324,DATE(VALUE(RIGHT(H324,4)),VALUE(MID(H324,3,2)),VALUE(LEFT(H324,2)))),TODAY(),"Y"),""))</f>
        <v>48</v>
      </c>
      <c r="AB325">
        <f>IF(OR(D325="",E325=""),"",IFERROR(DATE(MID(E325,7,4),MID(E325,4,2),LEFT(E325,2))-DATE(MID(D325,7,4),MID(D325,4,2),LEFT(D325,2)),""))</f>
        <v>9</v>
      </c>
      <c r="AC325" t="str">
        <f>IF(E325="","Pending",IF(AB325&lt;=5,"On time","Delayed"))</f>
        <v>Delayed</v>
      </c>
      <c r="AD325" s="29" t="str">
        <f>IF(TRIM(S325)="","Not Assigned",S325)</f>
        <v>Ritika</v>
      </c>
      <c r="AE325" t="str">
        <f>PROPER(TRIM(F325))</f>
        <v>Vikas Mehta</v>
      </c>
      <c r="AF325" t="str">
        <f>PROPER(TRIM(K325))</f>
        <v>Home Appliances</v>
      </c>
      <c r="AG325" t="str">
        <f>PROPER(TRIM(J325))</f>
        <v>West</v>
      </c>
      <c r="AH325" t="str">
        <f t="shared" si="10"/>
        <v>Home Appliances</v>
      </c>
      <c r="AI325" t="str">
        <f t="shared" si="11"/>
        <v>Home Appliances</v>
      </c>
      <c r="AK325">
        <f>IF(COUNTIF($A$2:A325,A325)=1,1,0)</f>
        <v>1</v>
      </c>
    </row>
    <row r="326" spans="1:37">
      <c r="A326" s="4" t="s">
        <v>905</v>
      </c>
      <c r="B326" s="5" t="s">
        <v>321</v>
      </c>
      <c r="C326" s="5" t="s">
        <v>280</v>
      </c>
      <c r="D326" s="5" t="s">
        <v>114</v>
      </c>
      <c r="E326" s="6">
        <v>45665</v>
      </c>
      <c r="F326" s="5" t="s">
        <v>408</v>
      </c>
      <c r="G326" s="5" t="s">
        <v>239</v>
      </c>
      <c r="H326" s="5" t="s">
        <v>906</v>
      </c>
      <c r="I326" s="5" t="s">
        <v>260</v>
      </c>
      <c r="J326" s="5" t="s">
        <v>261</v>
      </c>
      <c r="K326" s="5" t="s">
        <v>15</v>
      </c>
      <c r="L326" s="5" t="s">
        <v>282</v>
      </c>
      <c r="M326" s="5">
        <v>9</v>
      </c>
      <c r="N326" s="5">
        <v>3500</v>
      </c>
      <c r="O326" s="5">
        <v>20</v>
      </c>
      <c r="P326" s="5">
        <v>25200</v>
      </c>
      <c r="Q326" s="5">
        <v>1</v>
      </c>
      <c r="R326" s="5" t="s">
        <v>272</v>
      </c>
      <c r="S326" s="5" t="s">
        <v>263</v>
      </c>
      <c r="T326" s="5" t="s">
        <v>326</v>
      </c>
      <c r="U326" s="5">
        <v>9950650508</v>
      </c>
      <c r="V326" s="8" t="s">
        <v>265</v>
      </c>
      <c r="W326" t="str">
        <f>IF(OR(Q326&lt;=2,V326="Cancelled"),"Blacklisted",IF(AND(P326&gt;100000,Q326&gt;=4,O326&lt;=10%,V326="Completed"),"Platinum",IF(AND(P326&gt;=50000,Q326&gt;=3,V326="Completed"),"Gold",IF(AND(P326&lt;50000,V326="Completed"),"Silver",""))))</f>
        <v>Blacklisted</v>
      </c>
      <c r="X326" t="str">
        <f>PROPER(TRIM(F326))</f>
        <v>Anita Gupta</v>
      </c>
      <c r="Y326" t="str">
        <f>LEFT(F326,3)&amp;MID(B326,2,3)&amp;LEFT(I326,2)</f>
        <v>Ani004De</v>
      </c>
      <c r="Z326" t="str">
        <f>IF(ISNUMBER(SEARCH("@",T326)),LOWER(TRIM(T326)),"invalid email")</f>
        <v>anita.gupta@company.com</v>
      </c>
      <c r="AA326">
        <f ca="1">IF(H325="","",IFERROR(DATEDIF(IF(ISNUMBER(H325),H325,DATE(VALUE(RIGHT(H325,4)),VALUE(MID(H325,3,2)),VALUE(LEFT(H325,2)))),TODAY(),"Y"),""))</f>
        <v>34</v>
      </c>
      <c r="AB326" t="str">
        <f>IF(OR(D326="",E326=""),"",IFERROR(DATE(MID(E326,7,4),MID(E326,4,2),LEFT(E326,2))-DATE(MID(D326,7,4),MID(D326,4,2),LEFT(D326,2)),""))</f>
        <v/>
      </c>
      <c r="AC326" t="str">
        <f>IF(E326="","Pending",IF(AB326&lt;=5,"On time","Delayed"))</f>
        <v>Delayed</v>
      </c>
      <c r="AD326" s="29" t="str">
        <f>IF(TRIM(S326)="","Not Assigned",S326)</f>
        <v>Rahul</v>
      </c>
      <c r="AE326" t="str">
        <f>PROPER(TRIM(F326))</f>
        <v>Anita Gupta</v>
      </c>
      <c r="AF326" t="str">
        <f>PROPER(TRIM(K326))</f>
        <v>Home Appliances</v>
      </c>
      <c r="AG326" t="str">
        <f>PROPER(TRIM(J326))</f>
        <v>North</v>
      </c>
      <c r="AH326" t="str">
        <f t="shared" si="10"/>
        <v>Home Appliances</v>
      </c>
      <c r="AI326" t="str">
        <f t="shared" si="11"/>
        <v>Home Appliances</v>
      </c>
      <c r="AK326">
        <f>IF(COUNTIF($A$2:A326,A326)=1,1,0)</f>
        <v>1</v>
      </c>
    </row>
    <row r="327" spans="1:37">
      <c r="A327" s="9" t="s">
        <v>907</v>
      </c>
      <c r="B327" s="10" t="s">
        <v>299</v>
      </c>
      <c r="C327" s="10" t="s">
        <v>330</v>
      </c>
      <c r="D327" s="10" t="s">
        <v>191</v>
      </c>
      <c r="E327" s="10" t="s">
        <v>200</v>
      </c>
      <c r="F327" s="10" t="s">
        <v>301</v>
      </c>
      <c r="G327" s="10" t="s">
        <v>269</v>
      </c>
      <c r="H327" s="11">
        <v>37803</v>
      </c>
      <c r="I327" s="10" t="s">
        <v>252</v>
      </c>
      <c r="J327" s="10" t="s">
        <v>242</v>
      </c>
      <c r="K327" s="10" t="s">
        <v>243</v>
      </c>
      <c r="L327" s="10" t="s">
        <v>333</v>
      </c>
      <c r="M327" s="10">
        <v>15</v>
      </c>
      <c r="N327" s="10">
        <v>700</v>
      </c>
      <c r="O327" s="10">
        <v>5</v>
      </c>
      <c r="P327" s="10">
        <v>9975</v>
      </c>
      <c r="Q327" s="10">
        <v>1</v>
      </c>
      <c r="R327" s="10" t="s">
        <v>254</v>
      </c>
      <c r="S327" s="10" t="s">
        <v>263</v>
      </c>
      <c r="T327" s="10" t="s">
        <v>302</v>
      </c>
      <c r="U327" s="10">
        <v>9464035549</v>
      </c>
      <c r="V327" s="12" t="s">
        <v>265</v>
      </c>
      <c r="W327" t="str">
        <f>IF(OR(Q327&lt;=2,V327="Cancelled"),"Blacklisted",IF(AND(P327&gt;100000,Q327&gt;=4,O327&lt;=10%,V327="Completed"),"Platinum",IF(AND(P327&gt;=50000,Q327&gt;=3,V327="Completed"),"Gold",IF(AND(P327&lt;50000,V327="Completed"),"Silver",""))))</f>
        <v>Blacklisted</v>
      </c>
      <c r="X327" t="str">
        <f>PROPER(TRIM(F327))</f>
        <v>Rohit Singh</v>
      </c>
      <c r="Y327" t="str">
        <f>LEFT(F327,3)&amp;MID(B327,2,3)&amp;LEFT(I327,2)</f>
        <v>Roh003Hy</v>
      </c>
      <c r="Z327" t="str">
        <f>IF(ISNUMBER(SEARCH("@",T327)),LOWER(TRIM(T327)),"invalid email")</f>
        <v>rohit.singh@company.com</v>
      </c>
      <c r="AA327" t="str">
        <f ca="1">IF(H326="","",IFERROR(DATEDIF(IF(ISNUMBER(H326),H326,DATE(VALUE(RIGHT(H326,4)),VALUE(MID(H326,3,2)),VALUE(LEFT(H326,2)))),TODAY(),"Y"),""))</f>
        <v/>
      </c>
      <c r="AB327">
        <f>IF(OR(D327="",E327=""),"",IFERROR(DATE(MID(E327,7,4),MID(E327,4,2),LEFT(E327,2))-DATE(MID(D327,7,4),MID(D327,4,2),LEFT(D327,2)),""))</f>
        <v>1</v>
      </c>
      <c r="AC327" t="str">
        <f>IF(E327="","Pending",IF(AB327&lt;=5,"On time","Delayed"))</f>
        <v>On time</v>
      </c>
      <c r="AD327" s="29" t="str">
        <f>IF(TRIM(S327)="","Not Assigned",S327)</f>
        <v>Rahul</v>
      </c>
      <c r="AE327" t="str">
        <f>PROPER(TRIM(F327))</f>
        <v>Rohit Singh</v>
      </c>
      <c r="AF327" t="str">
        <f>PROPER(TRIM(K327))</f>
        <v>Electronics</v>
      </c>
      <c r="AG327" t="str">
        <f>PROPER(TRIM(J327))</f>
        <v>South</v>
      </c>
      <c r="AH327" t="str">
        <f t="shared" si="10"/>
        <v>Electronics</v>
      </c>
      <c r="AI327" t="str">
        <f t="shared" si="11"/>
        <v>Electronics</v>
      </c>
      <c r="AK327">
        <f>IF(COUNTIF($A$2:A327,A327)=1,1,0)</f>
        <v>1</v>
      </c>
    </row>
    <row r="328" spans="1:37">
      <c r="A328" s="4" t="s">
        <v>908</v>
      </c>
      <c r="B328" s="5" t="s">
        <v>235</v>
      </c>
      <c r="C328" s="5" t="s">
        <v>267</v>
      </c>
      <c r="D328" s="6">
        <v>46145</v>
      </c>
      <c r="E328" s="6">
        <v>46298</v>
      </c>
      <c r="F328" s="5" t="s">
        <v>318</v>
      </c>
      <c r="G328" s="5" t="s">
        <v>239</v>
      </c>
      <c r="H328" s="6">
        <v>34215</v>
      </c>
      <c r="I328" s="5" t="s">
        <v>306</v>
      </c>
      <c r="J328" s="5" t="s">
        <v>287</v>
      </c>
      <c r="K328" s="5" t="s">
        <v>243</v>
      </c>
      <c r="L328" s="5" t="s">
        <v>271</v>
      </c>
      <c r="M328" s="5">
        <v>13</v>
      </c>
      <c r="N328" s="5">
        <v>1200</v>
      </c>
      <c r="O328" s="5">
        <v>0</v>
      </c>
      <c r="P328" s="5">
        <v>15600</v>
      </c>
      <c r="Q328" s="5">
        <v>3</v>
      </c>
      <c r="R328" s="5" t="s">
        <v>245</v>
      </c>
      <c r="S328" s="5" t="s">
        <v>292</v>
      </c>
      <c r="T328" s="5" t="s">
        <v>247</v>
      </c>
      <c r="U328" s="5">
        <v>9142334315</v>
      </c>
      <c r="V328" s="8" t="s">
        <v>265</v>
      </c>
      <c r="W328" t="str">
        <f>IF(OR(Q328&lt;=2,V328="Cancelled"),"Blacklisted",IF(AND(P328&gt;100000,Q328&gt;=4,O328&lt;=10%,V328="Completed"),"Platinum",IF(AND(P328&gt;=50000,Q328&gt;=3,V328="Completed"),"Gold",IF(AND(P328&lt;50000,V328="Completed"),"Silver",""))))</f>
        <v>Blacklisted</v>
      </c>
      <c r="X328" t="str">
        <f>PROPER(TRIM(F328))</f>
        <v>Pooja Shah</v>
      </c>
      <c r="Y328" t="str">
        <f>LEFT(F328,3)&amp;MID(B328,2,3)&amp;LEFT(I328,2)</f>
        <v>Poo010Ah</v>
      </c>
      <c r="Z328" t="str">
        <f>IF(ISNUMBER(SEARCH("@",T328)),LOWER(TRIM(T328)),"invalid email")</f>
        <v>pooja.shah@company.com</v>
      </c>
      <c r="AA328">
        <f ca="1">IF(H327="","",IFERROR(DATEDIF(IF(ISNUMBER(H327),H327,DATE(VALUE(RIGHT(H327,4)),VALUE(MID(H327,3,2)),VALUE(LEFT(H327,2)))),TODAY(),"Y"),""))</f>
        <v>23</v>
      </c>
      <c r="AB328" t="str">
        <f>IF(OR(D328="",E328=""),"",IFERROR(DATE(MID(E328,7,4),MID(E328,4,2),LEFT(E328,2))-DATE(MID(D328,7,4),MID(D328,4,2),LEFT(D328,2)),""))</f>
        <v/>
      </c>
      <c r="AC328" t="str">
        <f>IF(E328="","Pending",IF(AB328&lt;=5,"On time","Delayed"))</f>
        <v>Delayed</v>
      </c>
      <c r="AD328" s="29" t="str">
        <f>IF(TRIM(S328)="","Not Assigned",S328)</f>
        <v>Neha</v>
      </c>
      <c r="AE328" t="str">
        <f>PROPER(TRIM(F328))</f>
        <v>Pooja Shah</v>
      </c>
      <c r="AF328" t="str">
        <f>PROPER(TRIM(K328))</f>
        <v>Electronics</v>
      </c>
      <c r="AG328" t="str">
        <f>PROPER(TRIM(J328))</f>
        <v>West</v>
      </c>
      <c r="AH328" t="str">
        <f t="shared" si="10"/>
        <v>Electronics</v>
      </c>
      <c r="AI328" t="str">
        <f t="shared" si="11"/>
        <v>Electronics</v>
      </c>
      <c r="AK328">
        <f>IF(COUNTIF($A$2:A328,A328)=1,1,0)</f>
        <v>1</v>
      </c>
    </row>
    <row r="329" spans="1:37">
      <c r="A329" s="9" t="s">
        <v>909</v>
      </c>
      <c r="B329" s="10" t="s">
        <v>392</v>
      </c>
      <c r="C329" s="10" t="s">
        <v>258</v>
      </c>
      <c r="D329" s="10" t="s">
        <v>158</v>
      </c>
      <c r="E329" s="11">
        <v>45847</v>
      </c>
      <c r="F329" s="10" t="s">
        <v>323</v>
      </c>
      <c r="G329" s="10" t="s">
        <v>269</v>
      </c>
      <c r="H329" s="11">
        <v>34034</v>
      </c>
      <c r="I329" s="10" t="s">
        <v>260</v>
      </c>
      <c r="J329" s="10" t="s">
        <v>261</v>
      </c>
      <c r="K329" s="10" t="s">
        <v>243</v>
      </c>
      <c r="L329" s="10" t="s">
        <v>262</v>
      </c>
      <c r="M329" s="10">
        <v>5</v>
      </c>
      <c r="N329" s="10">
        <v>12000</v>
      </c>
      <c r="O329" s="10">
        <v>10</v>
      </c>
      <c r="P329" s="10">
        <v>54000</v>
      </c>
      <c r="Q329" s="10">
        <v>3</v>
      </c>
      <c r="R329" s="10" t="s">
        <v>277</v>
      </c>
      <c r="S329" s="10" t="s">
        <v>263</v>
      </c>
      <c r="T329" s="10" t="s">
        <v>395</v>
      </c>
      <c r="U329" s="10">
        <v>9123961962</v>
      </c>
      <c r="V329" s="12" t="s">
        <v>257</v>
      </c>
      <c r="W329" t="str">
        <f>IF(OR(Q329&lt;=2,V329="Cancelled"),"Blacklisted",IF(AND(P329&gt;100000,Q329&gt;=4,O329&lt;=10%,V329="Completed"),"Platinum",IF(AND(P329&gt;=50000,Q329&gt;=3,V329="Completed"),"Gold",IF(AND(P329&lt;50000,V329="Completed"),"Silver",""))))</f>
        <v>Gold</v>
      </c>
      <c r="X329" t="str">
        <f>PROPER(TRIM(F329))</f>
        <v>Amit Sharma</v>
      </c>
      <c r="Y329" t="str">
        <f>LEFT(F329,3)&amp;MID(B329,2,3)&amp;LEFT(I329,2)</f>
        <v>Ami001De</v>
      </c>
      <c r="Z329" t="str">
        <f>IF(ISNUMBER(SEARCH("@",T329)),LOWER(TRIM(T329)),"invalid email")</f>
        <v>amit.sharma@company.com</v>
      </c>
      <c r="AA329">
        <f ca="1">IF(H328="","",IFERROR(DATEDIF(IF(ISNUMBER(H328),H328,DATE(VALUE(RIGHT(H328,4)),VALUE(MID(H328,3,2)),VALUE(LEFT(H328,2)))),TODAY(),"Y"),""))</f>
        <v>33</v>
      </c>
      <c r="AB329" t="str">
        <f>IF(OR(D329="",E329=""),"",IFERROR(DATE(MID(E329,7,4),MID(E329,4,2),LEFT(E329,2))-DATE(MID(D329,7,4),MID(D329,4,2),LEFT(D329,2)),""))</f>
        <v/>
      </c>
      <c r="AC329" t="str">
        <f>IF(E329="","Pending",IF(AB329&lt;=5,"On time","Delayed"))</f>
        <v>Delayed</v>
      </c>
      <c r="AD329" s="29" t="str">
        <f>IF(TRIM(S329)="","Not Assigned",S329)</f>
        <v>Rahul</v>
      </c>
      <c r="AE329" t="str">
        <f>PROPER(TRIM(F329))</f>
        <v>Amit Sharma</v>
      </c>
      <c r="AF329" t="str">
        <f>PROPER(TRIM(K329))</f>
        <v>Electronics</v>
      </c>
      <c r="AG329" t="str">
        <f>PROPER(TRIM(J329))</f>
        <v>North</v>
      </c>
      <c r="AH329" t="str">
        <f t="shared" si="10"/>
        <v>Electronics</v>
      </c>
      <c r="AI329" t="str">
        <f t="shared" si="11"/>
        <v>Electronics</v>
      </c>
      <c r="AK329">
        <f>IF(COUNTIF($A$2:A329,A329)=1,1,0)</f>
        <v>1</v>
      </c>
    </row>
    <row r="330" spans="1:37">
      <c r="A330" s="4" t="s">
        <v>910</v>
      </c>
      <c r="B330" s="5" t="s">
        <v>235</v>
      </c>
      <c r="C330" s="5" t="s">
        <v>362</v>
      </c>
      <c r="D330" s="6">
        <v>45781</v>
      </c>
      <c r="E330" s="6">
        <v>45873</v>
      </c>
      <c r="F330" s="5" t="s">
        <v>318</v>
      </c>
      <c r="G330" s="5" t="s">
        <v>239</v>
      </c>
      <c r="H330" s="6">
        <v>36445</v>
      </c>
      <c r="I330" s="5" t="s">
        <v>241</v>
      </c>
      <c r="J330" s="5" t="s">
        <v>242</v>
      </c>
      <c r="K330" s="5" t="s">
        <v>295</v>
      </c>
      <c r="L330" s="5" t="s">
        <v>363</v>
      </c>
      <c r="M330" s="5">
        <v>12</v>
      </c>
      <c r="N330" s="5">
        <v>45</v>
      </c>
      <c r="O330" s="5">
        <v>20</v>
      </c>
      <c r="P330" s="5">
        <v>432</v>
      </c>
      <c r="Q330" s="5">
        <v>3</v>
      </c>
      <c r="R330" s="5" t="s">
        <v>245</v>
      </c>
      <c r="S330" s="5" t="s">
        <v>246</v>
      </c>
      <c r="T330" s="5" t="s">
        <v>247</v>
      </c>
      <c r="U330" s="5">
        <v>9741953402</v>
      </c>
      <c r="V330" s="8" t="s">
        <v>257</v>
      </c>
      <c r="W330" t="str">
        <f>IF(OR(Q330&lt;=2,V330="Cancelled"),"Blacklisted",IF(AND(P330&gt;100000,Q330&gt;=4,O330&lt;=10%,V330="Completed"),"Platinum",IF(AND(P330&gt;=50000,Q330&gt;=3,V330="Completed"),"Gold",IF(AND(P330&lt;50000,V330="Completed"),"Silver",""))))</f>
        <v>Silver</v>
      </c>
      <c r="X330" t="str">
        <f>PROPER(TRIM(F330))</f>
        <v>Pooja Shah</v>
      </c>
      <c r="Y330" t="str">
        <f>LEFT(F330,3)&amp;MID(B330,2,3)&amp;LEFT(I330,2)</f>
        <v>Poo010Be</v>
      </c>
      <c r="Z330" t="str">
        <f>IF(ISNUMBER(SEARCH("@",T330)),LOWER(TRIM(T330)),"invalid email")</f>
        <v>pooja.shah@company.com</v>
      </c>
      <c r="AA330">
        <f ca="1">IF(H329="","",IFERROR(DATEDIF(IF(ISNUMBER(H329),H329,DATE(VALUE(RIGHT(H329,4)),VALUE(MID(H329,3,2)),VALUE(LEFT(H329,2)))),TODAY(),"Y"),""))</f>
        <v>33</v>
      </c>
      <c r="AB330" t="str">
        <f>IF(OR(D330="",E330=""),"",IFERROR(DATE(MID(E330,7,4),MID(E330,4,2),LEFT(E330,2))-DATE(MID(D330,7,4),MID(D330,4,2),LEFT(D330,2)),""))</f>
        <v/>
      </c>
      <c r="AC330" t="str">
        <f>IF(E330="","Pending",IF(AB330&lt;=5,"On time","Delayed"))</f>
        <v>Delayed</v>
      </c>
      <c r="AD330" s="29" t="str">
        <f>IF(TRIM(S330)="","Not Assigned",S330)</f>
        <v>Aisha</v>
      </c>
      <c r="AE330" t="str">
        <f>PROPER(TRIM(F330))</f>
        <v>Pooja Shah</v>
      </c>
      <c r="AF330" t="str">
        <f>PROPER(TRIM(K330))</f>
        <v>Stationery</v>
      </c>
      <c r="AG330" t="str">
        <f>PROPER(TRIM(J330))</f>
        <v>South</v>
      </c>
      <c r="AH330" t="str">
        <f t="shared" si="10"/>
        <v>Stationery</v>
      </c>
      <c r="AI330" t="str">
        <f t="shared" si="11"/>
        <v>Stationery</v>
      </c>
      <c r="AK330">
        <f>IF(COUNTIF($A$2:A330,A330)=1,1,0)</f>
        <v>1</v>
      </c>
    </row>
    <row r="331" spans="1:37">
      <c r="A331" s="9" t="s">
        <v>911</v>
      </c>
      <c r="B331" s="10" t="s">
        <v>249</v>
      </c>
      <c r="C331" s="10" t="s">
        <v>280</v>
      </c>
      <c r="D331" s="11">
        <v>45904</v>
      </c>
      <c r="E331" s="10" t="s">
        <v>536</v>
      </c>
      <c r="F331" s="10" t="s">
        <v>251</v>
      </c>
      <c r="G331" s="10" t="s">
        <v>239</v>
      </c>
      <c r="H331" s="11">
        <v>27917</v>
      </c>
      <c r="I331" s="10" t="s">
        <v>241</v>
      </c>
      <c r="J331" s="10" t="s">
        <v>242</v>
      </c>
      <c r="K331" s="10" t="s">
        <v>15</v>
      </c>
      <c r="L331" s="10" t="s">
        <v>282</v>
      </c>
      <c r="M331" s="10">
        <v>2</v>
      </c>
      <c r="N331" s="10">
        <v>3500</v>
      </c>
      <c r="O331" s="10">
        <v>0</v>
      </c>
      <c r="P331" s="10">
        <v>7000</v>
      </c>
      <c r="Q331" s="10">
        <v>1</v>
      </c>
      <c r="R331" s="10" t="s">
        <v>245</v>
      </c>
      <c r="S331" s="10" t="s">
        <v>292</v>
      </c>
      <c r="T331" s="10" t="s">
        <v>264</v>
      </c>
      <c r="U331" s="10">
        <v>9404733633</v>
      </c>
      <c r="V331" s="12" t="s">
        <v>248</v>
      </c>
      <c r="W331" t="str">
        <f>IF(OR(Q331&lt;=2,V331="Cancelled"),"Blacklisted",IF(AND(P331&gt;100000,Q331&gt;=4,O331&lt;=10%,V331="Completed"),"Platinum",IF(AND(P331&gt;=50000,Q331&gt;=3,V331="Completed"),"Gold",IF(AND(P331&lt;50000,V331="Completed"),"Silver",""))))</f>
        <v>Blacklisted</v>
      </c>
      <c r="X331" t="str">
        <f>PROPER(TRIM(F331))</f>
        <v>Kavya Nair</v>
      </c>
      <c r="Y331" t="str">
        <f>LEFT(F331,3)&amp;MID(B331,2,3)&amp;LEFT(I331,2)</f>
        <v>Kav008Be</v>
      </c>
      <c r="Z331" t="str">
        <f>IF(ISNUMBER(SEARCH("@",T331)),LOWER(TRIM(T331)),"invalid email")</f>
        <v>kavya.nair@company.com</v>
      </c>
      <c r="AA331">
        <f ca="1">IF(H330="","",IFERROR(DATEDIF(IF(ISNUMBER(H330),H330,DATE(VALUE(RIGHT(H330,4)),VALUE(MID(H330,3,2)),VALUE(LEFT(H330,2)))),TODAY(),"Y"),""))</f>
        <v>27</v>
      </c>
      <c r="AB331" t="str">
        <f>IF(OR(D331="",E331=""),"",IFERROR(DATE(MID(E331,7,4),MID(E331,4,2),LEFT(E331,2))-DATE(MID(D331,7,4),MID(D331,4,2),LEFT(D331,2)),""))</f>
        <v/>
      </c>
      <c r="AC331" t="str">
        <f>IF(E331="","Pending",IF(AB331&lt;=5,"On time","Delayed"))</f>
        <v>Delayed</v>
      </c>
      <c r="AD331" s="29" t="str">
        <f>IF(TRIM(S331)="","Not Assigned",S331)</f>
        <v>Neha</v>
      </c>
      <c r="AE331" t="str">
        <f>PROPER(TRIM(F331))</f>
        <v>Kavya Nair</v>
      </c>
      <c r="AF331" t="str">
        <f>PROPER(TRIM(K331))</f>
        <v>Home Appliances</v>
      </c>
      <c r="AG331" t="str">
        <f>PROPER(TRIM(J331))</f>
        <v>South</v>
      </c>
      <c r="AH331" t="str">
        <f t="shared" si="10"/>
        <v>Home Appliances</v>
      </c>
      <c r="AI331" t="str">
        <f t="shared" si="11"/>
        <v>Home Appliances</v>
      </c>
      <c r="AK331">
        <f>IF(COUNTIF($A$2:A331,A331)=1,1,0)</f>
        <v>1</v>
      </c>
    </row>
    <row r="332" spans="1:37">
      <c r="A332" s="4" t="s">
        <v>912</v>
      </c>
      <c r="B332" s="5" t="s">
        <v>249</v>
      </c>
      <c r="C332" s="5" t="s">
        <v>250</v>
      </c>
      <c r="D332" s="5" t="s">
        <v>16</v>
      </c>
      <c r="E332" s="5" t="s">
        <v>47</v>
      </c>
      <c r="F332" s="5" t="s">
        <v>251</v>
      </c>
      <c r="G332" s="5" t="s">
        <v>239</v>
      </c>
      <c r="H332" s="5" t="s">
        <v>913</v>
      </c>
      <c r="I332" s="5" t="s">
        <v>291</v>
      </c>
      <c r="J332" s="5" t="s">
        <v>287</v>
      </c>
      <c r="K332" s="5" t="s">
        <v>15</v>
      </c>
      <c r="L332" s="5" t="s">
        <v>253</v>
      </c>
      <c r="M332" s="5">
        <v>15</v>
      </c>
      <c r="N332" s="5">
        <v>2200</v>
      </c>
      <c r="O332" s="5">
        <v>15</v>
      </c>
      <c r="P332" s="5">
        <v>28050</v>
      </c>
      <c r="Q332" s="5">
        <v>2</v>
      </c>
      <c r="R332" s="5" t="s">
        <v>245</v>
      </c>
      <c r="S332" s="5" t="s">
        <v>263</v>
      </c>
      <c r="T332" s="5" t="s">
        <v>264</v>
      </c>
      <c r="U332" s="5">
        <v>9297492337</v>
      </c>
      <c r="V332" s="8" t="s">
        <v>248</v>
      </c>
      <c r="W332" t="str">
        <f>IF(OR(Q332&lt;=2,V332="Cancelled"),"Blacklisted",IF(AND(P332&gt;100000,Q332&gt;=4,O332&lt;=10%,V332="Completed"),"Platinum",IF(AND(P332&gt;=50000,Q332&gt;=3,V332="Completed"),"Gold",IF(AND(P332&lt;50000,V332="Completed"),"Silver",""))))</f>
        <v>Blacklisted</v>
      </c>
      <c r="X332" t="str">
        <f>PROPER(TRIM(F332))</f>
        <v>Kavya Nair</v>
      </c>
      <c r="Y332" t="str">
        <f>LEFT(F332,3)&amp;MID(B332,2,3)&amp;LEFT(I332,2)</f>
        <v>Kav008Pu</v>
      </c>
      <c r="Z332" t="str">
        <f>IF(ISNUMBER(SEARCH("@",T332)),LOWER(TRIM(T332)),"invalid email")</f>
        <v>kavya.nair@company.com</v>
      </c>
      <c r="AA332">
        <f ca="1">IF(H331="","",IFERROR(DATEDIF(IF(ISNUMBER(H331),H331,DATE(VALUE(RIGHT(H331,4)),VALUE(MID(H331,3,2)),VALUE(LEFT(H331,2)))),TODAY(),"Y"),""))</f>
        <v>50</v>
      </c>
      <c r="AB332">
        <f>IF(OR(D332="",E332=""),"",IFERROR(DATE(MID(E332,7,4),MID(E332,4,2),LEFT(E332,2))-DATE(MID(D332,7,4),MID(D332,4,2),LEFT(D332,2)),""))</f>
        <v>3</v>
      </c>
      <c r="AC332" t="str">
        <f>IF(E332="","Pending",IF(AB332&lt;=5,"On time","Delayed"))</f>
        <v>On time</v>
      </c>
      <c r="AD332" s="29" t="str">
        <f>IF(TRIM(S332)="","Not Assigned",S332)</f>
        <v>Rahul</v>
      </c>
      <c r="AE332" t="str">
        <f>PROPER(TRIM(F332))</f>
        <v>Kavya Nair</v>
      </c>
      <c r="AF332" t="str">
        <f>PROPER(TRIM(K332))</f>
        <v>Home Appliances</v>
      </c>
      <c r="AG332" t="str">
        <f>PROPER(TRIM(J332))</f>
        <v>West</v>
      </c>
      <c r="AH332" t="str">
        <f t="shared" si="10"/>
        <v>Home Appliances</v>
      </c>
      <c r="AI332" t="str">
        <f t="shared" si="11"/>
        <v>Home Appliances</v>
      </c>
      <c r="AK332">
        <f>IF(COUNTIF($A$2:A332,A332)=1,1,0)</f>
        <v>1</v>
      </c>
    </row>
    <row r="333" spans="1:37">
      <c r="A333" s="9" t="s">
        <v>914</v>
      </c>
      <c r="B333" s="10" t="s">
        <v>284</v>
      </c>
      <c r="C333" s="10" t="s">
        <v>347</v>
      </c>
      <c r="D333" s="11">
        <v>45759</v>
      </c>
      <c r="E333" s="11">
        <v>46003</v>
      </c>
      <c r="F333" s="10" t="s">
        <v>285</v>
      </c>
      <c r="G333" s="10" t="s">
        <v>239</v>
      </c>
      <c r="H333" s="10" t="s">
        <v>915</v>
      </c>
      <c r="I333" s="10" t="s">
        <v>306</v>
      </c>
      <c r="J333" s="10" t="s">
        <v>287</v>
      </c>
      <c r="K333" s="10" t="s">
        <v>295</v>
      </c>
      <c r="L333" s="10" t="s">
        <v>349</v>
      </c>
      <c r="M333" s="10">
        <v>8</v>
      </c>
      <c r="N333" s="10">
        <v>20</v>
      </c>
      <c r="O333" s="10">
        <v>20</v>
      </c>
      <c r="P333" s="10">
        <v>128</v>
      </c>
      <c r="Q333" s="10">
        <v>5</v>
      </c>
      <c r="R333" s="10" t="s">
        <v>277</v>
      </c>
      <c r="S333" s="10" t="s">
        <v>263</v>
      </c>
      <c r="T333" s="10" t="s">
        <v>308</v>
      </c>
      <c r="U333" s="10">
        <v>9350338928</v>
      </c>
      <c r="V333" s="12" t="s">
        <v>257</v>
      </c>
      <c r="W333" t="str">
        <f>IF(OR(Q333&lt;=2,V333="Cancelled"),"Blacklisted",IF(AND(P333&gt;100000,Q333&gt;=4,O333&lt;=10%,V333="Completed"),"Platinum",IF(AND(P333&gt;=50000,Q333&gt;=3,V333="Completed"),"Gold",IF(AND(P333&lt;50000,V333="Completed"),"Silver",""))))</f>
        <v>Silver</v>
      </c>
      <c r="X333" t="str">
        <f>PROPER(TRIM(F333))</f>
        <v>Priya Patel</v>
      </c>
      <c r="Y333" t="str">
        <f>LEFT(F333,3)&amp;MID(B333,2,3)&amp;LEFT(I333,2)</f>
        <v>Pri002Ah</v>
      </c>
      <c r="Z333" t="str">
        <f>IF(ISNUMBER(SEARCH("@",T333)),LOWER(TRIM(T333)),"invalid email")</f>
        <v>priya.patel@company.com</v>
      </c>
      <c r="AA333" t="str">
        <f ca="1">IF(H332="","",IFERROR(DATEDIF(IF(ISNUMBER(H332),H332,DATE(VALUE(RIGHT(H332,4)),VALUE(MID(H332,3,2)),VALUE(LEFT(H332,2)))),TODAY(),"Y"),""))</f>
        <v/>
      </c>
      <c r="AB333" t="str">
        <f>IF(OR(D333="",E333=""),"",IFERROR(DATE(MID(E333,7,4),MID(E333,4,2),LEFT(E333,2))-DATE(MID(D333,7,4),MID(D333,4,2),LEFT(D333,2)),""))</f>
        <v/>
      </c>
      <c r="AC333" t="str">
        <f>IF(E333="","Pending",IF(AB333&lt;=5,"On time","Delayed"))</f>
        <v>Delayed</v>
      </c>
      <c r="AD333" s="29" t="str">
        <f>IF(TRIM(S333)="","Not Assigned",S333)</f>
        <v>Rahul</v>
      </c>
      <c r="AE333" t="str">
        <f>PROPER(TRIM(F333))</f>
        <v>Priya Patel</v>
      </c>
      <c r="AF333" t="str">
        <f>PROPER(TRIM(K333))</f>
        <v>Stationery</v>
      </c>
      <c r="AG333" t="str">
        <f>PROPER(TRIM(J333))</f>
        <v>West</v>
      </c>
      <c r="AH333" t="str">
        <f t="shared" si="10"/>
        <v>Stationery</v>
      </c>
      <c r="AI333" t="str">
        <f t="shared" si="11"/>
        <v>Stationery</v>
      </c>
      <c r="AK333">
        <f>IF(COUNTIF($A$2:A333,A333)=1,1,0)</f>
        <v>1</v>
      </c>
    </row>
    <row r="334" spans="1:37">
      <c r="A334" s="4" t="s">
        <v>916</v>
      </c>
      <c r="B334" s="5" t="s">
        <v>299</v>
      </c>
      <c r="C334" s="5" t="s">
        <v>347</v>
      </c>
      <c r="D334" s="6">
        <v>46237</v>
      </c>
      <c r="E334" s="6">
        <v>46298</v>
      </c>
      <c r="F334" s="5" t="s">
        <v>301</v>
      </c>
      <c r="G334" s="5" t="s">
        <v>269</v>
      </c>
      <c r="H334" s="5" t="s">
        <v>917</v>
      </c>
      <c r="I334" s="5" t="s">
        <v>252</v>
      </c>
      <c r="J334" s="5" t="s">
        <v>242</v>
      </c>
      <c r="K334" s="5" t="s">
        <v>295</v>
      </c>
      <c r="L334" s="5" t="s">
        <v>349</v>
      </c>
      <c r="M334" s="5">
        <v>1</v>
      </c>
      <c r="N334" s="5">
        <v>20</v>
      </c>
      <c r="O334" s="5">
        <v>0</v>
      </c>
      <c r="P334" s="5">
        <v>20</v>
      </c>
      <c r="Q334" s="5">
        <v>3</v>
      </c>
      <c r="R334" s="5" t="s">
        <v>277</v>
      </c>
      <c r="S334" s="5" t="s">
        <v>255</v>
      </c>
      <c r="T334" s="5" t="s">
        <v>302</v>
      </c>
      <c r="U334" s="5">
        <v>9933894798</v>
      </c>
      <c r="V334" s="8" t="s">
        <v>257</v>
      </c>
      <c r="W334" t="str">
        <f>IF(OR(Q334&lt;=2,V334="Cancelled"),"Blacklisted",IF(AND(P334&gt;100000,Q334&gt;=4,O334&lt;=10%,V334="Completed"),"Platinum",IF(AND(P334&gt;=50000,Q334&gt;=3,V334="Completed"),"Gold",IF(AND(P334&lt;50000,V334="Completed"),"Silver",""))))</f>
        <v>Silver</v>
      </c>
      <c r="X334" t="str">
        <f>PROPER(TRIM(F334))</f>
        <v>Rohit Singh</v>
      </c>
      <c r="Y334" t="str">
        <f>LEFT(F334,3)&amp;MID(B334,2,3)&amp;LEFT(I334,2)</f>
        <v>Roh003Hy</v>
      </c>
      <c r="Z334" t="str">
        <f>IF(ISNUMBER(SEARCH("@",T334)),LOWER(TRIM(T334)),"invalid email")</f>
        <v>rohit.singh@company.com</v>
      </c>
      <c r="AA334" t="str">
        <f ca="1">IF(H333="","",IFERROR(DATEDIF(IF(ISNUMBER(H333),H333,DATE(VALUE(RIGHT(H333,4)),VALUE(MID(H333,3,2)),VALUE(LEFT(H333,2)))),TODAY(),"Y"),""))</f>
        <v/>
      </c>
      <c r="AB334" t="str">
        <f>IF(OR(D334="",E334=""),"",IFERROR(DATE(MID(E334,7,4),MID(E334,4,2),LEFT(E334,2))-DATE(MID(D334,7,4),MID(D334,4,2),LEFT(D334,2)),""))</f>
        <v/>
      </c>
      <c r="AC334" t="str">
        <f>IF(E334="","Pending",IF(AB334&lt;=5,"On time","Delayed"))</f>
        <v>Delayed</v>
      </c>
      <c r="AD334" s="29" t="str">
        <f>IF(TRIM(S334)="","Not Assigned",S334)</f>
        <v>Ritika</v>
      </c>
      <c r="AE334" t="str">
        <f>PROPER(TRIM(F334))</f>
        <v>Rohit Singh</v>
      </c>
      <c r="AF334" t="str">
        <f>PROPER(TRIM(K334))</f>
        <v>Stationery</v>
      </c>
      <c r="AG334" t="str">
        <f>PROPER(TRIM(J334))</f>
        <v>South</v>
      </c>
      <c r="AH334" t="str">
        <f t="shared" si="10"/>
        <v>Stationery</v>
      </c>
      <c r="AI334" t="str">
        <f t="shared" si="11"/>
        <v>Stationery</v>
      </c>
      <c r="AK334">
        <f>IF(COUNTIF($A$2:A334,A334)=1,1,0)</f>
        <v>1</v>
      </c>
    </row>
    <row r="335" spans="1:37">
      <c r="A335" s="9" t="s">
        <v>918</v>
      </c>
      <c r="B335" s="10" t="s">
        <v>249</v>
      </c>
      <c r="C335" s="10" t="s">
        <v>330</v>
      </c>
      <c r="D335" s="11">
        <v>46143</v>
      </c>
      <c r="E335" s="10" t="s">
        <v>41</v>
      </c>
      <c r="F335" s="10" t="s">
        <v>251</v>
      </c>
      <c r="G335" s="10" t="s">
        <v>239</v>
      </c>
      <c r="H335" s="10" t="s">
        <v>919</v>
      </c>
      <c r="I335" s="10" t="s">
        <v>342</v>
      </c>
      <c r="J335" s="10" t="s">
        <v>261</v>
      </c>
      <c r="K335" s="10" t="s">
        <v>243</v>
      </c>
      <c r="L335" s="10" t="s">
        <v>333</v>
      </c>
      <c r="M335" s="10">
        <v>15</v>
      </c>
      <c r="N335" s="10">
        <v>700</v>
      </c>
      <c r="O335" s="10">
        <v>0</v>
      </c>
      <c r="P335" s="10">
        <v>10500</v>
      </c>
      <c r="Q335" s="10">
        <v>2</v>
      </c>
      <c r="R335" s="10" t="s">
        <v>277</v>
      </c>
      <c r="S335" s="10" t="s">
        <v>263</v>
      </c>
      <c r="T335" s="10" t="s">
        <v>264</v>
      </c>
      <c r="U335" s="10">
        <v>9705218824</v>
      </c>
      <c r="V335" s="12" t="s">
        <v>257</v>
      </c>
      <c r="W335" t="str">
        <f>IF(OR(Q335&lt;=2,V335="Cancelled"),"Blacklisted",IF(AND(P335&gt;100000,Q335&gt;=4,O335&lt;=10%,V335="Completed"),"Platinum",IF(AND(P335&gt;=50000,Q335&gt;=3,V335="Completed"),"Gold",IF(AND(P335&lt;50000,V335="Completed"),"Silver",""))))</f>
        <v>Blacklisted</v>
      </c>
      <c r="X335" t="str">
        <f>PROPER(TRIM(F335))</f>
        <v>Kavya Nair</v>
      </c>
      <c r="Y335" t="str">
        <f>LEFT(F335,3)&amp;MID(B335,2,3)&amp;LEFT(I335,2)</f>
        <v>Kav008Ja</v>
      </c>
      <c r="Z335" t="str">
        <f>IF(ISNUMBER(SEARCH("@",T335)),LOWER(TRIM(T335)),"invalid email")</f>
        <v>kavya.nair@company.com</v>
      </c>
      <c r="AA335" t="str">
        <f ca="1">IF(H334="","",IFERROR(DATEDIF(IF(ISNUMBER(H334),H334,DATE(VALUE(RIGHT(H334,4)),VALUE(MID(H334,3,2)),VALUE(LEFT(H334,2)))),TODAY(),"Y"),""))</f>
        <v/>
      </c>
      <c r="AB335" t="str">
        <f>IF(OR(D335="",E335=""),"",IFERROR(DATE(MID(E335,7,4),MID(E335,4,2),LEFT(E335,2))-DATE(MID(D335,7,4),MID(D335,4,2),LEFT(D335,2)),""))</f>
        <v/>
      </c>
      <c r="AC335" t="str">
        <f>IF(E335="","Pending",IF(AB335&lt;=5,"On time","Delayed"))</f>
        <v>Delayed</v>
      </c>
      <c r="AD335" s="29" t="str">
        <f>IF(TRIM(S335)="","Not Assigned",S335)</f>
        <v>Rahul</v>
      </c>
      <c r="AE335" t="str">
        <f>PROPER(TRIM(F335))</f>
        <v>Kavya Nair</v>
      </c>
      <c r="AF335" t="str">
        <f>PROPER(TRIM(K335))</f>
        <v>Electronics</v>
      </c>
      <c r="AG335" t="str">
        <f>PROPER(TRIM(J335))</f>
        <v>North</v>
      </c>
      <c r="AH335" t="str">
        <f t="shared" si="10"/>
        <v>Electronics</v>
      </c>
      <c r="AI335" t="str">
        <f t="shared" si="11"/>
        <v>Electronics</v>
      </c>
      <c r="AK335">
        <f>IF(COUNTIF($A$2:A335,A335)=1,1,0)</f>
        <v>1</v>
      </c>
    </row>
    <row r="336" spans="1:37">
      <c r="A336" s="4" t="s">
        <v>920</v>
      </c>
      <c r="B336" s="5" t="s">
        <v>392</v>
      </c>
      <c r="C336" s="5" t="s">
        <v>280</v>
      </c>
      <c r="D336" s="6">
        <v>45840</v>
      </c>
      <c r="E336" s="6">
        <v>45932</v>
      </c>
      <c r="F336" s="5" t="s">
        <v>323</v>
      </c>
      <c r="G336" s="5" t="s">
        <v>269</v>
      </c>
      <c r="H336" s="6">
        <v>30529</v>
      </c>
      <c r="I336" s="5" t="s">
        <v>252</v>
      </c>
      <c r="J336" s="5" t="s">
        <v>242</v>
      </c>
      <c r="K336" s="5" t="s">
        <v>15</v>
      </c>
      <c r="L336" s="5" t="s">
        <v>282</v>
      </c>
      <c r="M336" s="5">
        <v>15</v>
      </c>
      <c r="N336" s="5">
        <v>3500</v>
      </c>
      <c r="O336" s="5">
        <v>10</v>
      </c>
      <c r="P336" s="5">
        <v>47250</v>
      </c>
      <c r="Q336" s="5">
        <v>3</v>
      </c>
      <c r="R336" s="5" t="s">
        <v>254</v>
      </c>
      <c r="S336" s="5" t="s">
        <v>312</v>
      </c>
      <c r="T336" s="5" t="s">
        <v>395</v>
      </c>
      <c r="U336" s="5">
        <v>9229164453</v>
      </c>
      <c r="V336" s="8" t="s">
        <v>248</v>
      </c>
      <c r="W336" t="str">
        <f>IF(OR(Q336&lt;=2,V336="Cancelled"),"Blacklisted",IF(AND(P336&gt;100000,Q336&gt;=4,O336&lt;=10%,V336="Completed"),"Platinum",IF(AND(P336&gt;=50000,Q336&gt;=3,V336="Completed"),"Gold",IF(AND(P336&lt;50000,V336="Completed"),"Silver",""))))</f>
        <v/>
      </c>
      <c r="X336" t="str">
        <f>PROPER(TRIM(F336))</f>
        <v>Amit Sharma</v>
      </c>
      <c r="Y336" t="str">
        <f>LEFT(F336,3)&amp;MID(B336,2,3)&amp;LEFT(I336,2)</f>
        <v>Ami001Hy</v>
      </c>
      <c r="Z336" t="str">
        <f>IF(ISNUMBER(SEARCH("@",T336)),LOWER(TRIM(T336)),"invalid email")</f>
        <v>amit.sharma@company.com</v>
      </c>
      <c r="AA336" t="str">
        <f ca="1">IF(H335="","",IFERROR(DATEDIF(IF(ISNUMBER(H335),H335,DATE(VALUE(RIGHT(H335,4)),VALUE(MID(H335,3,2)),VALUE(LEFT(H335,2)))),TODAY(),"Y"),""))</f>
        <v/>
      </c>
      <c r="AB336" t="str">
        <f>IF(OR(D336="",E336=""),"",IFERROR(DATE(MID(E336,7,4),MID(E336,4,2),LEFT(E336,2))-DATE(MID(D336,7,4),MID(D336,4,2),LEFT(D336,2)),""))</f>
        <v/>
      </c>
      <c r="AC336" t="str">
        <f>IF(E336="","Pending",IF(AB336&lt;=5,"On time","Delayed"))</f>
        <v>Delayed</v>
      </c>
      <c r="AD336" s="29" t="str">
        <f>IF(TRIM(S336)="","Not Assigned",S336)</f>
        <v>Karan</v>
      </c>
      <c r="AE336" t="str">
        <f>PROPER(TRIM(F336))</f>
        <v>Amit Sharma</v>
      </c>
      <c r="AF336" t="str">
        <f>PROPER(TRIM(K336))</f>
        <v>Home Appliances</v>
      </c>
      <c r="AG336" t="str">
        <f>PROPER(TRIM(J336))</f>
        <v>South</v>
      </c>
      <c r="AH336" t="str">
        <f t="shared" si="10"/>
        <v>Home Appliances</v>
      </c>
      <c r="AI336" t="str">
        <f t="shared" si="11"/>
        <v>Home Appliances</v>
      </c>
      <c r="AK336">
        <f>IF(COUNTIF($A$2:A336,A336)=1,1,0)</f>
        <v>1</v>
      </c>
    </row>
    <row r="337" spans="1:37">
      <c r="A337" s="9" t="s">
        <v>921</v>
      </c>
      <c r="B337" s="10" t="s">
        <v>249</v>
      </c>
      <c r="C337" s="10" t="s">
        <v>294</v>
      </c>
      <c r="D337" s="10" t="s">
        <v>180</v>
      </c>
      <c r="E337" s="11">
        <v>45846</v>
      </c>
      <c r="F337" s="10" t="s">
        <v>251</v>
      </c>
      <c r="G337" s="10" t="s">
        <v>239</v>
      </c>
      <c r="H337" s="10" t="s">
        <v>922</v>
      </c>
      <c r="I337" s="10" t="s">
        <v>379</v>
      </c>
      <c r="J337" s="10" t="s">
        <v>21</v>
      </c>
      <c r="K337" s="10" t="s">
        <v>295</v>
      </c>
      <c r="L337" s="10" t="s">
        <v>296</v>
      </c>
      <c r="M337" s="10">
        <v>16</v>
      </c>
      <c r="N337" s="10">
        <v>60</v>
      </c>
      <c r="O337" s="10">
        <v>10</v>
      </c>
      <c r="P337" s="10">
        <v>864</v>
      </c>
      <c r="Q337" s="10">
        <v>4</v>
      </c>
      <c r="R337" s="10" t="s">
        <v>272</v>
      </c>
      <c r="S337" s="10" t="s">
        <v>246</v>
      </c>
      <c r="T337" s="10" t="s">
        <v>264</v>
      </c>
      <c r="U337" s="10">
        <v>9219806176</v>
      </c>
      <c r="V337" s="12" t="s">
        <v>257</v>
      </c>
      <c r="W337" t="str">
        <f>IF(OR(Q337&lt;=2,V337="Cancelled"),"Blacklisted",IF(AND(P337&gt;100000,Q337&gt;=4,O337&lt;=10%,V337="Completed"),"Platinum",IF(AND(P337&gt;=50000,Q337&gt;=3,V337="Completed"),"Gold",IF(AND(P337&lt;50000,V337="Completed"),"Silver",""))))</f>
        <v>Silver</v>
      </c>
      <c r="X337" t="str">
        <f>PROPER(TRIM(F337))</f>
        <v>Kavya Nair</v>
      </c>
      <c r="Y337" t="str">
        <f>LEFT(F337,3)&amp;MID(B337,2,3)&amp;LEFT(I337,2)</f>
        <v>Kav008Ko</v>
      </c>
      <c r="Z337" t="str">
        <f>IF(ISNUMBER(SEARCH("@",T337)),LOWER(TRIM(T337)),"invalid email")</f>
        <v>kavya.nair@company.com</v>
      </c>
      <c r="AA337">
        <f ca="1">IF(H336="","",IFERROR(DATEDIF(IF(ISNUMBER(H336),H336,DATE(VALUE(RIGHT(H336,4)),VALUE(MID(H336,3,2)),VALUE(LEFT(H336,2)))),TODAY(),"Y"),""))</f>
        <v>43</v>
      </c>
      <c r="AB337" t="str">
        <f>IF(OR(D337="",E337=""),"",IFERROR(DATE(MID(E337,7,4),MID(E337,4,2),LEFT(E337,2))-DATE(MID(D337,7,4),MID(D337,4,2),LEFT(D337,2)),""))</f>
        <v/>
      </c>
      <c r="AC337" t="str">
        <f>IF(E337="","Pending",IF(AB337&lt;=5,"On time","Delayed"))</f>
        <v>Delayed</v>
      </c>
      <c r="AD337" s="29" t="str">
        <f>IF(TRIM(S337)="","Not Assigned",S337)</f>
        <v>Aisha</v>
      </c>
      <c r="AE337" t="str">
        <f>PROPER(TRIM(F337))</f>
        <v>Kavya Nair</v>
      </c>
      <c r="AF337" t="str">
        <f>PROPER(TRIM(K337))</f>
        <v>Stationery</v>
      </c>
      <c r="AG337" t="str">
        <f>PROPER(TRIM(J337))</f>
        <v>East</v>
      </c>
      <c r="AH337" t="str">
        <f t="shared" si="10"/>
        <v>Stationery</v>
      </c>
      <c r="AI337" t="str">
        <f t="shared" si="11"/>
        <v>Stationery</v>
      </c>
      <c r="AK337">
        <f>IF(COUNTIF($A$2:A337,A337)=1,1,0)</f>
        <v>1</v>
      </c>
    </row>
    <row r="338" spans="1:37">
      <c r="A338" s="4" t="s">
        <v>923</v>
      </c>
      <c r="B338" s="5" t="s">
        <v>299</v>
      </c>
      <c r="C338" s="5" t="s">
        <v>362</v>
      </c>
      <c r="D338" s="5" t="s">
        <v>37</v>
      </c>
      <c r="E338" s="5" t="s">
        <v>105</v>
      </c>
      <c r="F338" s="5" t="s">
        <v>301</v>
      </c>
      <c r="G338" s="5" t="s">
        <v>269</v>
      </c>
      <c r="H338" s="5" t="s">
        <v>924</v>
      </c>
      <c r="I338" s="5" t="s">
        <v>260</v>
      </c>
      <c r="J338" s="5" t="s">
        <v>261</v>
      </c>
      <c r="K338" s="5" t="s">
        <v>295</v>
      </c>
      <c r="L338" s="5" t="s">
        <v>363</v>
      </c>
      <c r="M338" s="5">
        <v>2</v>
      </c>
      <c r="N338" s="5">
        <v>45</v>
      </c>
      <c r="O338" s="5">
        <v>15</v>
      </c>
      <c r="P338" s="5">
        <v>76.5</v>
      </c>
      <c r="Q338" s="5">
        <v>1</v>
      </c>
      <c r="R338" s="5" t="s">
        <v>277</v>
      </c>
      <c r="S338" s="5" t="s">
        <v>312</v>
      </c>
      <c r="T338" s="5" t="s">
        <v>302</v>
      </c>
      <c r="U338" s="5">
        <v>9630210250</v>
      </c>
      <c r="V338" s="8" t="s">
        <v>265</v>
      </c>
      <c r="W338" t="str">
        <f>IF(OR(Q338&lt;=2,V338="Cancelled"),"Blacklisted",IF(AND(P338&gt;100000,Q338&gt;=4,O338&lt;=10%,V338="Completed"),"Platinum",IF(AND(P338&gt;=50000,Q338&gt;=3,V338="Completed"),"Gold",IF(AND(P338&lt;50000,V338="Completed"),"Silver",""))))</f>
        <v>Blacklisted</v>
      </c>
      <c r="X338" t="str">
        <f>PROPER(TRIM(F338))</f>
        <v>Rohit Singh</v>
      </c>
      <c r="Y338" t="str">
        <f>LEFT(F338,3)&amp;MID(B338,2,3)&amp;LEFT(I338,2)</f>
        <v>Roh003De</v>
      </c>
      <c r="Z338" t="str">
        <f>IF(ISNUMBER(SEARCH("@",T338)),LOWER(TRIM(T338)),"invalid email")</f>
        <v>rohit.singh@company.com</v>
      </c>
      <c r="AA338" t="str">
        <f ca="1">IF(H337="","",IFERROR(DATEDIF(IF(ISNUMBER(H337),H337,DATE(VALUE(RIGHT(H337,4)),VALUE(MID(H337,3,2)),VALUE(LEFT(H337,2)))),TODAY(),"Y"),""))</f>
        <v/>
      </c>
      <c r="AB338">
        <f>IF(OR(D338="",E338=""),"",IFERROR(DATE(MID(E338,7,4),MID(E338,4,2),LEFT(E338,2))-DATE(MID(D338,7,4),MID(D338,4,2),LEFT(D338,2)),""))</f>
        <v>6</v>
      </c>
      <c r="AC338" t="str">
        <f>IF(E338="","Pending",IF(AB338&lt;=5,"On time","Delayed"))</f>
        <v>Delayed</v>
      </c>
      <c r="AD338" s="29" t="str">
        <f>IF(TRIM(S338)="","Not Assigned",S338)</f>
        <v>Karan</v>
      </c>
      <c r="AE338" t="str">
        <f>PROPER(TRIM(F338))</f>
        <v>Rohit Singh</v>
      </c>
      <c r="AF338" t="str">
        <f>PROPER(TRIM(K338))</f>
        <v>Stationery</v>
      </c>
      <c r="AG338" t="str">
        <f>PROPER(TRIM(J338))</f>
        <v>North</v>
      </c>
      <c r="AH338" t="str">
        <f t="shared" si="10"/>
        <v>Stationery</v>
      </c>
      <c r="AI338" t="str">
        <f t="shared" si="11"/>
        <v>Stationery</v>
      </c>
      <c r="AK338">
        <f>IF(COUNTIF($A$2:A338,A338)=1,1,0)</f>
        <v>1</v>
      </c>
    </row>
    <row r="339" spans="1:37">
      <c r="A339" s="9" t="s">
        <v>925</v>
      </c>
      <c r="B339" s="10" t="s">
        <v>321</v>
      </c>
      <c r="C339" s="10" t="s">
        <v>294</v>
      </c>
      <c r="D339" s="11">
        <v>45820</v>
      </c>
      <c r="E339" s="10" t="s">
        <v>39</v>
      </c>
      <c r="F339" s="10" t="s">
        <v>408</v>
      </c>
      <c r="G339" s="10" t="s">
        <v>239</v>
      </c>
      <c r="H339" s="10" t="s">
        <v>926</v>
      </c>
      <c r="I339" s="10" t="s">
        <v>260</v>
      </c>
      <c r="J339" s="10" t="s">
        <v>261</v>
      </c>
      <c r="K339" s="10" t="s">
        <v>295</v>
      </c>
      <c r="L339" s="10" t="s">
        <v>296</v>
      </c>
      <c r="M339" s="10">
        <v>13</v>
      </c>
      <c r="N339" s="10">
        <v>60</v>
      </c>
      <c r="O339" s="10">
        <v>15</v>
      </c>
      <c r="P339" s="10">
        <v>663</v>
      </c>
      <c r="Q339" s="10">
        <v>2</v>
      </c>
      <c r="R339" s="10" t="s">
        <v>245</v>
      </c>
      <c r="S339" s="10" t="s">
        <v>246</v>
      </c>
      <c r="T339" s="10" t="s">
        <v>326</v>
      </c>
      <c r="U339" s="10">
        <v>9583354052</v>
      </c>
      <c r="V339" s="12" t="s">
        <v>265</v>
      </c>
      <c r="W339" t="str">
        <f>IF(OR(Q339&lt;=2,V339="Cancelled"),"Blacklisted",IF(AND(P339&gt;100000,Q339&gt;=4,O339&lt;=10%,V339="Completed"),"Platinum",IF(AND(P339&gt;=50000,Q339&gt;=3,V339="Completed"),"Gold",IF(AND(P339&lt;50000,V339="Completed"),"Silver",""))))</f>
        <v>Blacklisted</v>
      </c>
      <c r="X339" t="str">
        <f>PROPER(TRIM(F339))</f>
        <v>Anita Gupta</v>
      </c>
      <c r="Y339" t="str">
        <f>LEFT(F339,3)&amp;MID(B339,2,3)&amp;LEFT(I339,2)</f>
        <v>Ani004De</v>
      </c>
      <c r="Z339" t="str">
        <f>IF(ISNUMBER(SEARCH("@",T339)),LOWER(TRIM(T339)),"invalid email")</f>
        <v>anita.gupta@company.com</v>
      </c>
      <c r="AA339" t="str">
        <f ca="1">IF(H338="","",IFERROR(DATEDIF(IF(ISNUMBER(H338),H338,DATE(VALUE(RIGHT(H338,4)),VALUE(MID(H338,3,2)),VALUE(LEFT(H338,2)))),TODAY(),"Y"),""))</f>
        <v/>
      </c>
      <c r="AB339" t="str">
        <f>IF(OR(D339="",E339=""),"",IFERROR(DATE(MID(E339,7,4),MID(E339,4,2),LEFT(E339,2))-DATE(MID(D339,7,4),MID(D339,4,2),LEFT(D339,2)),""))</f>
        <v/>
      </c>
      <c r="AC339" t="str">
        <f>IF(E339="","Pending",IF(AB339&lt;=5,"On time","Delayed"))</f>
        <v>Delayed</v>
      </c>
      <c r="AD339" s="29" t="str">
        <f>IF(TRIM(S339)="","Not Assigned",S339)</f>
        <v>Aisha</v>
      </c>
      <c r="AE339" t="str">
        <f>PROPER(TRIM(F339))</f>
        <v>Anita Gupta</v>
      </c>
      <c r="AF339" t="str">
        <f>PROPER(TRIM(K339))</f>
        <v>Stationery</v>
      </c>
      <c r="AG339" t="str">
        <f>PROPER(TRIM(J339))</f>
        <v>North</v>
      </c>
      <c r="AH339" t="str">
        <f t="shared" si="10"/>
        <v>Stationery</v>
      </c>
      <c r="AI339" t="str">
        <f t="shared" si="11"/>
        <v>Stationery</v>
      </c>
      <c r="AK339">
        <f>IF(COUNTIF($A$2:A339,A339)=1,1,0)</f>
        <v>1</v>
      </c>
    </row>
    <row r="340" spans="1:37">
      <c r="A340" s="4" t="s">
        <v>927</v>
      </c>
      <c r="B340" s="5" t="s">
        <v>275</v>
      </c>
      <c r="C340" s="5" t="s">
        <v>258</v>
      </c>
      <c r="D340" s="5" t="s">
        <v>91</v>
      </c>
      <c r="E340" s="5" t="s">
        <v>112</v>
      </c>
      <c r="F340" s="5" t="s">
        <v>328</v>
      </c>
      <c r="G340" s="5" t="s">
        <v>269</v>
      </c>
      <c r="H340" s="6">
        <v>34588</v>
      </c>
      <c r="I340" s="5" t="s">
        <v>260</v>
      </c>
      <c r="J340" s="5" t="s">
        <v>261</v>
      </c>
      <c r="K340" s="5" t="s">
        <v>243</v>
      </c>
      <c r="L340" s="5" t="s">
        <v>262</v>
      </c>
      <c r="M340" s="5">
        <v>15</v>
      </c>
      <c r="N340" s="5">
        <v>12000</v>
      </c>
      <c r="O340" s="5">
        <v>20</v>
      </c>
      <c r="P340" s="5">
        <v>144000</v>
      </c>
      <c r="Q340" s="5">
        <v>3</v>
      </c>
      <c r="R340" s="5" t="s">
        <v>272</v>
      </c>
      <c r="S340" s="5" t="s">
        <v>255</v>
      </c>
      <c r="T340" s="5" t="s">
        <v>278</v>
      </c>
      <c r="U340" s="5">
        <v>9242534507</v>
      </c>
      <c r="V340" s="8" t="s">
        <v>265</v>
      </c>
      <c r="W340" t="str">
        <f>IF(OR(Q340&lt;=2,V340="Cancelled"),"Blacklisted",IF(AND(P340&gt;100000,Q340&gt;=4,O340&lt;=10%,V340="Completed"),"Platinum",IF(AND(P340&gt;=50000,Q340&gt;=3,V340="Completed"),"Gold",IF(AND(P340&lt;50000,V340="Completed"),"Silver",""))))</f>
        <v>Blacklisted</v>
      </c>
      <c r="X340" t="str">
        <f>PROPER(TRIM(F340))</f>
        <v>Arjun Rao</v>
      </c>
      <c r="Y340" t="str">
        <f>LEFT(F340,3)&amp;MID(B340,2,3)&amp;LEFT(I340,2)</f>
        <v>Arj007De</v>
      </c>
      <c r="Z340" t="str">
        <f>IF(ISNUMBER(SEARCH("@",T340)),LOWER(TRIM(T340)),"invalid email")</f>
        <v>arjun.rao@company.com</v>
      </c>
      <c r="AA340" t="str">
        <f ca="1">IF(H339="","",IFERROR(DATEDIF(IF(ISNUMBER(H339),H339,DATE(VALUE(RIGHT(H339,4)),VALUE(MID(H339,3,2)),VALUE(LEFT(H339,2)))),TODAY(),"Y"),""))</f>
        <v/>
      </c>
      <c r="AB340">
        <f>IF(OR(D340="",E340=""),"",IFERROR(DATE(MID(E340,7,4),MID(E340,4,2),LEFT(E340,2))-DATE(MID(D340,7,4),MID(D340,4,2),LEFT(D340,2)),""))</f>
        <v>2</v>
      </c>
      <c r="AC340" t="str">
        <f>IF(E340="","Pending",IF(AB340&lt;=5,"On time","Delayed"))</f>
        <v>On time</v>
      </c>
      <c r="AD340" s="29" t="str">
        <f>IF(TRIM(S340)="","Not Assigned",S340)</f>
        <v>Ritika</v>
      </c>
      <c r="AE340" t="str">
        <f>PROPER(TRIM(F340))</f>
        <v>Arjun Rao</v>
      </c>
      <c r="AF340" t="str">
        <f>PROPER(TRIM(K340))</f>
        <v>Electronics</v>
      </c>
      <c r="AG340" t="str">
        <f>PROPER(TRIM(J340))</f>
        <v>North</v>
      </c>
      <c r="AH340" t="str">
        <f t="shared" si="10"/>
        <v>Electronics</v>
      </c>
      <c r="AI340" t="str">
        <f t="shared" si="11"/>
        <v>Electronics</v>
      </c>
      <c r="AK340">
        <f>IF(COUNTIF($A$2:A340,A340)=1,1,0)</f>
        <v>1</v>
      </c>
    </row>
    <row r="341" spans="1:37">
      <c r="A341" s="9" t="s">
        <v>928</v>
      </c>
      <c r="B341" s="10" t="s">
        <v>392</v>
      </c>
      <c r="C341" s="10" t="s">
        <v>347</v>
      </c>
      <c r="D341" s="10" t="s">
        <v>145</v>
      </c>
      <c r="E341" s="11">
        <v>45696</v>
      </c>
      <c r="F341" s="10" t="s">
        <v>323</v>
      </c>
      <c r="G341" s="10" t="s">
        <v>269</v>
      </c>
      <c r="H341" s="10" t="s">
        <v>929</v>
      </c>
      <c r="I341" s="10" t="s">
        <v>260</v>
      </c>
      <c r="J341" s="10" t="s">
        <v>261</v>
      </c>
      <c r="K341" s="10" t="s">
        <v>295</v>
      </c>
      <c r="L341" s="10" t="s">
        <v>349</v>
      </c>
      <c r="M341" s="10">
        <v>2</v>
      </c>
      <c r="N341" s="10">
        <v>20</v>
      </c>
      <c r="O341" s="10">
        <v>20</v>
      </c>
      <c r="P341" s="10">
        <v>32</v>
      </c>
      <c r="Q341" s="10">
        <v>4</v>
      </c>
      <c r="R341" s="10" t="s">
        <v>254</v>
      </c>
      <c r="S341" s="10" t="s">
        <v>255</v>
      </c>
      <c r="T341" s="10" t="s">
        <v>395</v>
      </c>
      <c r="U341" s="10">
        <v>9291239150</v>
      </c>
      <c r="V341" s="12" t="s">
        <v>248</v>
      </c>
      <c r="W341" t="str">
        <f>IF(OR(Q341&lt;=2,V341="Cancelled"),"Blacklisted",IF(AND(P341&gt;100000,Q341&gt;=4,O341&lt;=10%,V341="Completed"),"Platinum",IF(AND(P341&gt;=50000,Q341&gt;=3,V341="Completed"),"Gold",IF(AND(P341&lt;50000,V341="Completed"),"Silver",""))))</f>
        <v/>
      </c>
      <c r="X341" t="str">
        <f>PROPER(TRIM(F341))</f>
        <v>Amit Sharma</v>
      </c>
      <c r="Y341" t="str">
        <f>LEFT(F341,3)&amp;MID(B341,2,3)&amp;LEFT(I341,2)</f>
        <v>Ami001De</v>
      </c>
      <c r="Z341" t="str">
        <f>IF(ISNUMBER(SEARCH("@",T341)),LOWER(TRIM(T341)),"invalid email")</f>
        <v>amit.sharma@company.com</v>
      </c>
      <c r="AA341">
        <f ca="1">IF(H340="","",IFERROR(DATEDIF(IF(ISNUMBER(H340),H340,DATE(VALUE(RIGHT(H340,4)),VALUE(MID(H340,3,2)),VALUE(LEFT(H340,2)))),TODAY(),"Y"),""))</f>
        <v>32</v>
      </c>
      <c r="AB341" t="str">
        <f>IF(OR(D341="",E341=""),"",IFERROR(DATE(MID(E341,7,4),MID(E341,4,2),LEFT(E341,2))-DATE(MID(D341,7,4),MID(D341,4,2),LEFT(D341,2)),""))</f>
        <v/>
      </c>
      <c r="AC341" t="str">
        <f>IF(E341="","Pending",IF(AB341&lt;=5,"On time","Delayed"))</f>
        <v>Delayed</v>
      </c>
      <c r="AD341" s="29" t="str">
        <f>IF(TRIM(S341)="","Not Assigned",S341)</f>
        <v>Ritika</v>
      </c>
      <c r="AE341" t="str">
        <f>PROPER(TRIM(F341))</f>
        <v>Amit Sharma</v>
      </c>
      <c r="AF341" t="str">
        <f>PROPER(TRIM(K341))</f>
        <v>Stationery</v>
      </c>
      <c r="AG341" t="str">
        <f>PROPER(TRIM(J341))</f>
        <v>North</v>
      </c>
      <c r="AH341" t="str">
        <f t="shared" si="10"/>
        <v>Stationery</v>
      </c>
      <c r="AI341" t="str">
        <f t="shared" si="11"/>
        <v>Stationery</v>
      </c>
      <c r="AK341">
        <f>IF(COUNTIF($A$2:A341,A341)=1,1,0)</f>
        <v>1</v>
      </c>
    </row>
    <row r="342" spans="1:37">
      <c r="A342" s="4" t="s">
        <v>930</v>
      </c>
      <c r="B342" s="5" t="s">
        <v>299</v>
      </c>
      <c r="C342" s="5" t="s">
        <v>280</v>
      </c>
      <c r="D342" s="6">
        <v>45785</v>
      </c>
      <c r="E342" s="5" t="s">
        <v>931</v>
      </c>
      <c r="F342" s="5" t="s">
        <v>301</v>
      </c>
      <c r="G342" s="5" t="s">
        <v>269</v>
      </c>
      <c r="H342" s="5" t="s">
        <v>932</v>
      </c>
      <c r="I342" s="5" t="s">
        <v>241</v>
      </c>
      <c r="J342" s="5" t="s">
        <v>242</v>
      </c>
      <c r="K342" s="5" t="s">
        <v>15</v>
      </c>
      <c r="L342" s="5" t="s">
        <v>282</v>
      </c>
      <c r="M342" s="5">
        <v>16</v>
      </c>
      <c r="N342" s="5">
        <v>3500</v>
      </c>
      <c r="O342" s="5">
        <v>0</v>
      </c>
      <c r="P342" s="5">
        <v>56000</v>
      </c>
      <c r="Q342" s="5">
        <v>4</v>
      </c>
      <c r="R342" s="5" t="s">
        <v>254</v>
      </c>
      <c r="S342" s="5" t="s">
        <v>292</v>
      </c>
      <c r="T342" s="5" t="s">
        <v>302</v>
      </c>
      <c r="U342" s="5">
        <v>9550820904</v>
      </c>
      <c r="V342" s="8" t="s">
        <v>257</v>
      </c>
      <c r="W342" t="str">
        <f>IF(OR(Q342&lt;=2,V342="Cancelled"),"Blacklisted",IF(AND(P342&gt;100000,Q342&gt;=4,O342&lt;=10%,V342="Completed"),"Platinum",IF(AND(P342&gt;=50000,Q342&gt;=3,V342="Completed"),"Gold",IF(AND(P342&lt;50000,V342="Completed"),"Silver",""))))</f>
        <v>Gold</v>
      </c>
      <c r="X342" t="str">
        <f>PROPER(TRIM(F342))</f>
        <v>Rohit Singh</v>
      </c>
      <c r="Y342" t="str">
        <f>LEFT(F342,3)&amp;MID(B342,2,3)&amp;LEFT(I342,2)</f>
        <v>Roh003Be</v>
      </c>
      <c r="Z342" t="str">
        <f>IF(ISNUMBER(SEARCH("@",T342)),LOWER(TRIM(T342)),"invalid email")</f>
        <v>rohit.singh@company.com</v>
      </c>
      <c r="AA342" t="str">
        <f ca="1">IF(H341="","",IFERROR(DATEDIF(IF(ISNUMBER(H341),H341,DATE(VALUE(RIGHT(H341,4)),VALUE(MID(H341,3,2)),VALUE(LEFT(H341,2)))),TODAY(),"Y"),""))</f>
        <v/>
      </c>
      <c r="AB342" t="str">
        <f>IF(OR(D342="",E342=""),"",IFERROR(DATE(MID(E342,7,4),MID(E342,4,2),LEFT(E342,2))-DATE(MID(D342,7,4),MID(D342,4,2),LEFT(D342,2)),""))</f>
        <v/>
      </c>
      <c r="AC342" t="str">
        <f>IF(E342="","Pending",IF(AB342&lt;=5,"On time","Delayed"))</f>
        <v>Delayed</v>
      </c>
      <c r="AD342" s="29" t="str">
        <f>IF(TRIM(S342)="","Not Assigned",S342)</f>
        <v>Neha</v>
      </c>
      <c r="AE342" t="str">
        <f>PROPER(TRIM(F342))</f>
        <v>Rohit Singh</v>
      </c>
      <c r="AF342" t="str">
        <f>PROPER(TRIM(K342))</f>
        <v>Home Appliances</v>
      </c>
      <c r="AG342" t="str">
        <f>PROPER(TRIM(J342))</f>
        <v>South</v>
      </c>
      <c r="AH342" t="str">
        <f t="shared" si="10"/>
        <v>Home Appliances</v>
      </c>
      <c r="AI342" t="str">
        <f t="shared" si="11"/>
        <v>Home Appliances</v>
      </c>
      <c r="AK342">
        <f>IF(COUNTIF($A$2:A342,A342)=1,1,0)</f>
        <v>1</v>
      </c>
    </row>
    <row r="343" spans="1:37">
      <c r="A343" s="9" t="s">
        <v>933</v>
      </c>
      <c r="B343" s="10" t="s">
        <v>235</v>
      </c>
      <c r="C343" s="10" t="s">
        <v>280</v>
      </c>
      <c r="D343" s="10" t="s">
        <v>65</v>
      </c>
      <c r="E343" s="10" t="s">
        <v>139</v>
      </c>
      <c r="F343" s="10" t="s">
        <v>318</v>
      </c>
      <c r="G343" s="10" t="s">
        <v>239</v>
      </c>
      <c r="H343" s="11">
        <v>28369</v>
      </c>
      <c r="I343" s="10" t="s">
        <v>306</v>
      </c>
      <c r="J343" s="10" t="s">
        <v>287</v>
      </c>
      <c r="K343" s="10" t="s">
        <v>15</v>
      </c>
      <c r="L343" s="10" t="s">
        <v>282</v>
      </c>
      <c r="M343" s="10">
        <v>18</v>
      </c>
      <c r="N343" s="10">
        <v>3500</v>
      </c>
      <c r="O343" s="10">
        <v>15</v>
      </c>
      <c r="P343" s="10">
        <v>53550</v>
      </c>
      <c r="Q343" s="10">
        <v>5</v>
      </c>
      <c r="R343" s="10" t="s">
        <v>254</v>
      </c>
      <c r="S343" s="10" t="s">
        <v>312</v>
      </c>
      <c r="T343" s="10" t="s">
        <v>247</v>
      </c>
      <c r="U343" s="10">
        <v>9294486423</v>
      </c>
      <c r="V343" s="12" t="s">
        <v>265</v>
      </c>
      <c r="W343" t="str">
        <f>IF(OR(Q343&lt;=2,V343="Cancelled"),"Blacklisted",IF(AND(P343&gt;100000,Q343&gt;=4,O343&lt;=10%,V343="Completed"),"Platinum",IF(AND(P343&gt;=50000,Q343&gt;=3,V343="Completed"),"Gold",IF(AND(P343&lt;50000,V343="Completed"),"Silver",""))))</f>
        <v>Blacklisted</v>
      </c>
      <c r="X343" t="str">
        <f>PROPER(TRIM(F343))</f>
        <v>Pooja Shah</v>
      </c>
      <c r="Y343" t="str">
        <f>LEFT(F343,3)&amp;MID(B343,2,3)&amp;LEFT(I343,2)</f>
        <v>Poo010Ah</v>
      </c>
      <c r="Z343" t="str">
        <f>IF(ISNUMBER(SEARCH("@",T343)),LOWER(TRIM(T343)),"invalid email")</f>
        <v>pooja.shah@company.com</v>
      </c>
      <c r="AA343" t="str">
        <f ca="1">IF(H342="","",IFERROR(DATEDIF(IF(ISNUMBER(H342),H342,DATE(VALUE(RIGHT(H342,4)),VALUE(MID(H342,3,2)),VALUE(LEFT(H342,2)))),TODAY(),"Y"),""))</f>
        <v/>
      </c>
      <c r="AB343">
        <f>IF(OR(D343="",E343=""),"",IFERROR(DATE(MID(E343,7,4),MID(E343,4,2),LEFT(E343,2))-DATE(MID(D343,7,4),MID(D343,4,2),LEFT(D343,2)),""))</f>
        <v>7</v>
      </c>
      <c r="AC343" t="str">
        <f>IF(E343="","Pending",IF(AB343&lt;=5,"On time","Delayed"))</f>
        <v>Delayed</v>
      </c>
      <c r="AD343" s="29" t="str">
        <f>IF(TRIM(S343)="","Not Assigned",S343)</f>
        <v>Karan</v>
      </c>
      <c r="AE343" t="str">
        <f>PROPER(TRIM(F343))</f>
        <v>Pooja Shah</v>
      </c>
      <c r="AF343" t="str">
        <f>PROPER(TRIM(K343))</f>
        <v>Home Appliances</v>
      </c>
      <c r="AG343" t="str">
        <f>PROPER(TRIM(J343))</f>
        <v>West</v>
      </c>
      <c r="AH343" t="str">
        <f t="shared" si="10"/>
        <v>Home Appliances</v>
      </c>
      <c r="AI343" t="str">
        <f t="shared" si="11"/>
        <v>Home Appliances</v>
      </c>
      <c r="AK343">
        <f>IF(COUNTIF($A$2:A343,A343)=1,1,0)</f>
        <v>1</v>
      </c>
    </row>
    <row r="344" spans="1:37">
      <c r="A344" s="4" t="s">
        <v>934</v>
      </c>
      <c r="B344" s="5" t="s">
        <v>249</v>
      </c>
      <c r="C344" s="5" t="s">
        <v>362</v>
      </c>
      <c r="D344" s="5" t="s">
        <v>100</v>
      </c>
      <c r="E344" s="5" t="s">
        <v>152</v>
      </c>
      <c r="F344" s="5" t="s">
        <v>251</v>
      </c>
      <c r="G344" s="5" t="s">
        <v>239</v>
      </c>
      <c r="H344" s="5" t="s">
        <v>935</v>
      </c>
      <c r="I344" s="5" t="s">
        <v>306</v>
      </c>
      <c r="J344" s="5" t="s">
        <v>287</v>
      </c>
      <c r="K344" s="5" t="s">
        <v>295</v>
      </c>
      <c r="L344" s="5" t="s">
        <v>363</v>
      </c>
      <c r="M344" s="5">
        <v>20</v>
      </c>
      <c r="N344" s="5">
        <v>45</v>
      </c>
      <c r="O344" s="5">
        <v>15</v>
      </c>
      <c r="P344" s="5">
        <v>765</v>
      </c>
      <c r="Q344" s="5">
        <v>4</v>
      </c>
      <c r="R344" s="5" t="s">
        <v>254</v>
      </c>
      <c r="S344" s="5" t="s">
        <v>312</v>
      </c>
      <c r="T344" s="5" t="s">
        <v>264</v>
      </c>
      <c r="U344" s="5">
        <v>9260258621</v>
      </c>
      <c r="V344" s="8" t="s">
        <v>265</v>
      </c>
      <c r="W344" t="str">
        <f>IF(OR(Q344&lt;=2,V344="Cancelled"),"Blacklisted",IF(AND(P344&gt;100000,Q344&gt;=4,O344&lt;=10%,V344="Completed"),"Platinum",IF(AND(P344&gt;=50000,Q344&gt;=3,V344="Completed"),"Gold",IF(AND(P344&lt;50000,V344="Completed"),"Silver",""))))</f>
        <v>Blacklisted</v>
      </c>
      <c r="X344" t="str">
        <f>PROPER(TRIM(F344))</f>
        <v>Kavya Nair</v>
      </c>
      <c r="Y344" t="str">
        <f>LEFT(F344,3)&amp;MID(B344,2,3)&amp;LEFT(I344,2)</f>
        <v>Kav008Ah</v>
      </c>
      <c r="Z344" t="str">
        <f>IF(ISNUMBER(SEARCH("@",T344)),LOWER(TRIM(T344)),"invalid email")</f>
        <v>kavya.nair@company.com</v>
      </c>
      <c r="AA344">
        <f ca="1">IF(H343="","",IFERROR(DATEDIF(IF(ISNUMBER(H343),H343,DATE(VALUE(RIGHT(H343,4)),VALUE(MID(H343,3,2)),VALUE(LEFT(H343,2)))),TODAY(),"Y"),""))</f>
        <v>49</v>
      </c>
      <c r="AB344">
        <f>IF(OR(D344="",E344=""),"",IFERROR(DATE(MID(E344,7,4),MID(E344,4,2),LEFT(E344,2))-DATE(MID(D344,7,4),MID(D344,4,2),LEFT(D344,2)),""))</f>
        <v>5</v>
      </c>
      <c r="AC344" t="str">
        <f>IF(E344="","Pending",IF(AB344&lt;=5,"On time","Delayed"))</f>
        <v>On time</v>
      </c>
      <c r="AD344" s="29" t="str">
        <f>IF(TRIM(S344)="","Not Assigned",S344)</f>
        <v>Karan</v>
      </c>
      <c r="AE344" t="str">
        <f>PROPER(TRIM(F344))</f>
        <v>Kavya Nair</v>
      </c>
      <c r="AF344" t="str">
        <f>PROPER(TRIM(K344))</f>
        <v>Stationery</v>
      </c>
      <c r="AG344" t="str">
        <f>PROPER(TRIM(J344))</f>
        <v>West</v>
      </c>
      <c r="AH344" t="str">
        <f t="shared" si="10"/>
        <v>Stationery</v>
      </c>
      <c r="AI344" t="str">
        <f t="shared" si="11"/>
        <v>Stationery</v>
      </c>
      <c r="AK344">
        <f>IF(COUNTIF($A$2:A344,A344)=1,1,0)</f>
        <v>1</v>
      </c>
    </row>
    <row r="345" spans="1:37">
      <c r="A345" s="9" t="s">
        <v>936</v>
      </c>
      <c r="B345" s="10" t="s">
        <v>358</v>
      </c>
      <c r="C345" s="10" t="s">
        <v>250</v>
      </c>
      <c r="D345" s="10" t="s">
        <v>45</v>
      </c>
      <c r="E345" s="10" t="s">
        <v>78</v>
      </c>
      <c r="F345" s="10" t="s">
        <v>359</v>
      </c>
      <c r="G345" s="10" t="s">
        <v>239</v>
      </c>
      <c r="H345" s="11">
        <v>35553</v>
      </c>
      <c r="I345" s="10" t="s">
        <v>260</v>
      </c>
      <c r="J345" s="10" t="s">
        <v>261</v>
      </c>
      <c r="K345" s="10" t="s">
        <v>15</v>
      </c>
      <c r="L345" s="10" t="s">
        <v>253</v>
      </c>
      <c r="M345" s="10">
        <v>13</v>
      </c>
      <c r="N345" s="10">
        <v>2200</v>
      </c>
      <c r="O345" s="10">
        <v>15</v>
      </c>
      <c r="P345" s="10">
        <v>24310</v>
      </c>
      <c r="Q345" s="10">
        <v>2</v>
      </c>
      <c r="R345" s="10" t="s">
        <v>245</v>
      </c>
      <c r="S345" s="10" t="s">
        <v>292</v>
      </c>
      <c r="T345" s="10" t="s">
        <v>360</v>
      </c>
      <c r="U345" s="10">
        <v>9697433584</v>
      </c>
      <c r="V345" s="12" t="s">
        <v>248</v>
      </c>
      <c r="W345" t="str">
        <f>IF(OR(Q345&lt;=2,V345="Cancelled"),"Blacklisted",IF(AND(P345&gt;100000,Q345&gt;=4,O345&lt;=10%,V345="Completed"),"Platinum",IF(AND(P345&gt;=50000,Q345&gt;=3,V345="Completed"),"Gold",IF(AND(P345&lt;50000,V345="Completed"),"Silver",""))))</f>
        <v>Blacklisted</v>
      </c>
      <c r="X345" t="str">
        <f>PROPER(TRIM(F345))</f>
        <v>Sneha Joshi</v>
      </c>
      <c r="Y345" t="str">
        <f>LEFT(F345,3)&amp;MID(B345,2,3)&amp;LEFT(I345,2)</f>
        <v>Sne006De</v>
      </c>
      <c r="Z345" t="str">
        <f>IF(ISNUMBER(SEARCH("@",T345)),LOWER(TRIM(T345)),"invalid email")</f>
        <v>sneha.joshi@company.com</v>
      </c>
      <c r="AA345" t="str">
        <f ca="1">IF(H344="","",IFERROR(DATEDIF(IF(ISNUMBER(H344),H344,DATE(VALUE(RIGHT(H344,4)),VALUE(MID(H344,3,2)),VALUE(LEFT(H344,2)))),TODAY(),"Y"),""))</f>
        <v/>
      </c>
      <c r="AB345">
        <f>IF(OR(D345="",E345=""),"",IFERROR(DATE(MID(E345,7,4),MID(E345,4,2),LEFT(E345,2))-DATE(MID(D345,7,4),MID(D345,4,2),LEFT(D345,2)),""))</f>
        <v>3</v>
      </c>
      <c r="AC345" t="str">
        <f>IF(E345="","Pending",IF(AB345&lt;=5,"On time","Delayed"))</f>
        <v>On time</v>
      </c>
      <c r="AD345" s="29" t="str">
        <f>IF(TRIM(S345)="","Not Assigned",S345)</f>
        <v>Neha</v>
      </c>
      <c r="AE345" t="str">
        <f>PROPER(TRIM(F345))</f>
        <v>Sneha Joshi</v>
      </c>
      <c r="AF345" t="str">
        <f>PROPER(TRIM(K345))</f>
        <v>Home Appliances</v>
      </c>
      <c r="AG345" t="str">
        <f>PROPER(TRIM(J345))</f>
        <v>North</v>
      </c>
      <c r="AH345" t="str">
        <f t="shared" si="10"/>
        <v>Home Appliances</v>
      </c>
      <c r="AI345" t="str">
        <f t="shared" si="11"/>
        <v>Home Appliances</v>
      </c>
      <c r="AK345">
        <f>IF(COUNTIF($A$2:A345,A345)=1,1,0)</f>
        <v>1</v>
      </c>
    </row>
    <row r="346" spans="1:37">
      <c r="A346" s="4" t="s">
        <v>937</v>
      </c>
      <c r="B346" s="5" t="s">
        <v>235</v>
      </c>
      <c r="C346" s="5" t="s">
        <v>938</v>
      </c>
      <c r="D346" s="5" t="s">
        <v>20</v>
      </c>
      <c r="E346" s="5" t="s">
        <v>401</v>
      </c>
      <c r="F346" s="5" t="s">
        <v>318</v>
      </c>
      <c r="G346" s="5" t="s">
        <v>239</v>
      </c>
      <c r="H346" s="6">
        <v>37536</v>
      </c>
      <c r="I346" s="5" t="s">
        <v>379</v>
      </c>
      <c r="J346" s="5" t="s">
        <v>21</v>
      </c>
      <c r="K346" s="5" t="s">
        <v>15</v>
      </c>
      <c r="L346" s="5" t="s">
        <v>325</v>
      </c>
      <c r="M346" s="5">
        <v>11</v>
      </c>
      <c r="N346" s="5">
        <v>8500</v>
      </c>
      <c r="O346" s="5">
        <v>5</v>
      </c>
      <c r="P346" s="5">
        <v>88825</v>
      </c>
      <c r="Q346" s="5">
        <v>1</v>
      </c>
      <c r="R346" s="5" t="s">
        <v>277</v>
      </c>
      <c r="S346" s="5" t="s">
        <v>292</v>
      </c>
      <c r="T346" s="5" t="s">
        <v>247</v>
      </c>
      <c r="U346" s="5">
        <v>9837969758</v>
      </c>
      <c r="V346" s="8" t="s">
        <v>265</v>
      </c>
      <c r="W346" t="str">
        <f>IF(OR(Q346&lt;=2,V346="Cancelled"),"Blacklisted",IF(AND(P346&gt;100000,Q346&gt;=4,O346&lt;=10%,V346="Completed"),"Platinum",IF(AND(P346&gt;=50000,Q346&gt;=3,V346="Completed"),"Gold",IF(AND(P346&lt;50000,V346="Completed"),"Silver",""))))</f>
        <v>Blacklisted</v>
      </c>
      <c r="X346" t="str">
        <f>PROPER(TRIM(F346))</f>
        <v>Pooja Shah</v>
      </c>
      <c r="Y346" t="str">
        <f>LEFT(F346,3)&amp;MID(B346,2,3)&amp;LEFT(I346,2)</f>
        <v>Poo010Ko</v>
      </c>
      <c r="Z346" t="str">
        <f>IF(ISNUMBER(SEARCH("@",T346)),LOWER(TRIM(T346)),"invalid email")</f>
        <v>pooja.shah@company.com</v>
      </c>
      <c r="AA346">
        <f ca="1">IF(H345="","",IFERROR(DATEDIF(IF(ISNUMBER(H345),H345,DATE(VALUE(RIGHT(H345,4)),VALUE(MID(H345,3,2)),VALUE(LEFT(H345,2)))),TODAY(),"Y"),""))</f>
        <v>29</v>
      </c>
      <c r="AB346">
        <f>IF(OR(D346="",E346=""),"",IFERROR(DATE(MID(E346,7,4),MID(E346,4,2),LEFT(E346,2))-DATE(MID(D346,7,4),MID(D346,4,2),LEFT(D346,2)),""))</f>
        <v>1</v>
      </c>
      <c r="AC346" t="str">
        <f>IF(E346="","Pending",IF(AB346&lt;=5,"On time","Delayed"))</f>
        <v>On time</v>
      </c>
      <c r="AD346" s="29" t="str">
        <f>IF(TRIM(S346)="","Not Assigned",S346)</f>
        <v>Neha</v>
      </c>
      <c r="AE346" t="str">
        <f>PROPER(TRIM(F346))</f>
        <v>Pooja Shah</v>
      </c>
      <c r="AF346" t="str">
        <f>PROPER(TRIM(K346))</f>
        <v>Home Appliances</v>
      </c>
      <c r="AG346" t="str">
        <f>PROPER(TRIM(J346))</f>
        <v>East</v>
      </c>
      <c r="AH346" t="str">
        <f t="shared" si="10"/>
        <v>Home Appliances</v>
      </c>
      <c r="AI346" t="str">
        <f t="shared" si="11"/>
        <v>Home Appliances</v>
      </c>
      <c r="AK346">
        <f>IF(COUNTIF($A$2:A346,A346)=1,1,0)</f>
        <v>1</v>
      </c>
    </row>
    <row r="347" spans="1:37">
      <c r="A347" s="9" t="s">
        <v>939</v>
      </c>
      <c r="B347" s="10" t="s">
        <v>235</v>
      </c>
      <c r="C347" s="10" t="s">
        <v>250</v>
      </c>
      <c r="D347" s="11">
        <v>45789</v>
      </c>
      <c r="E347" s="11">
        <v>45942</v>
      </c>
      <c r="F347" s="10" t="s">
        <v>318</v>
      </c>
      <c r="G347" s="10" t="s">
        <v>239</v>
      </c>
      <c r="H347" s="10" t="s">
        <v>940</v>
      </c>
      <c r="I347" s="10" t="s">
        <v>342</v>
      </c>
      <c r="J347" s="10" t="s">
        <v>261</v>
      </c>
      <c r="K347" s="10" t="s">
        <v>15</v>
      </c>
      <c r="L347" s="10" t="s">
        <v>253</v>
      </c>
      <c r="M347" s="10">
        <v>2</v>
      </c>
      <c r="N347" s="10">
        <v>2200</v>
      </c>
      <c r="O347" s="10">
        <v>0</v>
      </c>
      <c r="P347" s="10">
        <v>4400</v>
      </c>
      <c r="Q347" s="10">
        <v>4</v>
      </c>
      <c r="R347" s="10" t="s">
        <v>277</v>
      </c>
      <c r="S347" s="10" t="s">
        <v>312</v>
      </c>
      <c r="T347" s="10" t="s">
        <v>247</v>
      </c>
      <c r="U347" s="10">
        <v>9209736419</v>
      </c>
      <c r="V347" s="12" t="s">
        <v>248</v>
      </c>
      <c r="W347" t="str">
        <f>IF(OR(Q347&lt;=2,V347="Cancelled"),"Blacklisted",IF(AND(P347&gt;100000,Q347&gt;=4,O347&lt;=10%,V347="Completed"),"Platinum",IF(AND(P347&gt;=50000,Q347&gt;=3,V347="Completed"),"Gold",IF(AND(P347&lt;50000,V347="Completed"),"Silver",""))))</f>
        <v/>
      </c>
      <c r="X347" t="str">
        <f>PROPER(TRIM(F347))</f>
        <v>Pooja Shah</v>
      </c>
      <c r="Y347" t="str">
        <f>LEFT(F347,3)&amp;MID(B347,2,3)&amp;LEFT(I347,2)</f>
        <v>Poo010Ja</v>
      </c>
      <c r="Z347" t="str">
        <f>IF(ISNUMBER(SEARCH("@",T347)),LOWER(TRIM(T347)),"invalid email")</f>
        <v>pooja.shah@company.com</v>
      </c>
      <c r="AA347">
        <f ca="1">IF(H346="","",IFERROR(DATEDIF(IF(ISNUMBER(H346),H346,DATE(VALUE(RIGHT(H346,4)),VALUE(MID(H346,3,2)),VALUE(LEFT(H346,2)))),TODAY(),"Y"),""))</f>
        <v>24</v>
      </c>
      <c r="AB347" t="str">
        <f>IF(OR(D347="",E347=""),"",IFERROR(DATE(MID(E347,7,4),MID(E347,4,2),LEFT(E347,2))-DATE(MID(D347,7,4),MID(D347,4,2),LEFT(D347,2)),""))</f>
        <v/>
      </c>
      <c r="AC347" t="str">
        <f>IF(E347="","Pending",IF(AB347&lt;=5,"On time","Delayed"))</f>
        <v>Delayed</v>
      </c>
      <c r="AD347" s="29" t="str">
        <f>IF(TRIM(S347)="","Not Assigned",S347)</f>
        <v>Karan</v>
      </c>
      <c r="AE347" t="str">
        <f>PROPER(TRIM(F347))</f>
        <v>Pooja Shah</v>
      </c>
      <c r="AF347" t="str">
        <f>PROPER(TRIM(K347))</f>
        <v>Home Appliances</v>
      </c>
      <c r="AG347" t="str">
        <f>PROPER(TRIM(J347))</f>
        <v>North</v>
      </c>
      <c r="AH347" t="str">
        <f t="shared" si="10"/>
        <v>Home Appliances</v>
      </c>
      <c r="AI347" t="str">
        <f t="shared" si="11"/>
        <v>Home Appliances</v>
      </c>
      <c r="AK347">
        <f>IF(COUNTIF($A$2:A347,A347)=1,1,0)</f>
        <v>1</v>
      </c>
    </row>
    <row r="348" spans="1:37">
      <c r="A348" s="4" t="s">
        <v>941</v>
      </c>
      <c r="B348" s="5" t="s">
        <v>275</v>
      </c>
      <c r="C348" s="5" t="s">
        <v>330</v>
      </c>
      <c r="D348" s="5" t="s">
        <v>198</v>
      </c>
      <c r="E348" s="6">
        <v>45755</v>
      </c>
      <c r="F348" s="5" t="s">
        <v>328</v>
      </c>
      <c r="G348" s="5" t="s">
        <v>269</v>
      </c>
      <c r="H348" s="6">
        <v>37628</v>
      </c>
      <c r="I348" s="5" t="s">
        <v>286</v>
      </c>
      <c r="J348" s="5" t="s">
        <v>287</v>
      </c>
      <c r="K348" s="5" t="s">
        <v>243</v>
      </c>
      <c r="L348" s="5" t="s">
        <v>333</v>
      </c>
      <c r="M348" s="5">
        <v>15</v>
      </c>
      <c r="N348" s="5">
        <v>700</v>
      </c>
      <c r="O348" s="5">
        <v>15</v>
      </c>
      <c r="P348" s="5">
        <v>8925</v>
      </c>
      <c r="Q348" s="5">
        <v>3</v>
      </c>
      <c r="R348" s="5" t="s">
        <v>245</v>
      </c>
      <c r="S348" s="5" t="s">
        <v>292</v>
      </c>
      <c r="T348" s="5" t="s">
        <v>278</v>
      </c>
      <c r="U348" s="5">
        <v>9645907237</v>
      </c>
      <c r="V348" s="8" t="s">
        <v>257</v>
      </c>
      <c r="W348" t="str">
        <f>IF(OR(Q348&lt;=2,V348="Cancelled"),"Blacklisted",IF(AND(P348&gt;100000,Q348&gt;=4,O348&lt;=10%,V348="Completed"),"Platinum",IF(AND(P348&gt;=50000,Q348&gt;=3,V348="Completed"),"Gold",IF(AND(P348&lt;50000,V348="Completed"),"Silver",""))))</f>
        <v>Silver</v>
      </c>
      <c r="X348" t="str">
        <f>PROPER(TRIM(F348))</f>
        <v>Arjun Rao</v>
      </c>
      <c r="Y348" t="str">
        <f>LEFT(F348,3)&amp;MID(B348,2,3)&amp;LEFT(I348,2)</f>
        <v>Arj007Mu</v>
      </c>
      <c r="Z348" t="str">
        <f>IF(ISNUMBER(SEARCH("@",T348)),LOWER(TRIM(T348)),"invalid email")</f>
        <v>arjun.rao@company.com</v>
      </c>
      <c r="AA348" t="str">
        <f ca="1">IF(H347="","",IFERROR(DATEDIF(IF(ISNUMBER(H347),H347,DATE(VALUE(RIGHT(H347,4)),VALUE(MID(H347,3,2)),VALUE(LEFT(H347,2)))),TODAY(),"Y"),""))</f>
        <v/>
      </c>
      <c r="AB348" t="str">
        <f>IF(OR(D348="",E348=""),"",IFERROR(DATE(MID(E348,7,4),MID(E348,4,2),LEFT(E348,2))-DATE(MID(D348,7,4),MID(D348,4,2),LEFT(D348,2)),""))</f>
        <v/>
      </c>
      <c r="AC348" t="str">
        <f>IF(E348="","Pending",IF(AB348&lt;=5,"On time","Delayed"))</f>
        <v>Delayed</v>
      </c>
      <c r="AD348" s="29" t="str">
        <f>IF(TRIM(S348)="","Not Assigned",S348)</f>
        <v>Neha</v>
      </c>
      <c r="AE348" t="str">
        <f>PROPER(TRIM(F348))</f>
        <v>Arjun Rao</v>
      </c>
      <c r="AF348" t="str">
        <f>PROPER(TRIM(K348))</f>
        <v>Electronics</v>
      </c>
      <c r="AG348" t="str">
        <f>PROPER(TRIM(J348))</f>
        <v>West</v>
      </c>
      <c r="AH348" t="str">
        <f t="shared" si="10"/>
        <v>Electronics</v>
      </c>
      <c r="AI348" t="str">
        <f t="shared" si="11"/>
        <v>Electronics</v>
      </c>
      <c r="AK348">
        <f>IF(COUNTIF($A$2:A348,A348)=1,1,0)</f>
        <v>1</v>
      </c>
    </row>
    <row r="349" spans="1:37">
      <c r="A349" s="9" t="s">
        <v>942</v>
      </c>
      <c r="B349" s="10" t="s">
        <v>299</v>
      </c>
      <c r="C349" s="10" t="s">
        <v>250</v>
      </c>
      <c r="D349" s="10" t="s">
        <v>69</v>
      </c>
      <c r="E349" s="10" t="s">
        <v>604</v>
      </c>
      <c r="F349" s="10" t="s">
        <v>301</v>
      </c>
      <c r="G349" s="10" t="s">
        <v>269</v>
      </c>
      <c r="H349" s="10" t="s">
        <v>943</v>
      </c>
      <c r="I349" s="10" t="s">
        <v>306</v>
      </c>
      <c r="J349" s="10" t="s">
        <v>287</v>
      </c>
      <c r="K349" s="10" t="s">
        <v>15</v>
      </c>
      <c r="L349" s="10" t="s">
        <v>253</v>
      </c>
      <c r="M349" s="10">
        <v>5</v>
      </c>
      <c r="N349" s="10">
        <v>2200</v>
      </c>
      <c r="O349" s="10">
        <v>15</v>
      </c>
      <c r="P349" s="10">
        <v>9350</v>
      </c>
      <c r="Q349" s="10">
        <v>1</v>
      </c>
      <c r="R349" s="10" t="s">
        <v>245</v>
      </c>
      <c r="S349" s="10" t="s">
        <v>292</v>
      </c>
      <c r="T349" s="10" t="s">
        <v>302</v>
      </c>
      <c r="U349" s="10">
        <v>9566149945</v>
      </c>
      <c r="V349" s="12" t="s">
        <v>248</v>
      </c>
      <c r="W349" t="str">
        <f>IF(OR(Q349&lt;=2,V349="Cancelled"),"Blacklisted",IF(AND(P349&gt;100000,Q349&gt;=4,O349&lt;=10%,V349="Completed"),"Platinum",IF(AND(P349&gt;=50000,Q349&gt;=3,V349="Completed"),"Gold",IF(AND(P349&lt;50000,V349="Completed"),"Silver",""))))</f>
        <v>Blacklisted</v>
      </c>
      <c r="X349" t="str">
        <f>PROPER(TRIM(F349))</f>
        <v>Rohit Singh</v>
      </c>
      <c r="Y349" t="str">
        <f>LEFT(F349,3)&amp;MID(B349,2,3)&amp;LEFT(I349,2)</f>
        <v>Roh003Ah</v>
      </c>
      <c r="Z349" t="str">
        <f>IF(ISNUMBER(SEARCH("@",T349)),LOWER(TRIM(T349)),"invalid email")</f>
        <v>rohit.singh@company.com</v>
      </c>
      <c r="AA349">
        <f ca="1">IF(H348="","",IFERROR(DATEDIF(IF(ISNUMBER(H348),H348,DATE(VALUE(RIGHT(H348,4)),VALUE(MID(H348,3,2)),VALUE(LEFT(H348,2)))),TODAY(),"Y"),""))</f>
        <v>23</v>
      </c>
      <c r="AB349">
        <f>IF(OR(D349="",E349=""),"",IFERROR(DATE(MID(E349,7,4),MID(E349,4,2),LEFT(E349,2))-DATE(MID(D349,7,4),MID(D349,4,2),LEFT(D349,2)),""))</f>
        <v>6</v>
      </c>
      <c r="AC349" t="str">
        <f>IF(E349="","Pending",IF(AB349&lt;=5,"On time","Delayed"))</f>
        <v>Delayed</v>
      </c>
      <c r="AD349" s="29" t="str">
        <f>IF(TRIM(S349)="","Not Assigned",S349)</f>
        <v>Neha</v>
      </c>
      <c r="AE349" t="str">
        <f>PROPER(TRIM(F349))</f>
        <v>Rohit Singh</v>
      </c>
      <c r="AF349" t="str">
        <f>PROPER(TRIM(K349))</f>
        <v>Home Appliances</v>
      </c>
      <c r="AG349" t="str">
        <f>PROPER(TRIM(J349))</f>
        <v>West</v>
      </c>
      <c r="AH349" t="str">
        <f t="shared" si="10"/>
        <v>Home Appliances</v>
      </c>
      <c r="AI349" t="str">
        <f t="shared" si="11"/>
        <v>Home Appliances</v>
      </c>
      <c r="AK349">
        <f>IF(COUNTIF($A$2:A349,A349)=1,1,0)</f>
        <v>1</v>
      </c>
    </row>
    <row r="350" spans="1:37">
      <c r="A350" s="4" t="s">
        <v>944</v>
      </c>
      <c r="B350" s="5" t="s">
        <v>275</v>
      </c>
      <c r="C350" s="5" t="s">
        <v>267</v>
      </c>
      <c r="D350" s="6">
        <v>46329</v>
      </c>
      <c r="E350" s="6">
        <v>46359</v>
      </c>
      <c r="F350" s="5" t="s">
        <v>328</v>
      </c>
      <c r="G350" s="5" t="s">
        <v>269</v>
      </c>
      <c r="H350" s="6">
        <v>32271</v>
      </c>
      <c r="I350" s="5" t="s">
        <v>306</v>
      </c>
      <c r="J350" s="5" t="s">
        <v>287</v>
      </c>
      <c r="K350" s="5" t="s">
        <v>243</v>
      </c>
      <c r="L350" s="5" t="s">
        <v>271</v>
      </c>
      <c r="M350" s="5">
        <v>15</v>
      </c>
      <c r="N350" s="5">
        <v>1200</v>
      </c>
      <c r="O350" s="5">
        <v>0</v>
      </c>
      <c r="P350" s="5">
        <v>18000</v>
      </c>
      <c r="Q350" s="5">
        <v>3</v>
      </c>
      <c r="R350" s="5" t="s">
        <v>245</v>
      </c>
      <c r="S350" s="5" t="s">
        <v>246</v>
      </c>
      <c r="T350" s="5" t="s">
        <v>278</v>
      </c>
      <c r="U350" s="5">
        <v>9935018068</v>
      </c>
      <c r="V350" s="8" t="s">
        <v>265</v>
      </c>
      <c r="W350" t="str">
        <f>IF(OR(Q350&lt;=2,V350="Cancelled"),"Blacklisted",IF(AND(P350&gt;100000,Q350&gt;=4,O350&lt;=10%,V350="Completed"),"Platinum",IF(AND(P350&gt;=50000,Q350&gt;=3,V350="Completed"),"Gold",IF(AND(P350&lt;50000,V350="Completed"),"Silver",""))))</f>
        <v>Blacklisted</v>
      </c>
      <c r="X350" t="str">
        <f>PROPER(TRIM(F350))</f>
        <v>Arjun Rao</v>
      </c>
      <c r="Y350" t="str">
        <f>LEFT(F350,3)&amp;MID(B350,2,3)&amp;LEFT(I350,2)</f>
        <v>Arj007Ah</v>
      </c>
      <c r="Z350" t="str">
        <f>IF(ISNUMBER(SEARCH("@",T350)),LOWER(TRIM(T350)),"invalid email")</f>
        <v>arjun.rao@company.com</v>
      </c>
      <c r="AA350" t="str">
        <f ca="1">IF(H349="","",IFERROR(DATEDIF(IF(ISNUMBER(H349),H349,DATE(VALUE(RIGHT(H349,4)),VALUE(MID(H349,3,2)),VALUE(LEFT(H349,2)))),TODAY(),"Y"),""))</f>
        <v/>
      </c>
      <c r="AB350" t="str">
        <f>IF(OR(D350="",E350=""),"",IFERROR(DATE(MID(E350,7,4),MID(E350,4,2),LEFT(E350,2))-DATE(MID(D350,7,4),MID(D350,4,2),LEFT(D350,2)),""))</f>
        <v/>
      </c>
      <c r="AC350" t="str">
        <f>IF(E350="","Pending",IF(AB350&lt;=5,"On time","Delayed"))</f>
        <v>Delayed</v>
      </c>
      <c r="AD350" s="29" t="str">
        <f>IF(TRIM(S350)="","Not Assigned",S350)</f>
        <v>Aisha</v>
      </c>
      <c r="AE350" t="str">
        <f>PROPER(TRIM(F350))</f>
        <v>Arjun Rao</v>
      </c>
      <c r="AF350" t="str">
        <f>PROPER(TRIM(K350))</f>
        <v>Electronics</v>
      </c>
      <c r="AG350" t="str">
        <f>PROPER(TRIM(J350))</f>
        <v>West</v>
      </c>
      <c r="AH350" t="str">
        <f t="shared" si="10"/>
        <v>Electronics</v>
      </c>
      <c r="AI350" t="str">
        <f t="shared" si="11"/>
        <v>Electronics</v>
      </c>
      <c r="AK350">
        <f>IF(COUNTIF($A$2:A350,A350)=1,1,0)</f>
        <v>1</v>
      </c>
    </row>
    <row r="351" spans="1:37">
      <c r="A351" s="9" t="s">
        <v>945</v>
      </c>
      <c r="B351" s="10" t="s">
        <v>358</v>
      </c>
      <c r="C351" s="10" t="s">
        <v>267</v>
      </c>
      <c r="D351" s="11">
        <v>46238</v>
      </c>
      <c r="E351" s="11">
        <v>46299</v>
      </c>
      <c r="F351" s="10" t="s">
        <v>359</v>
      </c>
      <c r="G351" s="10" t="s">
        <v>239</v>
      </c>
      <c r="H351" s="10" t="s">
        <v>946</v>
      </c>
      <c r="I351" s="10" t="s">
        <v>286</v>
      </c>
      <c r="J351" s="10" t="s">
        <v>287</v>
      </c>
      <c r="K351" s="10" t="s">
        <v>243</v>
      </c>
      <c r="L351" s="10" t="s">
        <v>271</v>
      </c>
      <c r="M351" s="10">
        <v>19</v>
      </c>
      <c r="N351" s="10">
        <v>1200</v>
      </c>
      <c r="O351" s="10">
        <v>0</v>
      </c>
      <c r="P351" s="10">
        <v>22800</v>
      </c>
      <c r="Q351" s="10">
        <v>1</v>
      </c>
      <c r="R351" s="10" t="s">
        <v>254</v>
      </c>
      <c r="S351" s="10" t="s">
        <v>263</v>
      </c>
      <c r="T351" s="10" t="s">
        <v>360</v>
      </c>
      <c r="U351" s="10">
        <v>9171794652</v>
      </c>
      <c r="V351" s="12" t="s">
        <v>265</v>
      </c>
      <c r="W351" t="str">
        <f>IF(OR(Q351&lt;=2,V351="Cancelled"),"Blacklisted",IF(AND(P351&gt;100000,Q351&gt;=4,O351&lt;=10%,V351="Completed"),"Platinum",IF(AND(P351&gt;=50000,Q351&gt;=3,V351="Completed"),"Gold",IF(AND(P351&lt;50000,V351="Completed"),"Silver",""))))</f>
        <v>Blacklisted</v>
      </c>
      <c r="X351" t="str">
        <f>PROPER(TRIM(F351))</f>
        <v>Sneha Joshi</v>
      </c>
      <c r="Y351" t="str">
        <f>LEFT(F351,3)&amp;MID(B351,2,3)&amp;LEFT(I351,2)</f>
        <v>Sne006Mu</v>
      </c>
      <c r="Z351" t="str">
        <f>IF(ISNUMBER(SEARCH("@",T351)),LOWER(TRIM(T351)),"invalid email")</f>
        <v>sneha.joshi@company.com</v>
      </c>
      <c r="AA351">
        <f ca="1">IF(H350="","",IFERROR(DATEDIF(IF(ISNUMBER(H350),H350,DATE(VALUE(RIGHT(H350,4)),VALUE(MID(H350,3,2)),VALUE(LEFT(H350,2)))),TODAY(),"Y"),""))</f>
        <v>38</v>
      </c>
      <c r="AB351" t="str">
        <f>IF(OR(D351="",E351=""),"",IFERROR(DATE(MID(E351,7,4),MID(E351,4,2),LEFT(E351,2))-DATE(MID(D351,7,4),MID(D351,4,2),LEFT(D351,2)),""))</f>
        <v/>
      </c>
      <c r="AC351" t="str">
        <f>IF(E351="","Pending",IF(AB351&lt;=5,"On time","Delayed"))</f>
        <v>Delayed</v>
      </c>
      <c r="AD351" s="29" t="str">
        <f>IF(TRIM(S351)="","Not Assigned",S351)</f>
        <v>Rahul</v>
      </c>
      <c r="AE351" t="str">
        <f>PROPER(TRIM(F351))</f>
        <v>Sneha Joshi</v>
      </c>
      <c r="AF351" t="str">
        <f>PROPER(TRIM(K351))</f>
        <v>Electronics</v>
      </c>
      <c r="AG351" t="str">
        <f>PROPER(TRIM(J351))</f>
        <v>West</v>
      </c>
      <c r="AH351" t="str">
        <f t="shared" si="10"/>
        <v>Electronics</v>
      </c>
      <c r="AI351" t="str">
        <f t="shared" si="11"/>
        <v>Electronics</v>
      </c>
      <c r="AK351">
        <f>IF(COUNTIF($A$2:A351,A351)=1,1,0)</f>
        <v>1</v>
      </c>
    </row>
    <row r="352" spans="1:37">
      <c r="A352" s="4" t="s">
        <v>947</v>
      </c>
      <c r="B352" s="5" t="s">
        <v>321</v>
      </c>
      <c r="C352" s="5" t="s">
        <v>258</v>
      </c>
      <c r="D352" s="5" t="s">
        <v>70</v>
      </c>
      <c r="E352" s="5" t="s">
        <v>948</v>
      </c>
      <c r="F352" s="5" t="s">
        <v>408</v>
      </c>
      <c r="G352" s="5" t="s">
        <v>239</v>
      </c>
      <c r="H352" s="5" t="s">
        <v>949</v>
      </c>
      <c r="I352" s="5" t="s">
        <v>286</v>
      </c>
      <c r="J352" s="5" t="s">
        <v>287</v>
      </c>
      <c r="K352" s="5" t="s">
        <v>243</v>
      </c>
      <c r="L352" s="5" t="s">
        <v>262</v>
      </c>
      <c r="M352" s="5">
        <v>9</v>
      </c>
      <c r="N352" s="5">
        <v>12000</v>
      </c>
      <c r="O352" s="5">
        <v>15</v>
      </c>
      <c r="P352" s="5">
        <v>91800</v>
      </c>
      <c r="Q352" s="5">
        <v>3</v>
      </c>
      <c r="R352" s="5" t="s">
        <v>277</v>
      </c>
      <c r="S352" s="5" t="s">
        <v>263</v>
      </c>
      <c r="T352" s="5" t="s">
        <v>326</v>
      </c>
      <c r="U352" s="5">
        <v>9671497416</v>
      </c>
      <c r="V352" s="8" t="s">
        <v>265</v>
      </c>
      <c r="W352" t="str">
        <f>IF(OR(Q352&lt;=2,V352="Cancelled"),"Blacklisted",IF(AND(P352&gt;100000,Q352&gt;=4,O352&lt;=10%,V352="Completed"),"Platinum",IF(AND(P352&gt;=50000,Q352&gt;=3,V352="Completed"),"Gold",IF(AND(P352&lt;50000,V352="Completed"),"Silver",""))))</f>
        <v>Blacklisted</v>
      </c>
      <c r="X352" t="str">
        <f>PROPER(TRIM(F352))</f>
        <v>Anita Gupta</v>
      </c>
      <c r="Y352" t="str">
        <f>LEFT(F352,3)&amp;MID(B352,2,3)&amp;LEFT(I352,2)</f>
        <v>Ani004Mu</v>
      </c>
      <c r="Z352" t="str">
        <f>IF(ISNUMBER(SEARCH("@",T352)),LOWER(TRIM(T352)),"invalid email")</f>
        <v>anita.gupta@company.com</v>
      </c>
      <c r="AA352" t="str">
        <f ca="1">IF(H351="","",IFERROR(DATEDIF(IF(ISNUMBER(H351),H351,DATE(VALUE(RIGHT(H351,4)),VALUE(MID(H351,3,2)),VALUE(LEFT(H351,2)))),TODAY(),"Y"),""))</f>
        <v/>
      </c>
      <c r="AB352">
        <f>IF(OR(D352="",E352=""),"",IFERROR(DATE(MID(E352,7,4),MID(E352,4,2),LEFT(E352,2))-DATE(MID(D352,7,4),MID(D352,4,2),LEFT(D352,2)),""))</f>
        <v>7</v>
      </c>
      <c r="AC352" t="str">
        <f>IF(E352="","Pending",IF(AB352&lt;=5,"On time","Delayed"))</f>
        <v>Delayed</v>
      </c>
      <c r="AD352" s="29" t="str">
        <f>IF(TRIM(S352)="","Not Assigned",S352)</f>
        <v>Rahul</v>
      </c>
      <c r="AE352" t="str">
        <f>PROPER(TRIM(F352))</f>
        <v>Anita Gupta</v>
      </c>
      <c r="AF352" t="str">
        <f>PROPER(TRIM(K352))</f>
        <v>Electronics</v>
      </c>
      <c r="AG352" t="str">
        <f>PROPER(TRIM(J352))</f>
        <v>West</v>
      </c>
      <c r="AH352" t="str">
        <f t="shared" si="10"/>
        <v>Electronics</v>
      </c>
      <c r="AI352" t="str">
        <f t="shared" si="11"/>
        <v>Electronics</v>
      </c>
      <c r="AK352">
        <f>IF(COUNTIF($A$2:A352,A352)=1,1,0)</f>
        <v>1</v>
      </c>
    </row>
    <row r="353" spans="1:37">
      <c r="A353" s="9" t="s">
        <v>950</v>
      </c>
      <c r="B353" s="10" t="s">
        <v>249</v>
      </c>
      <c r="C353" s="10" t="s">
        <v>362</v>
      </c>
      <c r="D353" s="11">
        <v>45971</v>
      </c>
      <c r="E353" s="10" t="s">
        <v>105</v>
      </c>
      <c r="F353" s="10" t="s">
        <v>251</v>
      </c>
      <c r="G353" s="10" t="s">
        <v>239</v>
      </c>
      <c r="H353" s="10" t="s">
        <v>951</v>
      </c>
      <c r="I353" s="10" t="s">
        <v>342</v>
      </c>
      <c r="J353" s="10" t="s">
        <v>261</v>
      </c>
      <c r="K353" s="10" t="s">
        <v>295</v>
      </c>
      <c r="L353" s="10" t="s">
        <v>363</v>
      </c>
      <c r="M353" s="10">
        <v>5</v>
      </c>
      <c r="N353" s="10">
        <v>45</v>
      </c>
      <c r="O353" s="10">
        <v>5</v>
      </c>
      <c r="P353" s="10">
        <v>213.75</v>
      </c>
      <c r="Q353" s="10">
        <v>1</v>
      </c>
      <c r="R353" s="10" t="s">
        <v>272</v>
      </c>
      <c r="S353" s="10" t="s">
        <v>292</v>
      </c>
      <c r="T353" s="10" t="s">
        <v>264</v>
      </c>
      <c r="U353" s="10">
        <v>9810433484</v>
      </c>
      <c r="V353" s="12" t="s">
        <v>257</v>
      </c>
      <c r="W353" t="str">
        <f>IF(OR(Q353&lt;=2,V353="Cancelled"),"Blacklisted",IF(AND(P353&gt;100000,Q353&gt;=4,O353&lt;=10%,V353="Completed"),"Platinum",IF(AND(P353&gt;=50000,Q353&gt;=3,V353="Completed"),"Gold",IF(AND(P353&lt;50000,V353="Completed"),"Silver",""))))</f>
        <v>Blacklisted</v>
      </c>
      <c r="X353" t="str">
        <f>PROPER(TRIM(F353))</f>
        <v>Kavya Nair</v>
      </c>
      <c r="Y353" t="str">
        <f>LEFT(F353,3)&amp;MID(B353,2,3)&amp;LEFT(I353,2)</f>
        <v>Kav008Ja</v>
      </c>
      <c r="Z353" t="str">
        <f>IF(ISNUMBER(SEARCH("@",T353)),LOWER(TRIM(T353)),"invalid email")</f>
        <v>kavya.nair@company.com</v>
      </c>
      <c r="AA353" t="str">
        <f ca="1">IF(H352="","",IFERROR(DATEDIF(IF(ISNUMBER(H352),H352,DATE(VALUE(RIGHT(H352,4)),VALUE(MID(H352,3,2)),VALUE(LEFT(H352,2)))),TODAY(),"Y"),""))</f>
        <v/>
      </c>
      <c r="AB353" t="str">
        <f>IF(OR(D353="",E353=""),"",IFERROR(DATE(MID(E353,7,4),MID(E353,4,2),LEFT(E353,2))-DATE(MID(D353,7,4),MID(D353,4,2),LEFT(D353,2)),""))</f>
        <v/>
      </c>
      <c r="AC353" t="str">
        <f>IF(E353="","Pending",IF(AB353&lt;=5,"On time","Delayed"))</f>
        <v>Delayed</v>
      </c>
      <c r="AD353" s="29" t="str">
        <f>IF(TRIM(S353)="","Not Assigned",S353)</f>
        <v>Neha</v>
      </c>
      <c r="AE353" t="str">
        <f>PROPER(TRIM(F353))</f>
        <v>Kavya Nair</v>
      </c>
      <c r="AF353" t="str">
        <f>PROPER(TRIM(K353))</f>
        <v>Stationery</v>
      </c>
      <c r="AG353" t="str">
        <f>PROPER(TRIM(J353))</f>
        <v>North</v>
      </c>
      <c r="AH353" t="str">
        <f t="shared" si="10"/>
        <v>Stationery</v>
      </c>
      <c r="AI353" t="str">
        <f t="shared" si="11"/>
        <v>Stationery</v>
      </c>
      <c r="AK353">
        <f>IF(COUNTIF($A$2:A353,A353)=1,1,0)</f>
        <v>1</v>
      </c>
    </row>
    <row r="354" spans="1:37">
      <c r="A354" s="4" t="s">
        <v>952</v>
      </c>
      <c r="B354" s="5" t="s">
        <v>358</v>
      </c>
      <c r="C354" s="5" t="s">
        <v>330</v>
      </c>
      <c r="D354" s="5" t="s">
        <v>248</v>
      </c>
      <c r="E354" s="6">
        <v>45963</v>
      </c>
      <c r="F354" s="5" t="s">
        <v>359</v>
      </c>
      <c r="G354" s="5" t="s">
        <v>239</v>
      </c>
      <c r="H354" s="6">
        <v>32792</v>
      </c>
      <c r="I354" s="5" t="s">
        <v>286</v>
      </c>
      <c r="J354" s="5" t="s">
        <v>287</v>
      </c>
      <c r="K354" s="5" t="s">
        <v>243</v>
      </c>
      <c r="L354" s="5" t="s">
        <v>333</v>
      </c>
      <c r="M354" s="5">
        <v>3</v>
      </c>
      <c r="N354" s="5">
        <v>700</v>
      </c>
      <c r="O354" s="5">
        <v>15</v>
      </c>
      <c r="P354" s="5">
        <v>1785</v>
      </c>
      <c r="Q354" s="5">
        <v>4</v>
      </c>
      <c r="R354" s="5" t="s">
        <v>254</v>
      </c>
      <c r="S354" s="5" t="s">
        <v>312</v>
      </c>
      <c r="T354" s="5" t="s">
        <v>360</v>
      </c>
      <c r="U354" s="5">
        <v>9990243436</v>
      </c>
      <c r="V354" s="8" t="s">
        <v>257</v>
      </c>
      <c r="W354" t="str">
        <f>IF(OR(Q354&lt;=2,V354="Cancelled"),"Blacklisted",IF(AND(P354&gt;100000,Q354&gt;=4,O354&lt;=10%,V354="Completed"),"Platinum",IF(AND(P354&gt;=50000,Q354&gt;=3,V354="Completed"),"Gold",IF(AND(P354&lt;50000,V354="Completed"),"Silver",""))))</f>
        <v>Silver</v>
      </c>
      <c r="X354" t="str">
        <f>PROPER(TRIM(F354))</f>
        <v>Sneha Joshi</v>
      </c>
      <c r="Y354" t="str">
        <f>LEFT(F354,3)&amp;MID(B354,2,3)&amp;LEFT(I354,2)</f>
        <v>Sne006Mu</v>
      </c>
      <c r="Z354" t="str">
        <f>IF(ISNUMBER(SEARCH("@",T354)),LOWER(TRIM(T354)),"invalid email")</f>
        <v>sneha.joshi@company.com</v>
      </c>
      <c r="AA354" t="str">
        <f ca="1">IF(H353="","",IFERROR(DATEDIF(IF(ISNUMBER(H353),H353,DATE(VALUE(RIGHT(H353,4)),VALUE(MID(H353,3,2)),VALUE(LEFT(H353,2)))),TODAY(),"Y"),""))</f>
        <v/>
      </c>
      <c r="AB354" t="str">
        <f>IF(OR(D354="",E354=""),"",IFERROR(DATE(MID(E354,7,4),MID(E354,4,2),LEFT(E354,2))-DATE(MID(D354,7,4),MID(D354,4,2),LEFT(D354,2)),""))</f>
        <v/>
      </c>
      <c r="AC354" t="str">
        <f>IF(E354="","Pending",IF(AB354&lt;=5,"On time","Delayed"))</f>
        <v>Delayed</v>
      </c>
      <c r="AD354" s="29" t="str">
        <f>IF(TRIM(S354)="","Not Assigned",S354)</f>
        <v>Karan</v>
      </c>
      <c r="AE354" t="str">
        <f>PROPER(TRIM(F354))</f>
        <v>Sneha Joshi</v>
      </c>
      <c r="AF354" t="str">
        <f>PROPER(TRIM(K354))</f>
        <v>Electronics</v>
      </c>
      <c r="AG354" t="str">
        <f>PROPER(TRIM(J354))</f>
        <v>West</v>
      </c>
      <c r="AH354" t="str">
        <f t="shared" si="10"/>
        <v>Electronics</v>
      </c>
      <c r="AI354" t="str">
        <f t="shared" si="11"/>
        <v>Electronics</v>
      </c>
      <c r="AK354">
        <f>IF(COUNTIF($A$2:A354,A354)=1,1,0)</f>
        <v>1</v>
      </c>
    </row>
    <row r="355" spans="1:37">
      <c r="A355" s="9" t="s">
        <v>953</v>
      </c>
      <c r="B355" s="10" t="s">
        <v>266</v>
      </c>
      <c r="C355" s="10" t="s">
        <v>322</v>
      </c>
      <c r="D355" s="10" t="s">
        <v>30</v>
      </c>
      <c r="E355" s="10" t="s">
        <v>159</v>
      </c>
      <c r="F355" s="10" t="s">
        <v>268</v>
      </c>
      <c r="G355" s="10" t="s">
        <v>269</v>
      </c>
      <c r="H355" s="11">
        <v>29289</v>
      </c>
      <c r="I355" s="10" t="s">
        <v>342</v>
      </c>
      <c r="J355" s="10" t="s">
        <v>261</v>
      </c>
      <c r="K355" s="10" t="s">
        <v>15</v>
      </c>
      <c r="L355" s="10" t="s">
        <v>325</v>
      </c>
      <c r="M355" s="10">
        <v>12</v>
      </c>
      <c r="N355" s="10">
        <v>8500</v>
      </c>
      <c r="O355" s="10">
        <v>5</v>
      </c>
      <c r="P355" s="10">
        <v>96900</v>
      </c>
      <c r="Q355" s="10">
        <v>3</v>
      </c>
      <c r="R355" s="10" t="s">
        <v>272</v>
      </c>
      <c r="S355" s="10" t="s">
        <v>246</v>
      </c>
      <c r="T355" s="10" t="s">
        <v>273</v>
      </c>
      <c r="U355" s="10">
        <v>9396678031</v>
      </c>
      <c r="V355" s="12" t="s">
        <v>248</v>
      </c>
      <c r="W355" t="str">
        <f>IF(OR(Q355&lt;=2,V355="Cancelled"),"Blacklisted",IF(AND(P355&gt;100000,Q355&gt;=4,O355&lt;=10%,V355="Completed"),"Platinum",IF(AND(P355&gt;=50000,Q355&gt;=3,V355="Completed"),"Gold",IF(AND(P355&lt;50000,V355="Completed"),"Silver",""))))</f>
        <v/>
      </c>
      <c r="X355" t="str">
        <f>PROPER(TRIM(F355))</f>
        <v>Mohit Verma</v>
      </c>
      <c r="Y355" t="str">
        <f>LEFT(F355,3)&amp;MID(B355,2,3)&amp;LEFT(I355,2)</f>
        <v>Moh009Ja</v>
      </c>
      <c r="Z355" t="str">
        <f>IF(ISNUMBER(SEARCH("@",T355)),LOWER(TRIM(T355)),"invalid email")</f>
        <v>mohit.verma@company.com</v>
      </c>
      <c r="AA355">
        <f ca="1">IF(H354="","",IFERROR(DATEDIF(IF(ISNUMBER(H354),H354,DATE(VALUE(RIGHT(H354,4)),VALUE(MID(H354,3,2)),VALUE(LEFT(H354,2)))),TODAY(),"Y"),""))</f>
        <v>37</v>
      </c>
      <c r="AB355">
        <f>IF(OR(D355="",E355=""),"",IFERROR(DATE(MID(E355,7,4),MID(E355,4,2),LEFT(E355,2))-DATE(MID(D355,7,4),MID(D355,4,2),LEFT(D355,2)),""))</f>
        <v>12</v>
      </c>
      <c r="AC355" t="str">
        <f>IF(E355="","Pending",IF(AB355&lt;=5,"On time","Delayed"))</f>
        <v>Delayed</v>
      </c>
      <c r="AD355" s="29" t="str">
        <f>IF(TRIM(S355)="","Not Assigned",S355)</f>
        <v>Aisha</v>
      </c>
      <c r="AE355" t="str">
        <f>PROPER(TRIM(F355))</f>
        <v>Mohit Verma</v>
      </c>
      <c r="AF355" t="str">
        <f>PROPER(TRIM(K355))</f>
        <v>Home Appliances</v>
      </c>
      <c r="AG355" t="str">
        <f>PROPER(TRIM(J355))</f>
        <v>North</v>
      </c>
      <c r="AH355" t="str">
        <f t="shared" si="10"/>
        <v>Home Appliances</v>
      </c>
      <c r="AI355" t="str">
        <f t="shared" si="11"/>
        <v>Home Appliances</v>
      </c>
      <c r="AK355">
        <f>IF(COUNTIF($A$2:A355,A355)=1,1,0)</f>
        <v>1</v>
      </c>
    </row>
    <row r="356" spans="1:37">
      <c r="A356" s="4" t="s">
        <v>954</v>
      </c>
      <c r="B356" s="5" t="s">
        <v>358</v>
      </c>
      <c r="C356" s="5" t="s">
        <v>322</v>
      </c>
      <c r="D356" s="6">
        <v>46330</v>
      </c>
      <c r="E356" s="5" t="s">
        <v>78</v>
      </c>
      <c r="F356" s="5" t="s">
        <v>359</v>
      </c>
      <c r="G356" s="5" t="s">
        <v>239</v>
      </c>
      <c r="H356" s="6">
        <v>29009</v>
      </c>
      <c r="I356" s="5" t="s">
        <v>291</v>
      </c>
      <c r="J356" s="5" t="s">
        <v>287</v>
      </c>
      <c r="K356" s="5" t="s">
        <v>15</v>
      </c>
      <c r="L356" s="5" t="s">
        <v>325</v>
      </c>
      <c r="M356" s="5">
        <v>4</v>
      </c>
      <c r="N356" s="5">
        <v>8500</v>
      </c>
      <c r="O356" s="5">
        <v>15</v>
      </c>
      <c r="P356" s="5">
        <v>28900</v>
      </c>
      <c r="Q356" s="5">
        <v>4</v>
      </c>
      <c r="R356" s="5" t="s">
        <v>245</v>
      </c>
      <c r="S356" s="5" t="s">
        <v>246</v>
      </c>
      <c r="T356" s="5" t="s">
        <v>360</v>
      </c>
      <c r="U356" s="5">
        <v>9818591245</v>
      </c>
      <c r="V356" s="8" t="s">
        <v>248</v>
      </c>
      <c r="W356" t="str">
        <f>IF(OR(Q356&lt;=2,V356="Cancelled"),"Blacklisted",IF(AND(P356&gt;100000,Q356&gt;=4,O356&lt;=10%,V356="Completed"),"Platinum",IF(AND(P356&gt;=50000,Q356&gt;=3,V356="Completed"),"Gold",IF(AND(P356&lt;50000,V356="Completed"),"Silver",""))))</f>
        <v/>
      </c>
      <c r="X356" t="str">
        <f>PROPER(TRIM(F356))</f>
        <v>Sneha Joshi</v>
      </c>
      <c r="Y356" t="str">
        <f>LEFT(F356,3)&amp;MID(B356,2,3)&amp;LEFT(I356,2)</f>
        <v>Sne006Pu</v>
      </c>
      <c r="Z356" t="str">
        <f>IF(ISNUMBER(SEARCH("@",T356)),LOWER(TRIM(T356)),"invalid email")</f>
        <v>sneha.joshi@company.com</v>
      </c>
      <c r="AA356">
        <f ca="1">IF(H355="","",IFERROR(DATEDIF(IF(ISNUMBER(H355),H355,DATE(VALUE(RIGHT(H355,4)),VALUE(MID(H355,3,2)),VALUE(LEFT(H355,2)))),TODAY(),"Y"),""))</f>
        <v>46</v>
      </c>
      <c r="AB356" t="str">
        <f>IF(OR(D356="",E356=""),"",IFERROR(DATE(MID(E356,7,4),MID(E356,4,2),LEFT(E356,2))-DATE(MID(D356,7,4),MID(D356,4,2),LEFT(D356,2)),""))</f>
        <v/>
      </c>
      <c r="AC356" t="str">
        <f>IF(E356="","Pending",IF(AB356&lt;=5,"On time","Delayed"))</f>
        <v>Delayed</v>
      </c>
      <c r="AD356" s="29" t="str">
        <f>IF(TRIM(S356)="","Not Assigned",S356)</f>
        <v>Aisha</v>
      </c>
      <c r="AE356" t="str">
        <f>PROPER(TRIM(F356))</f>
        <v>Sneha Joshi</v>
      </c>
      <c r="AF356" t="str">
        <f>PROPER(TRIM(K356))</f>
        <v>Home Appliances</v>
      </c>
      <c r="AG356" t="str">
        <f>PROPER(TRIM(J356))</f>
        <v>West</v>
      </c>
      <c r="AH356" t="str">
        <f t="shared" si="10"/>
        <v>Home Appliances</v>
      </c>
      <c r="AI356" t="str">
        <f t="shared" si="11"/>
        <v>Home Appliances</v>
      </c>
      <c r="AK356">
        <f>IF(COUNTIF($A$2:A356,A356)=1,1,0)</f>
        <v>1</v>
      </c>
    </row>
    <row r="357" spans="1:37">
      <c r="A357" s="9" t="s">
        <v>955</v>
      </c>
      <c r="B357" s="10" t="s">
        <v>299</v>
      </c>
      <c r="C357" s="10" t="s">
        <v>347</v>
      </c>
      <c r="D357" s="10" t="s">
        <v>77</v>
      </c>
      <c r="E357" s="10" t="s">
        <v>110</v>
      </c>
      <c r="F357" s="10" t="s">
        <v>301</v>
      </c>
      <c r="G357" s="10" t="s">
        <v>269</v>
      </c>
      <c r="H357" s="11">
        <v>35164</v>
      </c>
      <c r="I357" s="10" t="s">
        <v>342</v>
      </c>
      <c r="J357" s="10" t="s">
        <v>261</v>
      </c>
      <c r="K357" s="10" t="s">
        <v>295</v>
      </c>
      <c r="L357" s="10" t="s">
        <v>349</v>
      </c>
      <c r="M357" s="10">
        <v>16</v>
      </c>
      <c r="N357" s="10">
        <v>20</v>
      </c>
      <c r="O357" s="10">
        <v>10</v>
      </c>
      <c r="P357" s="10">
        <v>288</v>
      </c>
      <c r="Q357" s="10">
        <v>4</v>
      </c>
      <c r="R357" s="10" t="s">
        <v>254</v>
      </c>
      <c r="S357" s="10" t="s">
        <v>292</v>
      </c>
      <c r="T357" s="10" t="s">
        <v>302</v>
      </c>
      <c r="U357" s="10">
        <v>9505550047</v>
      </c>
      <c r="V357" s="12" t="s">
        <v>265</v>
      </c>
      <c r="W357" t="str">
        <f>IF(OR(Q357&lt;=2,V357="Cancelled"),"Blacklisted",IF(AND(P357&gt;100000,Q357&gt;=4,O357&lt;=10%,V357="Completed"),"Platinum",IF(AND(P357&gt;=50000,Q357&gt;=3,V357="Completed"),"Gold",IF(AND(P357&lt;50000,V357="Completed"),"Silver",""))))</f>
        <v>Blacklisted</v>
      </c>
      <c r="X357" t="str">
        <f>PROPER(TRIM(F357))</f>
        <v>Rohit Singh</v>
      </c>
      <c r="Y357" t="str">
        <f>LEFT(F357,3)&amp;MID(B357,2,3)&amp;LEFT(I357,2)</f>
        <v>Roh003Ja</v>
      </c>
      <c r="Z357" t="str">
        <f>IF(ISNUMBER(SEARCH("@",T357)),LOWER(TRIM(T357)),"invalid email")</f>
        <v>rohit.singh@company.com</v>
      </c>
      <c r="AA357">
        <f ca="1">IF(H356="","",IFERROR(DATEDIF(IF(ISNUMBER(H356),H356,DATE(VALUE(RIGHT(H356,4)),VALUE(MID(H356,3,2)),VALUE(LEFT(H356,2)))),TODAY(),"Y"),""))</f>
        <v>47</v>
      </c>
      <c r="AB357">
        <f>IF(OR(D357="",E357=""),"",IFERROR(DATE(MID(E357,7,4),MID(E357,4,2),LEFT(E357,2))-DATE(MID(D357,7,4),MID(D357,4,2),LEFT(D357,2)),""))</f>
        <v>3</v>
      </c>
      <c r="AC357" t="str">
        <f>IF(E357="","Pending",IF(AB357&lt;=5,"On time","Delayed"))</f>
        <v>On time</v>
      </c>
      <c r="AD357" s="29" t="str">
        <f>IF(TRIM(S357)="","Not Assigned",S357)</f>
        <v>Neha</v>
      </c>
      <c r="AE357" t="str">
        <f>PROPER(TRIM(F357))</f>
        <v>Rohit Singh</v>
      </c>
      <c r="AF357" t="str">
        <f>PROPER(TRIM(K357))</f>
        <v>Stationery</v>
      </c>
      <c r="AG357" t="str">
        <f>PROPER(TRIM(J357))</f>
        <v>North</v>
      </c>
      <c r="AH357" t="str">
        <f t="shared" si="10"/>
        <v>Stationery</v>
      </c>
      <c r="AI357" t="str">
        <f t="shared" si="11"/>
        <v>Stationery</v>
      </c>
      <c r="AK357">
        <f>IF(COUNTIF($A$2:A357,A357)=1,1,0)</f>
        <v>1</v>
      </c>
    </row>
    <row r="358" spans="1:37">
      <c r="A358" s="4" t="s">
        <v>956</v>
      </c>
      <c r="B358" s="5" t="s">
        <v>299</v>
      </c>
      <c r="C358" s="5" t="s">
        <v>294</v>
      </c>
      <c r="D358" s="6">
        <v>46300</v>
      </c>
      <c r="E358" s="5" t="s">
        <v>957</v>
      </c>
      <c r="F358" s="5" t="s">
        <v>301</v>
      </c>
      <c r="G358" s="5" t="s">
        <v>269</v>
      </c>
      <c r="H358" s="5" t="s">
        <v>958</v>
      </c>
      <c r="I358" s="5" t="s">
        <v>286</v>
      </c>
      <c r="J358" s="5" t="s">
        <v>287</v>
      </c>
      <c r="K358" s="5" t="s">
        <v>295</v>
      </c>
      <c r="L358" s="5" t="s">
        <v>296</v>
      </c>
      <c r="M358" s="5">
        <v>3</v>
      </c>
      <c r="N358" s="5">
        <v>60</v>
      </c>
      <c r="O358" s="5">
        <v>20</v>
      </c>
      <c r="P358" s="5">
        <v>144</v>
      </c>
      <c r="Q358" s="5">
        <v>4</v>
      </c>
      <c r="R358" s="5" t="s">
        <v>277</v>
      </c>
      <c r="S358" s="5" t="s">
        <v>312</v>
      </c>
      <c r="T358" s="5" t="s">
        <v>302</v>
      </c>
      <c r="U358" s="5">
        <v>9469828772</v>
      </c>
      <c r="V358" s="8" t="s">
        <v>248</v>
      </c>
      <c r="W358" t="str">
        <f>IF(OR(Q358&lt;=2,V358="Cancelled"),"Blacklisted",IF(AND(P358&gt;100000,Q358&gt;=4,O358&lt;=10%,V358="Completed"),"Platinum",IF(AND(P358&gt;=50000,Q358&gt;=3,V358="Completed"),"Gold",IF(AND(P358&lt;50000,V358="Completed"),"Silver",""))))</f>
        <v/>
      </c>
      <c r="X358" t="str">
        <f>PROPER(TRIM(F358))</f>
        <v>Rohit Singh</v>
      </c>
      <c r="Y358" t="str">
        <f>LEFT(F358,3)&amp;MID(B358,2,3)&amp;LEFT(I358,2)</f>
        <v>Roh003Mu</v>
      </c>
      <c r="Z358" t="str">
        <f>IF(ISNUMBER(SEARCH("@",T358)),LOWER(TRIM(T358)),"invalid email")</f>
        <v>rohit.singh@company.com</v>
      </c>
      <c r="AA358">
        <f ca="1">IF(H357="","",IFERROR(DATEDIF(IF(ISNUMBER(H357),H357,DATE(VALUE(RIGHT(H357,4)),VALUE(MID(H357,3,2)),VALUE(LEFT(H357,2)))),TODAY(),"Y"),""))</f>
        <v>30</v>
      </c>
      <c r="AB358" t="str">
        <f>IF(OR(D358="",E358=""),"",IFERROR(DATE(MID(E358,7,4),MID(E358,4,2),LEFT(E358,2))-DATE(MID(D358,7,4),MID(D358,4,2),LEFT(D358,2)),""))</f>
        <v/>
      </c>
      <c r="AC358" t="str">
        <f>IF(E358="","Pending",IF(AB358&lt;=5,"On time","Delayed"))</f>
        <v>Delayed</v>
      </c>
      <c r="AD358" s="29" t="str">
        <f>IF(TRIM(S358)="","Not Assigned",S358)</f>
        <v>Karan</v>
      </c>
      <c r="AE358" t="str">
        <f>PROPER(TRIM(F358))</f>
        <v>Rohit Singh</v>
      </c>
      <c r="AF358" t="str">
        <f>PROPER(TRIM(K358))</f>
        <v>Stationery</v>
      </c>
      <c r="AG358" t="str">
        <f>PROPER(TRIM(J358))</f>
        <v>West</v>
      </c>
      <c r="AH358" t="str">
        <f t="shared" si="10"/>
        <v>Stationery</v>
      </c>
      <c r="AI358" t="str">
        <f t="shared" si="11"/>
        <v>Stationery</v>
      </c>
      <c r="AK358">
        <f>IF(COUNTIF($A$2:A358,A358)=1,1,0)</f>
        <v>1</v>
      </c>
    </row>
    <row r="359" spans="1:37">
      <c r="A359" s="9" t="s">
        <v>959</v>
      </c>
      <c r="B359" s="10" t="s">
        <v>266</v>
      </c>
      <c r="C359" s="10" t="s">
        <v>250</v>
      </c>
      <c r="D359" s="10" t="s">
        <v>93</v>
      </c>
      <c r="E359" s="10" t="s">
        <v>157</v>
      </c>
      <c r="F359" s="10" t="s">
        <v>268</v>
      </c>
      <c r="G359" s="10" t="s">
        <v>269</v>
      </c>
      <c r="H359" s="11">
        <v>30751</v>
      </c>
      <c r="I359" s="10" t="s">
        <v>286</v>
      </c>
      <c r="J359" s="10" t="s">
        <v>287</v>
      </c>
      <c r="K359" s="10" t="s">
        <v>15</v>
      </c>
      <c r="L359" s="10" t="s">
        <v>253</v>
      </c>
      <c r="M359" s="10">
        <v>19</v>
      </c>
      <c r="N359" s="10">
        <v>2200</v>
      </c>
      <c r="O359" s="10">
        <v>10</v>
      </c>
      <c r="P359" s="10">
        <v>37620</v>
      </c>
      <c r="Q359" s="10">
        <v>2</v>
      </c>
      <c r="R359" s="10" t="s">
        <v>254</v>
      </c>
      <c r="S359" s="10" t="s">
        <v>312</v>
      </c>
      <c r="T359" s="10" t="s">
        <v>273</v>
      </c>
      <c r="U359" s="10">
        <v>9885092680</v>
      </c>
      <c r="V359" s="12" t="s">
        <v>248</v>
      </c>
      <c r="W359" t="str">
        <f>IF(OR(Q359&lt;=2,V359="Cancelled"),"Blacklisted",IF(AND(P359&gt;100000,Q359&gt;=4,O359&lt;=10%,V359="Completed"),"Platinum",IF(AND(P359&gt;=50000,Q359&gt;=3,V359="Completed"),"Gold",IF(AND(P359&lt;50000,V359="Completed"),"Silver",""))))</f>
        <v>Blacklisted</v>
      </c>
      <c r="X359" t="str">
        <f>PROPER(TRIM(F359))</f>
        <v>Mohit Verma</v>
      </c>
      <c r="Y359" t="str">
        <f>LEFT(F359,3)&amp;MID(B359,2,3)&amp;LEFT(I359,2)</f>
        <v>Moh009Mu</v>
      </c>
      <c r="Z359" t="str">
        <f>IF(ISNUMBER(SEARCH("@",T359)),LOWER(TRIM(T359)),"invalid email")</f>
        <v>mohit.verma@company.com</v>
      </c>
      <c r="AA359" t="str">
        <f ca="1">IF(H358="","",IFERROR(DATEDIF(IF(ISNUMBER(H358),H358,DATE(VALUE(RIGHT(H358,4)),VALUE(MID(H358,3,2)),VALUE(LEFT(H358,2)))),TODAY(),"Y"),""))</f>
        <v/>
      </c>
      <c r="AB359">
        <f>IF(OR(D359="",E359=""),"",IFERROR(DATE(MID(E359,7,4),MID(E359,4,2),LEFT(E359,2))-DATE(MID(D359,7,4),MID(D359,4,2),LEFT(D359,2)),""))</f>
        <v>6</v>
      </c>
      <c r="AC359" t="str">
        <f>IF(E359="","Pending",IF(AB359&lt;=5,"On time","Delayed"))</f>
        <v>Delayed</v>
      </c>
      <c r="AD359" s="29" t="str">
        <f>IF(TRIM(S359)="","Not Assigned",S359)</f>
        <v>Karan</v>
      </c>
      <c r="AE359" t="str">
        <f>PROPER(TRIM(F359))</f>
        <v>Mohit Verma</v>
      </c>
      <c r="AF359" t="str">
        <f>PROPER(TRIM(K359))</f>
        <v>Home Appliances</v>
      </c>
      <c r="AG359" t="str">
        <f>PROPER(TRIM(J359))</f>
        <v>West</v>
      </c>
      <c r="AH359" t="str">
        <f t="shared" si="10"/>
        <v>Home Appliances</v>
      </c>
      <c r="AI359" t="str">
        <f t="shared" si="11"/>
        <v>Home Appliances</v>
      </c>
      <c r="AK359">
        <f>IF(COUNTIF($A$2:A359,A359)=1,1,0)</f>
        <v>1</v>
      </c>
    </row>
    <row r="360" spans="1:37">
      <c r="A360" s="4" t="s">
        <v>960</v>
      </c>
      <c r="B360" s="5" t="s">
        <v>266</v>
      </c>
      <c r="C360" s="5" t="s">
        <v>267</v>
      </c>
      <c r="D360" s="5" t="s">
        <v>118</v>
      </c>
      <c r="E360" s="5" t="s">
        <v>161</v>
      </c>
      <c r="F360" s="5" t="s">
        <v>268</v>
      </c>
      <c r="G360" s="5" t="s">
        <v>269</v>
      </c>
      <c r="H360" s="6">
        <v>30932</v>
      </c>
      <c r="I360" s="5" t="s">
        <v>252</v>
      </c>
      <c r="J360" s="5" t="s">
        <v>242</v>
      </c>
      <c r="K360" s="5" t="s">
        <v>243</v>
      </c>
      <c r="L360" s="5" t="s">
        <v>271</v>
      </c>
      <c r="M360" s="5">
        <v>7</v>
      </c>
      <c r="N360" s="5">
        <v>1200</v>
      </c>
      <c r="O360" s="5">
        <v>20</v>
      </c>
      <c r="P360" s="5">
        <v>6720</v>
      </c>
      <c r="Q360" s="5">
        <v>3</v>
      </c>
      <c r="R360" s="5" t="s">
        <v>272</v>
      </c>
      <c r="S360" s="5" t="s">
        <v>292</v>
      </c>
      <c r="T360" s="5" t="s">
        <v>273</v>
      </c>
      <c r="U360" s="5">
        <v>9362319457</v>
      </c>
      <c r="V360" s="8" t="s">
        <v>265</v>
      </c>
      <c r="W360" t="str">
        <f>IF(OR(Q360&lt;=2,V360="Cancelled"),"Blacklisted",IF(AND(P360&gt;100000,Q360&gt;=4,O360&lt;=10%,V360="Completed"),"Platinum",IF(AND(P360&gt;=50000,Q360&gt;=3,V360="Completed"),"Gold",IF(AND(P360&lt;50000,V360="Completed"),"Silver",""))))</f>
        <v>Blacklisted</v>
      </c>
      <c r="X360" t="str">
        <f>PROPER(TRIM(F360))</f>
        <v>Mohit Verma</v>
      </c>
      <c r="Y360" t="str">
        <f>LEFT(F360,3)&amp;MID(B360,2,3)&amp;LEFT(I360,2)</f>
        <v>Moh009Hy</v>
      </c>
      <c r="Z360" t="str">
        <f>IF(ISNUMBER(SEARCH("@",T360)),LOWER(TRIM(T360)),"invalid email")</f>
        <v>mohit.verma@company.com</v>
      </c>
      <c r="AA360">
        <f ca="1">IF(H359="","",IFERROR(DATEDIF(IF(ISNUMBER(H359),H359,DATE(VALUE(RIGHT(H359,4)),VALUE(MID(H359,3,2)),VALUE(LEFT(H359,2)))),TODAY(),"Y"),""))</f>
        <v>42</v>
      </c>
      <c r="AB360">
        <f>IF(OR(D360="",E360=""),"",IFERROR(DATE(MID(E360,7,4),MID(E360,4,2),LEFT(E360,2))-DATE(MID(D360,7,4),MID(D360,4,2),LEFT(D360,2)),""))</f>
        <v>4</v>
      </c>
      <c r="AC360" t="str">
        <f>IF(E360="","Pending",IF(AB360&lt;=5,"On time","Delayed"))</f>
        <v>On time</v>
      </c>
      <c r="AD360" s="29" t="str">
        <f>IF(TRIM(S360)="","Not Assigned",S360)</f>
        <v>Neha</v>
      </c>
      <c r="AE360" t="str">
        <f>PROPER(TRIM(F360))</f>
        <v>Mohit Verma</v>
      </c>
      <c r="AF360" t="str">
        <f>PROPER(TRIM(K360))</f>
        <v>Electronics</v>
      </c>
      <c r="AG360" t="str">
        <f>PROPER(TRIM(J360))</f>
        <v>South</v>
      </c>
      <c r="AH360" t="str">
        <f t="shared" si="10"/>
        <v>Electronics</v>
      </c>
      <c r="AI360" t="str">
        <f t="shared" si="11"/>
        <v>Electronics</v>
      </c>
      <c r="AK360">
        <f>IF(COUNTIF($A$2:A360,A360)=1,1,0)</f>
        <v>1</v>
      </c>
    </row>
    <row r="361" spans="1:37">
      <c r="A361" s="9" t="s">
        <v>961</v>
      </c>
      <c r="B361" s="10" t="s">
        <v>235</v>
      </c>
      <c r="C361" s="10" t="s">
        <v>347</v>
      </c>
      <c r="D361" s="10" t="s">
        <v>44</v>
      </c>
      <c r="E361" s="10" t="s">
        <v>100</v>
      </c>
      <c r="F361" s="10" t="s">
        <v>318</v>
      </c>
      <c r="G361" s="10" t="s">
        <v>239</v>
      </c>
      <c r="H361" s="11">
        <v>32784</v>
      </c>
      <c r="I361" s="10" t="s">
        <v>241</v>
      </c>
      <c r="J361" s="10" t="s">
        <v>242</v>
      </c>
      <c r="K361" s="10" t="s">
        <v>295</v>
      </c>
      <c r="L361" s="10" t="s">
        <v>349</v>
      </c>
      <c r="M361" s="10">
        <v>20</v>
      </c>
      <c r="N361" s="10">
        <v>20</v>
      </c>
      <c r="O361" s="10">
        <v>20</v>
      </c>
      <c r="P361" s="10">
        <v>320</v>
      </c>
      <c r="Q361" s="10">
        <v>5</v>
      </c>
      <c r="R361" s="10" t="s">
        <v>272</v>
      </c>
      <c r="S361" s="10" t="s">
        <v>292</v>
      </c>
      <c r="T361" s="10" t="s">
        <v>247</v>
      </c>
      <c r="U361" s="10">
        <v>9223945130</v>
      </c>
      <c r="V361" s="12" t="s">
        <v>248</v>
      </c>
      <c r="W361" t="str">
        <f>IF(OR(Q361&lt;=2,V361="Cancelled"),"Blacklisted",IF(AND(P361&gt;100000,Q361&gt;=4,O361&lt;=10%,V361="Completed"),"Platinum",IF(AND(P361&gt;=50000,Q361&gt;=3,V361="Completed"),"Gold",IF(AND(P361&lt;50000,V361="Completed"),"Silver",""))))</f>
        <v/>
      </c>
      <c r="X361" t="str">
        <f>PROPER(TRIM(F361))</f>
        <v>Pooja Shah</v>
      </c>
      <c r="Y361" t="str">
        <f>LEFT(F361,3)&amp;MID(B361,2,3)&amp;LEFT(I361,2)</f>
        <v>Poo010Be</v>
      </c>
      <c r="Z361" t="str">
        <f>IF(ISNUMBER(SEARCH("@",T361)),LOWER(TRIM(T361)),"invalid email")</f>
        <v>pooja.shah@company.com</v>
      </c>
      <c r="AA361">
        <f ca="1">IF(H360="","",IFERROR(DATEDIF(IF(ISNUMBER(H360),H360,DATE(VALUE(RIGHT(H360,4)),VALUE(MID(H360,3,2)),VALUE(LEFT(H360,2)))),TODAY(),"Y"),""))</f>
        <v>42</v>
      </c>
      <c r="AB361">
        <f>IF(OR(D361="",E361=""),"",IFERROR(DATE(MID(E361,7,4),MID(E361,4,2),LEFT(E361,2))-DATE(MID(D361,7,4),MID(D361,4,2),LEFT(D361,2)),""))</f>
        <v>5</v>
      </c>
      <c r="AC361" t="str">
        <f>IF(E361="","Pending",IF(AB361&lt;=5,"On time","Delayed"))</f>
        <v>On time</v>
      </c>
      <c r="AD361" s="29" t="str">
        <f>IF(TRIM(S361)="","Not Assigned",S361)</f>
        <v>Neha</v>
      </c>
      <c r="AE361" t="str">
        <f>PROPER(TRIM(F361))</f>
        <v>Pooja Shah</v>
      </c>
      <c r="AF361" t="str">
        <f>PROPER(TRIM(K361))</f>
        <v>Stationery</v>
      </c>
      <c r="AG361" t="str">
        <f>PROPER(TRIM(J361))</f>
        <v>South</v>
      </c>
      <c r="AH361" t="str">
        <f t="shared" si="10"/>
        <v>Stationery</v>
      </c>
      <c r="AI361" t="str">
        <f t="shared" si="11"/>
        <v>Stationery</v>
      </c>
      <c r="AK361">
        <f>IF(COUNTIF($A$2:A361,A361)=1,1,0)</f>
        <v>1</v>
      </c>
    </row>
    <row r="362" spans="1:37">
      <c r="A362" s="4" t="s">
        <v>962</v>
      </c>
      <c r="B362" s="5" t="s">
        <v>284</v>
      </c>
      <c r="C362" s="5" t="s">
        <v>267</v>
      </c>
      <c r="D362" s="5" t="s">
        <v>196</v>
      </c>
      <c r="E362" s="6">
        <v>45843</v>
      </c>
      <c r="F362" s="5" t="s">
        <v>285</v>
      </c>
      <c r="G362" s="5" t="s">
        <v>239</v>
      </c>
      <c r="H362" s="5" t="s">
        <v>963</v>
      </c>
      <c r="I362" s="5" t="s">
        <v>252</v>
      </c>
      <c r="J362" s="5" t="s">
        <v>242</v>
      </c>
      <c r="K362" s="5" t="s">
        <v>243</v>
      </c>
      <c r="L362" s="5" t="s">
        <v>271</v>
      </c>
      <c r="M362" s="5">
        <v>19</v>
      </c>
      <c r="N362" s="5">
        <v>1200</v>
      </c>
      <c r="O362" s="5">
        <v>5</v>
      </c>
      <c r="P362" s="5">
        <v>21660</v>
      </c>
      <c r="Q362" s="5">
        <v>3</v>
      </c>
      <c r="R362" s="5" t="s">
        <v>272</v>
      </c>
      <c r="S362" s="5" t="s">
        <v>255</v>
      </c>
      <c r="T362" s="5" t="s">
        <v>308</v>
      </c>
      <c r="U362" s="5">
        <v>9910804926</v>
      </c>
      <c r="V362" s="8" t="s">
        <v>248</v>
      </c>
      <c r="W362" t="str">
        <f>IF(OR(Q362&lt;=2,V362="Cancelled"),"Blacklisted",IF(AND(P362&gt;100000,Q362&gt;=4,O362&lt;=10%,V362="Completed"),"Platinum",IF(AND(P362&gt;=50000,Q362&gt;=3,V362="Completed"),"Gold",IF(AND(P362&lt;50000,V362="Completed"),"Silver",""))))</f>
        <v/>
      </c>
      <c r="X362" t="str">
        <f>PROPER(TRIM(F362))</f>
        <v>Priya Patel</v>
      </c>
      <c r="Y362" t="str">
        <f>LEFT(F362,3)&amp;MID(B362,2,3)&amp;LEFT(I362,2)</f>
        <v>Pri002Hy</v>
      </c>
      <c r="Z362" t="str">
        <f>IF(ISNUMBER(SEARCH("@",T362)),LOWER(TRIM(T362)),"invalid email")</f>
        <v>priya.patel@company.com</v>
      </c>
      <c r="AA362">
        <f ca="1">IF(H361="","",IFERROR(DATEDIF(IF(ISNUMBER(H361),H361,DATE(VALUE(RIGHT(H361,4)),VALUE(MID(H361,3,2)),VALUE(LEFT(H361,2)))),TODAY(),"Y"),""))</f>
        <v>37</v>
      </c>
      <c r="AB362" t="str">
        <f>IF(OR(D362="",E362=""),"",IFERROR(DATE(MID(E362,7,4),MID(E362,4,2),LEFT(E362,2))-DATE(MID(D362,7,4),MID(D362,4,2),LEFT(D362,2)),""))</f>
        <v/>
      </c>
      <c r="AC362" t="str">
        <f>IF(E362="","Pending",IF(AB362&lt;=5,"On time","Delayed"))</f>
        <v>Delayed</v>
      </c>
      <c r="AD362" s="29" t="str">
        <f>IF(TRIM(S362)="","Not Assigned",S362)</f>
        <v>Ritika</v>
      </c>
      <c r="AE362" t="str">
        <f>PROPER(TRIM(F362))</f>
        <v>Priya Patel</v>
      </c>
      <c r="AF362" t="str">
        <f>PROPER(TRIM(K362))</f>
        <v>Electronics</v>
      </c>
      <c r="AG362" t="str">
        <f>PROPER(TRIM(J362))</f>
        <v>South</v>
      </c>
      <c r="AH362" t="str">
        <f t="shared" si="10"/>
        <v>Electronics</v>
      </c>
      <c r="AI362" t="str">
        <f t="shared" si="11"/>
        <v>Electronics</v>
      </c>
      <c r="AK362">
        <f>IF(COUNTIF($A$2:A362,A362)=1,1,0)</f>
        <v>1</v>
      </c>
    </row>
    <row r="363" spans="1:37">
      <c r="A363" s="9" t="s">
        <v>964</v>
      </c>
      <c r="B363" s="10" t="s">
        <v>235</v>
      </c>
      <c r="C363" s="10" t="s">
        <v>347</v>
      </c>
      <c r="D363" s="11">
        <v>45718</v>
      </c>
      <c r="E363" s="10" t="s">
        <v>7</v>
      </c>
      <c r="F363" s="10" t="s">
        <v>318</v>
      </c>
      <c r="G363" s="10" t="s">
        <v>239</v>
      </c>
      <c r="H363" s="10" t="s">
        <v>965</v>
      </c>
      <c r="I363" s="10" t="s">
        <v>252</v>
      </c>
      <c r="J363" s="10" t="s">
        <v>242</v>
      </c>
      <c r="K363" s="10" t="s">
        <v>295</v>
      </c>
      <c r="L363" s="10" t="s">
        <v>349</v>
      </c>
      <c r="M363" s="10">
        <v>5</v>
      </c>
      <c r="N363" s="10">
        <v>20</v>
      </c>
      <c r="O363" s="10">
        <v>0</v>
      </c>
      <c r="P363" s="10">
        <v>100</v>
      </c>
      <c r="Q363" s="10">
        <v>2</v>
      </c>
      <c r="R363" s="10" t="s">
        <v>277</v>
      </c>
      <c r="S363" s="10" t="s">
        <v>263</v>
      </c>
      <c r="T363" s="10" t="s">
        <v>247</v>
      </c>
      <c r="U363" s="10">
        <v>9274269744</v>
      </c>
      <c r="V363" s="12" t="s">
        <v>248</v>
      </c>
      <c r="W363" t="str">
        <f>IF(OR(Q363&lt;=2,V363="Cancelled"),"Blacklisted",IF(AND(P363&gt;100000,Q363&gt;=4,O363&lt;=10%,V363="Completed"),"Platinum",IF(AND(P363&gt;=50000,Q363&gt;=3,V363="Completed"),"Gold",IF(AND(P363&lt;50000,V363="Completed"),"Silver",""))))</f>
        <v>Blacklisted</v>
      </c>
      <c r="X363" t="str">
        <f>PROPER(TRIM(F363))</f>
        <v>Pooja Shah</v>
      </c>
      <c r="Y363" t="str">
        <f>LEFT(F363,3)&amp;MID(B363,2,3)&amp;LEFT(I363,2)</f>
        <v>Poo010Hy</v>
      </c>
      <c r="Z363" t="str">
        <f>IF(ISNUMBER(SEARCH("@",T363)),LOWER(TRIM(T363)),"invalid email")</f>
        <v>pooja.shah@company.com</v>
      </c>
      <c r="AA363" t="str">
        <f ca="1">IF(H362="","",IFERROR(DATEDIF(IF(ISNUMBER(H362),H362,DATE(VALUE(RIGHT(H362,4)),VALUE(MID(H362,3,2)),VALUE(LEFT(H362,2)))),TODAY(),"Y"),""))</f>
        <v/>
      </c>
      <c r="AB363" t="str">
        <f>IF(OR(D363="",E363=""),"",IFERROR(DATE(MID(E363,7,4),MID(E363,4,2),LEFT(E363,2))-DATE(MID(D363,7,4),MID(D363,4,2),LEFT(D363,2)),""))</f>
        <v/>
      </c>
      <c r="AC363" t="str">
        <f>IF(E363="","Pending",IF(AB363&lt;=5,"On time","Delayed"))</f>
        <v>Delayed</v>
      </c>
      <c r="AD363" s="29" t="str">
        <f>IF(TRIM(S363)="","Not Assigned",S363)</f>
        <v>Rahul</v>
      </c>
      <c r="AE363" t="str">
        <f>PROPER(TRIM(F363))</f>
        <v>Pooja Shah</v>
      </c>
      <c r="AF363" t="str">
        <f>PROPER(TRIM(K363))</f>
        <v>Stationery</v>
      </c>
      <c r="AG363" t="str">
        <f>PROPER(TRIM(J363))</f>
        <v>South</v>
      </c>
      <c r="AH363" t="str">
        <f t="shared" si="10"/>
        <v>Stationery</v>
      </c>
      <c r="AI363" t="str">
        <f t="shared" si="11"/>
        <v>Stationery</v>
      </c>
      <c r="AK363">
        <f>IF(COUNTIF($A$2:A363,A363)=1,1,0)</f>
        <v>1</v>
      </c>
    </row>
    <row r="364" spans="1:37">
      <c r="A364" s="4" t="s">
        <v>966</v>
      </c>
      <c r="B364" s="5" t="s">
        <v>284</v>
      </c>
      <c r="C364" s="5" t="s">
        <v>362</v>
      </c>
      <c r="D364" s="6">
        <v>46206</v>
      </c>
      <c r="E364" s="5" t="s">
        <v>44</v>
      </c>
      <c r="F364" s="5" t="s">
        <v>285</v>
      </c>
      <c r="G364" s="5" t="s">
        <v>239</v>
      </c>
      <c r="H364" s="6">
        <v>30629</v>
      </c>
      <c r="I364" s="5" t="s">
        <v>342</v>
      </c>
      <c r="J364" s="5" t="s">
        <v>261</v>
      </c>
      <c r="K364" s="5" t="s">
        <v>295</v>
      </c>
      <c r="L364" s="5" t="s">
        <v>363</v>
      </c>
      <c r="M364" s="5">
        <v>16</v>
      </c>
      <c r="N364" s="5">
        <v>45</v>
      </c>
      <c r="O364" s="5">
        <v>15</v>
      </c>
      <c r="P364" s="5">
        <v>612</v>
      </c>
      <c r="Q364" s="5">
        <v>5</v>
      </c>
      <c r="R364" s="5" t="s">
        <v>254</v>
      </c>
      <c r="S364" s="5" t="s">
        <v>246</v>
      </c>
      <c r="T364" s="5" t="s">
        <v>308</v>
      </c>
      <c r="U364" s="5">
        <v>9223196101</v>
      </c>
      <c r="V364" s="8" t="s">
        <v>265</v>
      </c>
      <c r="W364" t="str">
        <f>IF(OR(Q364&lt;=2,V364="Cancelled"),"Blacklisted",IF(AND(P364&gt;100000,Q364&gt;=4,O364&lt;=10%,V364="Completed"),"Platinum",IF(AND(P364&gt;=50000,Q364&gt;=3,V364="Completed"),"Gold",IF(AND(P364&lt;50000,V364="Completed"),"Silver",""))))</f>
        <v>Blacklisted</v>
      </c>
      <c r="X364" t="str">
        <f>PROPER(TRIM(F364))</f>
        <v>Priya Patel</v>
      </c>
      <c r="Y364" t="str">
        <f>LEFT(F364,3)&amp;MID(B364,2,3)&amp;LEFT(I364,2)</f>
        <v>Pri002Ja</v>
      </c>
      <c r="Z364" t="str">
        <f>IF(ISNUMBER(SEARCH("@",T364)),LOWER(TRIM(T364)),"invalid email")</f>
        <v>priya.patel@company.com</v>
      </c>
      <c r="AA364" t="str">
        <f ca="1">IF(H363="","",IFERROR(DATEDIF(IF(ISNUMBER(H363),H363,DATE(VALUE(RIGHT(H363,4)),VALUE(MID(H363,3,2)),VALUE(LEFT(H363,2)))),TODAY(),"Y"),""))</f>
        <v/>
      </c>
      <c r="AB364" t="str">
        <f>IF(OR(D364="",E364=""),"",IFERROR(DATE(MID(E364,7,4),MID(E364,4,2),LEFT(E364,2))-DATE(MID(D364,7,4),MID(D364,4,2),LEFT(D364,2)),""))</f>
        <v/>
      </c>
      <c r="AC364" t="str">
        <f>IF(E364="","Pending",IF(AB364&lt;=5,"On time","Delayed"))</f>
        <v>Delayed</v>
      </c>
      <c r="AD364" s="29" t="str">
        <f>IF(TRIM(S364)="","Not Assigned",S364)</f>
        <v>Aisha</v>
      </c>
      <c r="AE364" t="str">
        <f>PROPER(TRIM(F364))</f>
        <v>Priya Patel</v>
      </c>
      <c r="AF364" t="str">
        <f>PROPER(TRIM(K364))</f>
        <v>Stationery</v>
      </c>
      <c r="AG364" t="str">
        <f>PROPER(TRIM(J364))</f>
        <v>North</v>
      </c>
      <c r="AH364" t="str">
        <f t="shared" si="10"/>
        <v>Stationery</v>
      </c>
      <c r="AI364" t="str">
        <f t="shared" si="11"/>
        <v>Stationery</v>
      </c>
      <c r="AK364">
        <f>IF(COUNTIF($A$2:A364,A364)=1,1,0)</f>
        <v>1</v>
      </c>
    </row>
    <row r="365" spans="1:37">
      <c r="A365" s="9" t="s">
        <v>967</v>
      </c>
      <c r="B365" s="10" t="s">
        <v>249</v>
      </c>
      <c r="C365" s="10" t="s">
        <v>250</v>
      </c>
      <c r="D365" s="11">
        <v>45721</v>
      </c>
      <c r="E365" s="10" t="s">
        <v>34</v>
      </c>
      <c r="F365" s="10" t="s">
        <v>251</v>
      </c>
      <c r="G365" s="10" t="s">
        <v>239</v>
      </c>
      <c r="H365" s="11">
        <v>28070</v>
      </c>
      <c r="I365" s="10" t="s">
        <v>342</v>
      </c>
      <c r="J365" s="10" t="s">
        <v>261</v>
      </c>
      <c r="K365" s="10" t="s">
        <v>15</v>
      </c>
      <c r="L365" s="10" t="s">
        <v>253</v>
      </c>
      <c r="M365" s="10">
        <v>1</v>
      </c>
      <c r="N365" s="10">
        <v>2200</v>
      </c>
      <c r="O365" s="10">
        <v>10</v>
      </c>
      <c r="P365" s="10">
        <v>1980</v>
      </c>
      <c r="Q365" s="10">
        <v>5</v>
      </c>
      <c r="R365" s="10" t="s">
        <v>272</v>
      </c>
      <c r="S365" s="10" t="s">
        <v>263</v>
      </c>
      <c r="T365" s="10" t="s">
        <v>264</v>
      </c>
      <c r="U365" s="10">
        <v>9888477457</v>
      </c>
      <c r="V365" s="12" t="s">
        <v>257</v>
      </c>
      <c r="W365" t="str">
        <f>IF(OR(Q365&lt;=2,V365="Cancelled"),"Blacklisted",IF(AND(P365&gt;100000,Q365&gt;=4,O365&lt;=10%,V365="Completed"),"Platinum",IF(AND(P365&gt;=50000,Q365&gt;=3,V365="Completed"),"Gold",IF(AND(P365&lt;50000,V365="Completed"),"Silver",""))))</f>
        <v>Silver</v>
      </c>
      <c r="X365" t="str">
        <f>PROPER(TRIM(F365))</f>
        <v>Kavya Nair</v>
      </c>
      <c r="Y365" t="str">
        <f>LEFT(F365,3)&amp;MID(B365,2,3)&amp;LEFT(I365,2)</f>
        <v>Kav008Ja</v>
      </c>
      <c r="Z365" t="str">
        <f>IF(ISNUMBER(SEARCH("@",T365)),LOWER(TRIM(T365)),"invalid email")</f>
        <v>kavya.nair@company.com</v>
      </c>
      <c r="AA365">
        <f ca="1">IF(H364="","",IFERROR(DATEDIF(IF(ISNUMBER(H364),H364,DATE(VALUE(RIGHT(H364,4)),VALUE(MID(H364,3,2)),VALUE(LEFT(H364,2)))),TODAY(),"Y"),""))</f>
        <v>42</v>
      </c>
      <c r="AB365" t="str">
        <f>IF(OR(D365="",E365=""),"",IFERROR(DATE(MID(E365,7,4),MID(E365,4,2),LEFT(E365,2))-DATE(MID(D365,7,4),MID(D365,4,2),LEFT(D365,2)),""))</f>
        <v/>
      </c>
      <c r="AC365" t="str">
        <f>IF(E365="","Pending",IF(AB365&lt;=5,"On time","Delayed"))</f>
        <v>Delayed</v>
      </c>
      <c r="AD365" s="29" t="str">
        <f>IF(TRIM(S365)="","Not Assigned",S365)</f>
        <v>Rahul</v>
      </c>
      <c r="AE365" t="str">
        <f>PROPER(TRIM(F365))</f>
        <v>Kavya Nair</v>
      </c>
      <c r="AF365" t="str">
        <f>PROPER(TRIM(K365))</f>
        <v>Home Appliances</v>
      </c>
      <c r="AG365" t="str">
        <f>PROPER(TRIM(J365))</f>
        <v>North</v>
      </c>
      <c r="AH365" t="str">
        <f t="shared" si="10"/>
        <v>Home Appliances</v>
      </c>
      <c r="AI365" t="str">
        <f t="shared" si="11"/>
        <v>Home Appliances</v>
      </c>
      <c r="AK365">
        <f>IF(COUNTIF($A$2:A365,A365)=1,1,0)</f>
        <v>1</v>
      </c>
    </row>
    <row r="366" spans="1:37">
      <c r="A366" s="4" t="s">
        <v>968</v>
      </c>
      <c r="B366" s="5" t="s">
        <v>235</v>
      </c>
      <c r="C366" s="5" t="s">
        <v>294</v>
      </c>
      <c r="D366" s="6">
        <v>46026</v>
      </c>
      <c r="E366" s="6">
        <v>46146</v>
      </c>
      <c r="F366" s="5" t="s">
        <v>318</v>
      </c>
      <c r="G366" s="5" t="s">
        <v>239</v>
      </c>
      <c r="H366" s="6">
        <v>31868</v>
      </c>
      <c r="I366" s="5" t="s">
        <v>252</v>
      </c>
      <c r="J366" s="5" t="s">
        <v>242</v>
      </c>
      <c r="K366" s="5" t="s">
        <v>295</v>
      </c>
      <c r="L366" s="5" t="s">
        <v>296</v>
      </c>
      <c r="M366" s="5">
        <v>19</v>
      </c>
      <c r="N366" s="5">
        <v>60</v>
      </c>
      <c r="O366" s="5">
        <v>15</v>
      </c>
      <c r="P366" s="5">
        <v>969</v>
      </c>
      <c r="Q366" s="5">
        <v>4</v>
      </c>
      <c r="R366" s="5" t="s">
        <v>245</v>
      </c>
      <c r="S366" s="5" t="s">
        <v>292</v>
      </c>
      <c r="T366" s="5" t="s">
        <v>247</v>
      </c>
      <c r="U366" s="5">
        <v>9435947486</v>
      </c>
      <c r="V366" s="8" t="s">
        <v>265</v>
      </c>
      <c r="W366" t="str">
        <f>IF(OR(Q366&lt;=2,V366="Cancelled"),"Blacklisted",IF(AND(P366&gt;100000,Q366&gt;=4,O366&lt;=10%,V366="Completed"),"Platinum",IF(AND(P366&gt;=50000,Q366&gt;=3,V366="Completed"),"Gold",IF(AND(P366&lt;50000,V366="Completed"),"Silver",""))))</f>
        <v>Blacklisted</v>
      </c>
      <c r="X366" t="str">
        <f>PROPER(TRIM(F366))</f>
        <v>Pooja Shah</v>
      </c>
      <c r="Y366" t="str">
        <f>LEFT(F366,3)&amp;MID(B366,2,3)&amp;LEFT(I366,2)</f>
        <v>Poo010Hy</v>
      </c>
      <c r="Z366" t="str">
        <f>IF(ISNUMBER(SEARCH("@",T366)),LOWER(TRIM(T366)),"invalid email")</f>
        <v>pooja.shah@company.com</v>
      </c>
      <c r="AA366">
        <f ca="1">IF(H365="","",IFERROR(DATEDIF(IF(ISNUMBER(H365),H365,DATE(VALUE(RIGHT(H365,4)),VALUE(MID(H365,3,2)),VALUE(LEFT(H365,2)))),TODAY(),"Y"),""))</f>
        <v>49</v>
      </c>
      <c r="AB366" t="str">
        <f>IF(OR(D366="",E366=""),"",IFERROR(DATE(MID(E366,7,4),MID(E366,4,2),LEFT(E366,2))-DATE(MID(D366,7,4),MID(D366,4,2),LEFT(D366,2)),""))</f>
        <v/>
      </c>
      <c r="AC366" t="str">
        <f>IF(E366="","Pending",IF(AB366&lt;=5,"On time","Delayed"))</f>
        <v>Delayed</v>
      </c>
      <c r="AD366" s="29" t="str">
        <f>IF(TRIM(S366)="","Not Assigned",S366)</f>
        <v>Neha</v>
      </c>
      <c r="AE366" t="str">
        <f>PROPER(TRIM(F366))</f>
        <v>Pooja Shah</v>
      </c>
      <c r="AF366" t="str">
        <f>PROPER(TRIM(K366))</f>
        <v>Stationery</v>
      </c>
      <c r="AG366" t="str">
        <f>PROPER(TRIM(J366))</f>
        <v>South</v>
      </c>
      <c r="AH366" t="str">
        <f t="shared" si="10"/>
        <v>Stationery</v>
      </c>
      <c r="AI366" t="str">
        <f t="shared" si="11"/>
        <v>Stationery</v>
      </c>
      <c r="AK366">
        <f>IF(COUNTIF($A$2:A366,A366)=1,1,0)</f>
        <v>1</v>
      </c>
    </row>
    <row r="367" spans="1:37">
      <c r="A367" s="9" t="s">
        <v>969</v>
      </c>
      <c r="B367" s="10" t="s">
        <v>392</v>
      </c>
      <c r="C367" s="10" t="s">
        <v>236</v>
      </c>
      <c r="D367" s="10" t="s">
        <v>248</v>
      </c>
      <c r="E367" s="11">
        <v>45690</v>
      </c>
      <c r="F367" s="10" t="s">
        <v>323</v>
      </c>
      <c r="G367" s="10" t="s">
        <v>269</v>
      </c>
      <c r="H367" s="10" t="s">
        <v>970</v>
      </c>
      <c r="I367" s="10" t="s">
        <v>260</v>
      </c>
      <c r="J367" s="10" t="s">
        <v>261</v>
      </c>
      <c r="K367" s="10" t="s">
        <v>243</v>
      </c>
      <c r="L367" s="10" t="s">
        <v>244</v>
      </c>
      <c r="M367" s="10">
        <v>15</v>
      </c>
      <c r="N367" s="10">
        <v>55000</v>
      </c>
      <c r="O367" s="10">
        <v>0</v>
      </c>
      <c r="P367" s="10">
        <v>825000</v>
      </c>
      <c r="Q367" s="10">
        <v>5</v>
      </c>
      <c r="R367" s="10" t="s">
        <v>272</v>
      </c>
      <c r="S367" s="10" t="s">
        <v>292</v>
      </c>
      <c r="T367" s="10" t="s">
        <v>395</v>
      </c>
      <c r="U367" s="10">
        <v>9411668831</v>
      </c>
      <c r="V367" s="12" t="s">
        <v>265</v>
      </c>
      <c r="W367" t="str">
        <f>IF(OR(Q367&lt;=2,V367="Cancelled"),"Blacklisted",IF(AND(P367&gt;100000,Q367&gt;=4,O367&lt;=10%,V367="Completed"),"Platinum",IF(AND(P367&gt;=50000,Q367&gt;=3,V367="Completed"),"Gold",IF(AND(P367&lt;50000,V367="Completed"),"Silver",""))))</f>
        <v>Blacklisted</v>
      </c>
      <c r="X367" t="str">
        <f>PROPER(TRIM(F367))</f>
        <v>Amit Sharma</v>
      </c>
      <c r="Y367" t="str">
        <f>LEFT(F367,3)&amp;MID(B367,2,3)&amp;LEFT(I367,2)</f>
        <v>Ami001De</v>
      </c>
      <c r="Z367" t="str">
        <f>IF(ISNUMBER(SEARCH("@",T367)),LOWER(TRIM(T367)),"invalid email")</f>
        <v>amit.sharma@company.com</v>
      </c>
      <c r="AA367">
        <f ca="1">IF(H366="","",IFERROR(DATEDIF(IF(ISNUMBER(H366),H366,DATE(VALUE(RIGHT(H366,4)),VALUE(MID(H366,3,2)),VALUE(LEFT(H366,2)))),TODAY(),"Y"),""))</f>
        <v>39</v>
      </c>
      <c r="AB367" t="str">
        <f>IF(OR(D367="",E367=""),"",IFERROR(DATE(MID(E367,7,4),MID(E367,4,2),LEFT(E367,2))-DATE(MID(D367,7,4),MID(D367,4,2),LEFT(D367,2)),""))</f>
        <v/>
      </c>
      <c r="AC367" t="str">
        <f>IF(E367="","Pending",IF(AB367&lt;=5,"On time","Delayed"))</f>
        <v>Delayed</v>
      </c>
      <c r="AD367" s="29" t="str">
        <f>IF(TRIM(S367)="","Not Assigned",S367)</f>
        <v>Neha</v>
      </c>
      <c r="AE367" t="str">
        <f>PROPER(TRIM(F367))</f>
        <v>Amit Sharma</v>
      </c>
      <c r="AF367" t="str">
        <f>PROPER(TRIM(K367))</f>
        <v>Electronics</v>
      </c>
      <c r="AG367" t="str">
        <f>PROPER(TRIM(J367))</f>
        <v>North</v>
      </c>
      <c r="AH367" t="str">
        <f t="shared" si="10"/>
        <v>Electronics</v>
      </c>
      <c r="AI367" t="str">
        <f t="shared" si="11"/>
        <v>Electronics</v>
      </c>
      <c r="AK367">
        <f>IF(COUNTIF($A$2:A367,A367)=1,1,0)</f>
        <v>1</v>
      </c>
    </row>
    <row r="368" spans="1:37">
      <c r="A368" s="4" t="s">
        <v>971</v>
      </c>
      <c r="B368" s="5" t="s">
        <v>266</v>
      </c>
      <c r="C368" s="5" t="s">
        <v>362</v>
      </c>
      <c r="D368" s="6">
        <v>45818</v>
      </c>
      <c r="E368" s="6">
        <v>45879</v>
      </c>
      <c r="F368" s="5" t="s">
        <v>268</v>
      </c>
      <c r="G368" s="5" t="s">
        <v>269</v>
      </c>
      <c r="H368" s="6">
        <v>32572</v>
      </c>
      <c r="I368" s="5" t="s">
        <v>241</v>
      </c>
      <c r="J368" s="5" t="s">
        <v>242</v>
      </c>
      <c r="K368" s="5" t="s">
        <v>295</v>
      </c>
      <c r="L368" s="5" t="s">
        <v>363</v>
      </c>
      <c r="M368" s="5">
        <v>11</v>
      </c>
      <c r="N368" s="5">
        <v>45</v>
      </c>
      <c r="O368" s="5">
        <v>5</v>
      </c>
      <c r="P368" s="5">
        <v>470.25</v>
      </c>
      <c r="Q368" s="5">
        <v>5</v>
      </c>
      <c r="R368" s="5" t="s">
        <v>245</v>
      </c>
      <c r="S368" s="5" t="s">
        <v>312</v>
      </c>
      <c r="T368" s="5" t="s">
        <v>273</v>
      </c>
      <c r="U368" s="5">
        <v>9523682403</v>
      </c>
      <c r="V368" s="8" t="s">
        <v>257</v>
      </c>
      <c r="W368" t="str">
        <f>IF(OR(Q368&lt;=2,V368="Cancelled"),"Blacklisted",IF(AND(P368&gt;100000,Q368&gt;=4,O368&lt;=10%,V368="Completed"),"Platinum",IF(AND(P368&gt;=50000,Q368&gt;=3,V368="Completed"),"Gold",IF(AND(P368&lt;50000,V368="Completed"),"Silver",""))))</f>
        <v>Silver</v>
      </c>
      <c r="X368" t="str">
        <f>PROPER(TRIM(F368))</f>
        <v>Mohit Verma</v>
      </c>
      <c r="Y368" t="str">
        <f>LEFT(F368,3)&amp;MID(B368,2,3)&amp;LEFT(I368,2)</f>
        <v>Moh009Be</v>
      </c>
      <c r="Z368" t="str">
        <f>IF(ISNUMBER(SEARCH("@",T368)),LOWER(TRIM(T368)),"invalid email")</f>
        <v>mohit.verma@company.com</v>
      </c>
      <c r="AA368" t="str">
        <f ca="1">IF(H367="","",IFERROR(DATEDIF(IF(ISNUMBER(H367),H367,DATE(VALUE(RIGHT(H367,4)),VALUE(MID(H367,3,2)),VALUE(LEFT(H367,2)))),TODAY(),"Y"),""))</f>
        <v/>
      </c>
      <c r="AB368" t="str">
        <f>IF(OR(D368="",E368=""),"",IFERROR(DATE(MID(E368,7,4),MID(E368,4,2),LEFT(E368,2))-DATE(MID(D368,7,4),MID(D368,4,2),LEFT(D368,2)),""))</f>
        <v/>
      </c>
      <c r="AC368" t="str">
        <f>IF(E368="","Pending",IF(AB368&lt;=5,"On time","Delayed"))</f>
        <v>Delayed</v>
      </c>
      <c r="AD368" s="29" t="str">
        <f>IF(TRIM(S368)="","Not Assigned",S368)</f>
        <v>Karan</v>
      </c>
      <c r="AE368" t="str">
        <f>PROPER(TRIM(F368))</f>
        <v>Mohit Verma</v>
      </c>
      <c r="AF368" t="str">
        <f>PROPER(TRIM(K368))</f>
        <v>Stationery</v>
      </c>
      <c r="AG368" t="str">
        <f>PROPER(TRIM(J368))</f>
        <v>South</v>
      </c>
      <c r="AH368" t="str">
        <f t="shared" si="10"/>
        <v>Stationery</v>
      </c>
      <c r="AI368" t="str">
        <f t="shared" si="11"/>
        <v>Stationery</v>
      </c>
      <c r="AK368">
        <f>IF(COUNTIF($A$2:A368,A368)=1,1,0)</f>
        <v>1</v>
      </c>
    </row>
    <row r="369" spans="1:37">
      <c r="A369" s="9" t="s">
        <v>972</v>
      </c>
      <c r="B369" s="10" t="s">
        <v>358</v>
      </c>
      <c r="C369" s="10" t="s">
        <v>347</v>
      </c>
      <c r="D369" s="11">
        <v>45997</v>
      </c>
      <c r="E369" s="10" t="s">
        <v>973</v>
      </c>
      <c r="F369" s="10" t="s">
        <v>359</v>
      </c>
      <c r="G369" s="10" t="s">
        <v>239</v>
      </c>
      <c r="H369" s="10" t="s">
        <v>974</v>
      </c>
      <c r="I369" s="10" t="s">
        <v>342</v>
      </c>
      <c r="J369" s="10" t="s">
        <v>261</v>
      </c>
      <c r="K369" s="10" t="s">
        <v>295</v>
      </c>
      <c r="L369" s="10" t="s">
        <v>349</v>
      </c>
      <c r="M369" s="10">
        <v>9</v>
      </c>
      <c r="N369" s="10">
        <v>20</v>
      </c>
      <c r="O369" s="10">
        <v>10</v>
      </c>
      <c r="P369" s="10">
        <v>162</v>
      </c>
      <c r="Q369" s="10">
        <v>1</v>
      </c>
      <c r="R369" s="10" t="s">
        <v>272</v>
      </c>
      <c r="S369" s="10" t="s">
        <v>263</v>
      </c>
      <c r="T369" s="10" t="s">
        <v>360</v>
      </c>
      <c r="U369" s="10">
        <v>9652936744</v>
      </c>
      <c r="V369" s="12" t="s">
        <v>265</v>
      </c>
      <c r="W369" t="str">
        <f>IF(OR(Q369&lt;=2,V369="Cancelled"),"Blacklisted",IF(AND(P369&gt;100000,Q369&gt;=4,O369&lt;=10%,V369="Completed"),"Platinum",IF(AND(P369&gt;=50000,Q369&gt;=3,V369="Completed"),"Gold",IF(AND(P369&lt;50000,V369="Completed"),"Silver",""))))</f>
        <v>Blacklisted</v>
      </c>
      <c r="X369" t="str">
        <f>PROPER(TRIM(F369))</f>
        <v>Sneha Joshi</v>
      </c>
      <c r="Y369" t="str">
        <f>LEFT(F369,3)&amp;MID(B369,2,3)&amp;LEFT(I369,2)</f>
        <v>Sne006Ja</v>
      </c>
      <c r="Z369" t="str">
        <f>IF(ISNUMBER(SEARCH("@",T369)),LOWER(TRIM(T369)),"invalid email")</f>
        <v>sneha.joshi@company.com</v>
      </c>
      <c r="AA369">
        <f ca="1">IF(H368="","",IFERROR(DATEDIF(IF(ISNUMBER(H368),H368,DATE(VALUE(RIGHT(H368,4)),VALUE(MID(H368,3,2)),VALUE(LEFT(H368,2)))),TODAY(),"Y"),""))</f>
        <v>37</v>
      </c>
      <c r="AB369" t="str">
        <f>IF(OR(D369="",E369=""),"",IFERROR(DATE(MID(E369,7,4),MID(E369,4,2),LEFT(E369,2))-DATE(MID(D369,7,4),MID(D369,4,2),LEFT(D369,2)),""))</f>
        <v/>
      </c>
      <c r="AC369" t="str">
        <f>IF(E369="","Pending",IF(AB369&lt;=5,"On time","Delayed"))</f>
        <v>Delayed</v>
      </c>
      <c r="AD369" s="29" t="str">
        <f>IF(TRIM(S369)="","Not Assigned",S369)</f>
        <v>Rahul</v>
      </c>
      <c r="AE369" t="str">
        <f>PROPER(TRIM(F369))</f>
        <v>Sneha Joshi</v>
      </c>
      <c r="AF369" t="str">
        <f>PROPER(TRIM(K369))</f>
        <v>Stationery</v>
      </c>
      <c r="AG369" t="str">
        <f>PROPER(TRIM(J369))</f>
        <v>North</v>
      </c>
      <c r="AH369" t="str">
        <f t="shared" si="10"/>
        <v>Stationery</v>
      </c>
      <c r="AI369" t="str">
        <f t="shared" si="11"/>
        <v>Stationery</v>
      </c>
      <c r="AK369">
        <f>IF(COUNTIF($A$2:A369,A369)=1,1,0)</f>
        <v>1</v>
      </c>
    </row>
    <row r="370" spans="1:37">
      <c r="A370" s="4" t="s">
        <v>975</v>
      </c>
      <c r="B370" s="5" t="s">
        <v>321</v>
      </c>
      <c r="C370" s="5" t="s">
        <v>362</v>
      </c>
      <c r="D370" s="5" t="s">
        <v>72</v>
      </c>
      <c r="E370" s="5" t="s">
        <v>670</v>
      </c>
      <c r="F370" s="5" t="s">
        <v>408</v>
      </c>
      <c r="G370" s="5" t="s">
        <v>239</v>
      </c>
      <c r="H370" s="6">
        <v>34949</v>
      </c>
      <c r="I370" s="5" t="s">
        <v>241</v>
      </c>
      <c r="J370" s="5" t="s">
        <v>242</v>
      </c>
      <c r="K370" s="5" t="s">
        <v>295</v>
      </c>
      <c r="L370" s="5" t="s">
        <v>363</v>
      </c>
      <c r="M370" s="5">
        <v>5</v>
      </c>
      <c r="N370" s="5">
        <v>45</v>
      </c>
      <c r="O370" s="5">
        <v>5</v>
      </c>
      <c r="P370" s="5">
        <v>213.75</v>
      </c>
      <c r="Q370" s="5">
        <v>3</v>
      </c>
      <c r="R370" s="5" t="s">
        <v>272</v>
      </c>
      <c r="S370" s="5" t="s">
        <v>292</v>
      </c>
      <c r="T370" s="5" t="s">
        <v>326</v>
      </c>
      <c r="U370" s="5">
        <v>9726464733</v>
      </c>
      <c r="V370" s="8" t="s">
        <v>248</v>
      </c>
      <c r="W370" t="str">
        <f>IF(OR(Q370&lt;=2,V370="Cancelled"),"Blacklisted",IF(AND(P370&gt;100000,Q370&gt;=4,O370&lt;=10%,V370="Completed"),"Platinum",IF(AND(P370&gt;=50000,Q370&gt;=3,V370="Completed"),"Gold",IF(AND(P370&lt;50000,V370="Completed"),"Silver",""))))</f>
        <v/>
      </c>
      <c r="X370" t="str">
        <f>PROPER(TRIM(F370))</f>
        <v>Anita Gupta</v>
      </c>
      <c r="Y370" t="str">
        <f>LEFT(F370,3)&amp;MID(B370,2,3)&amp;LEFT(I370,2)</f>
        <v>Ani004Be</v>
      </c>
      <c r="Z370" t="str">
        <f>IF(ISNUMBER(SEARCH("@",T370)),LOWER(TRIM(T370)),"invalid email")</f>
        <v>anita.gupta@company.com</v>
      </c>
      <c r="AA370" t="str">
        <f ca="1">IF(H369="","",IFERROR(DATEDIF(IF(ISNUMBER(H369),H369,DATE(VALUE(RIGHT(H369,4)),VALUE(MID(H369,3,2)),VALUE(LEFT(H369,2)))),TODAY(),"Y"),""))</f>
        <v/>
      </c>
      <c r="AB370">
        <f>IF(OR(D370="",E370=""),"",IFERROR(DATE(MID(E370,7,4),MID(E370,4,2),LEFT(E370,2))-DATE(MID(D370,7,4),MID(D370,4,2),LEFT(D370,2)),""))</f>
        <v>2</v>
      </c>
      <c r="AC370" t="str">
        <f>IF(E370="","Pending",IF(AB370&lt;=5,"On time","Delayed"))</f>
        <v>On time</v>
      </c>
      <c r="AD370" s="29" t="str">
        <f>IF(TRIM(S370)="","Not Assigned",S370)</f>
        <v>Neha</v>
      </c>
      <c r="AE370" t="str">
        <f>PROPER(TRIM(F370))</f>
        <v>Anita Gupta</v>
      </c>
      <c r="AF370" t="str">
        <f>PROPER(TRIM(K370))</f>
        <v>Stationery</v>
      </c>
      <c r="AG370" t="str">
        <f>PROPER(TRIM(J370))</f>
        <v>South</v>
      </c>
      <c r="AH370" t="str">
        <f t="shared" si="10"/>
        <v>Stationery</v>
      </c>
      <c r="AI370" t="str">
        <f t="shared" si="11"/>
        <v>Stationery</v>
      </c>
      <c r="AK370">
        <f>IF(COUNTIF($A$2:A370,A370)=1,1,0)</f>
        <v>1</v>
      </c>
    </row>
    <row r="371" spans="1:37">
      <c r="A371" s="9" t="s">
        <v>976</v>
      </c>
      <c r="B371" s="10" t="s">
        <v>275</v>
      </c>
      <c r="C371" s="10" t="s">
        <v>330</v>
      </c>
      <c r="D371" s="11">
        <v>45668</v>
      </c>
      <c r="E371" s="11">
        <v>45699</v>
      </c>
      <c r="F371" s="10" t="s">
        <v>328</v>
      </c>
      <c r="G371" s="10" t="s">
        <v>269</v>
      </c>
      <c r="H371" s="10" t="s">
        <v>977</v>
      </c>
      <c r="I371" s="10" t="s">
        <v>252</v>
      </c>
      <c r="J371" s="10" t="s">
        <v>242</v>
      </c>
      <c r="K371" s="10" t="s">
        <v>243</v>
      </c>
      <c r="L371" s="10" t="s">
        <v>333</v>
      </c>
      <c r="M371" s="10">
        <v>5</v>
      </c>
      <c r="N371" s="10">
        <v>700</v>
      </c>
      <c r="O371" s="10">
        <v>10</v>
      </c>
      <c r="P371" s="10">
        <v>3150</v>
      </c>
      <c r="Q371" s="10">
        <v>2</v>
      </c>
      <c r="R371" s="10" t="s">
        <v>277</v>
      </c>
      <c r="S371" s="10" t="s">
        <v>263</v>
      </c>
      <c r="T371" s="10" t="s">
        <v>278</v>
      </c>
      <c r="U371" s="10">
        <v>9273520544</v>
      </c>
      <c r="V371" s="12" t="s">
        <v>257</v>
      </c>
      <c r="W371" t="str">
        <f>IF(OR(Q371&lt;=2,V371="Cancelled"),"Blacklisted",IF(AND(P371&gt;100000,Q371&gt;=4,O371&lt;=10%,V371="Completed"),"Platinum",IF(AND(P371&gt;=50000,Q371&gt;=3,V371="Completed"),"Gold",IF(AND(P371&lt;50000,V371="Completed"),"Silver",""))))</f>
        <v>Blacklisted</v>
      </c>
      <c r="X371" t="str">
        <f>PROPER(TRIM(F371))</f>
        <v>Arjun Rao</v>
      </c>
      <c r="Y371" t="str">
        <f>LEFT(F371,3)&amp;MID(B371,2,3)&amp;LEFT(I371,2)</f>
        <v>Arj007Hy</v>
      </c>
      <c r="Z371" t="str">
        <f>IF(ISNUMBER(SEARCH("@",T371)),LOWER(TRIM(T371)),"invalid email")</f>
        <v>arjun.rao@company.com</v>
      </c>
      <c r="AA371">
        <f ca="1">IF(H370="","",IFERROR(DATEDIF(IF(ISNUMBER(H370),H370,DATE(VALUE(RIGHT(H370,4)),VALUE(MID(H370,3,2)),VALUE(LEFT(H370,2)))),TODAY(),"Y"),""))</f>
        <v>31</v>
      </c>
      <c r="AB371" t="str">
        <f>IF(OR(D371="",E371=""),"",IFERROR(DATE(MID(E371,7,4),MID(E371,4,2),LEFT(E371,2))-DATE(MID(D371,7,4),MID(D371,4,2),LEFT(D371,2)),""))</f>
        <v/>
      </c>
      <c r="AC371" t="str">
        <f>IF(E371="","Pending",IF(AB371&lt;=5,"On time","Delayed"))</f>
        <v>Delayed</v>
      </c>
      <c r="AD371" s="29" t="str">
        <f>IF(TRIM(S371)="","Not Assigned",S371)</f>
        <v>Rahul</v>
      </c>
      <c r="AE371" t="str">
        <f>PROPER(TRIM(F371))</f>
        <v>Arjun Rao</v>
      </c>
      <c r="AF371" t="str">
        <f>PROPER(TRIM(K371))</f>
        <v>Electronics</v>
      </c>
      <c r="AG371" t="str">
        <f>PROPER(TRIM(J371))</f>
        <v>South</v>
      </c>
      <c r="AH371" t="str">
        <f t="shared" si="10"/>
        <v>Electronics</v>
      </c>
      <c r="AI371" t="str">
        <f t="shared" si="11"/>
        <v>Electronics</v>
      </c>
      <c r="AK371">
        <f>IF(COUNTIF($A$2:A371,A371)=1,1,0)</f>
        <v>1</v>
      </c>
    </row>
    <row r="372" spans="1:37">
      <c r="A372" s="4" t="s">
        <v>978</v>
      </c>
      <c r="B372" s="5" t="s">
        <v>346</v>
      </c>
      <c r="C372" s="5" t="s">
        <v>330</v>
      </c>
      <c r="D372" s="5" t="s">
        <v>128</v>
      </c>
      <c r="E372" s="5" t="s">
        <v>201</v>
      </c>
      <c r="F372" s="5" t="s">
        <v>348</v>
      </c>
      <c r="G372" s="5" t="s">
        <v>269</v>
      </c>
      <c r="H372" s="5" t="s">
        <v>979</v>
      </c>
      <c r="I372" s="5" t="s">
        <v>379</v>
      </c>
      <c r="J372" s="5" t="s">
        <v>21</v>
      </c>
      <c r="K372" s="5" t="s">
        <v>243</v>
      </c>
      <c r="L372" s="5" t="s">
        <v>333</v>
      </c>
      <c r="M372" s="5">
        <v>1</v>
      </c>
      <c r="N372" s="5">
        <v>700</v>
      </c>
      <c r="O372" s="5">
        <v>0</v>
      </c>
      <c r="P372" s="5">
        <v>700</v>
      </c>
      <c r="Q372" s="5">
        <v>1</v>
      </c>
      <c r="R372" s="5" t="s">
        <v>277</v>
      </c>
      <c r="S372" s="5" t="s">
        <v>312</v>
      </c>
      <c r="T372" s="5" t="s">
        <v>350</v>
      </c>
      <c r="U372" s="5">
        <v>9374259988</v>
      </c>
      <c r="V372" s="8" t="s">
        <v>257</v>
      </c>
      <c r="W372" t="str">
        <f>IF(OR(Q372&lt;=2,V372="Cancelled"),"Blacklisted",IF(AND(P372&gt;100000,Q372&gt;=4,O372&lt;=10%,V372="Completed"),"Platinum",IF(AND(P372&gt;=50000,Q372&gt;=3,V372="Completed"),"Gold",IF(AND(P372&lt;50000,V372="Completed"),"Silver",""))))</f>
        <v>Blacklisted</v>
      </c>
      <c r="X372" t="str">
        <f>PROPER(TRIM(F372))</f>
        <v>Vikas Mehta</v>
      </c>
      <c r="Y372" t="str">
        <f>LEFT(F372,3)&amp;MID(B372,2,3)&amp;LEFT(I372,2)</f>
        <v>Vik005Ko</v>
      </c>
      <c r="Z372" t="str">
        <f>IF(ISNUMBER(SEARCH("@",T372)),LOWER(TRIM(T372)),"invalid email")</f>
        <v>vikas.mehta@company.com</v>
      </c>
      <c r="AA372" t="str">
        <f ca="1">IF(H371="","",IFERROR(DATEDIF(IF(ISNUMBER(H371),H371,DATE(VALUE(RIGHT(H371,4)),VALUE(MID(H371,3,2)),VALUE(LEFT(H371,2)))),TODAY(),"Y"),""))</f>
        <v/>
      </c>
      <c r="AB372">
        <f>IF(OR(D372="",E372=""),"",IFERROR(DATE(MID(E372,7,4),MID(E372,4,2),LEFT(E372,2))-DATE(MID(D372,7,4),MID(D372,4,2),LEFT(D372,2)),""))</f>
        <v>7</v>
      </c>
      <c r="AC372" t="str">
        <f>IF(E372="","Pending",IF(AB372&lt;=5,"On time","Delayed"))</f>
        <v>Delayed</v>
      </c>
      <c r="AD372" s="29" t="str">
        <f>IF(TRIM(S372)="","Not Assigned",S372)</f>
        <v>Karan</v>
      </c>
      <c r="AE372" t="str">
        <f>PROPER(TRIM(F372))</f>
        <v>Vikas Mehta</v>
      </c>
      <c r="AF372" t="str">
        <f>PROPER(TRIM(K372))</f>
        <v>Electronics</v>
      </c>
      <c r="AG372" t="str">
        <f>PROPER(TRIM(J372))</f>
        <v>East</v>
      </c>
      <c r="AH372" t="str">
        <f t="shared" si="10"/>
        <v>Electronics</v>
      </c>
      <c r="AI372" t="str">
        <f t="shared" si="11"/>
        <v>Electronics</v>
      </c>
      <c r="AK372">
        <f>IF(COUNTIF($A$2:A372,A372)=1,1,0)</f>
        <v>1</v>
      </c>
    </row>
    <row r="373" spans="1:37">
      <c r="A373" s="9" t="s">
        <v>980</v>
      </c>
      <c r="B373" s="10" t="s">
        <v>249</v>
      </c>
      <c r="C373" s="10" t="s">
        <v>330</v>
      </c>
      <c r="D373" s="10" t="s">
        <v>9</v>
      </c>
      <c r="E373" s="10" t="s">
        <v>99</v>
      </c>
      <c r="F373" s="10" t="s">
        <v>251</v>
      </c>
      <c r="G373" s="10" t="s">
        <v>239</v>
      </c>
      <c r="H373" s="10" t="s">
        <v>981</v>
      </c>
      <c r="I373" s="10" t="s">
        <v>286</v>
      </c>
      <c r="J373" s="10" t="s">
        <v>287</v>
      </c>
      <c r="K373" s="10" t="s">
        <v>243</v>
      </c>
      <c r="L373" s="10" t="s">
        <v>333</v>
      </c>
      <c r="M373" s="10">
        <v>13</v>
      </c>
      <c r="N373" s="10">
        <v>700</v>
      </c>
      <c r="O373" s="10">
        <v>20</v>
      </c>
      <c r="P373" s="10">
        <v>7280</v>
      </c>
      <c r="Q373" s="10">
        <v>2</v>
      </c>
      <c r="R373" s="10" t="s">
        <v>272</v>
      </c>
      <c r="S373" s="10" t="s">
        <v>255</v>
      </c>
      <c r="T373" s="10" t="s">
        <v>264</v>
      </c>
      <c r="U373" s="10">
        <v>9538129419</v>
      </c>
      <c r="V373" s="12" t="s">
        <v>257</v>
      </c>
      <c r="W373" t="str">
        <f>IF(OR(Q373&lt;=2,V373="Cancelled"),"Blacklisted",IF(AND(P373&gt;100000,Q373&gt;=4,O373&lt;=10%,V373="Completed"),"Platinum",IF(AND(P373&gt;=50000,Q373&gt;=3,V373="Completed"),"Gold",IF(AND(P373&lt;50000,V373="Completed"),"Silver",""))))</f>
        <v>Blacklisted</v>
      </c>
      <c r="X373" t="str">
        <f>PROPER(TRIM(F373))</f>
        <v>Kavya Nair</v>
      </c>
      <c r="Y373" t="str">
        <f>LEFT(F373,3)&amp;MID(B373,2,3)&amp;LEFT(I373,2)</f>
        <v>Kav008Mu</v>
      </c>
      <c r="Z373" t="str">
        <f>IF(ISNUMBER(SEARCH("@",T373)),LOWER(TRIM(T373)),"invalid email")</f>
        <v>kavya.nair@company.com</v>
      </c>
      <c r="AA373" t="str">
        <f ca="1">IF(H372="","",IFERROR(DATEDIF(IF(ISNUMBER(H372),H372,DATE(VALUE(RIGHT(H372,4)),VALUE(MID(H372,3,2)),VALUE(LEFT(H372,2)))),TODAY(),"Y"),""))</f>
        <v/>
      </c>
      <c r="AB373">
        <f>IF(OR(D373="",E373=""),"",IFERROR(DATE(MID(E373,7,4),MID(E373,4,2),LEFT(E373,2))-DATE(MID(D373,7,4),MID(D373,4,2),LEFT(D373,2)),""))</f>
        <v>8</v>
      </c>
      <c r="AC373" t="str">
        <f>IF(E373="","Pending",IF(AB373&lt;=5,"On time","Delayed"))</f>
        <v>Delayed</v>
      </c>
      <c r="AD373" s="29" t="str">
        <f>IF(TRIM(S373)="","Not Assigned",S373)</f>
        <v>Ritika</v>
      </c>
      <c r="AE373" t="str">
        <f>PROPER(TRIM(F373))</f>
        <v>Kavya Nair</v>
      </c>
      <c r="AF373" t="str">
        <f>PROPER(TRIM(K373))</f>
        <v>Electronics</v>
      </c>
      <c r="AG373" t="str">
        <f>PROPER(TRIM(J373))</f>
        <v>West</v>
      </c>
      <c r="AH373" t="str">
        <f t="shared" si="10"/>
        <v>Electronics</v>
      </c>
      <c r="AI373" t="str">
        <f t="shared" si="11"/>
        <v>Electronics</v>
      </c>
      <c r="AK373">
        <f>IF(COUNTIF($A$2:A373,A373)=1,1,0)</f>
        <v>1</v>
      </c>
    </row>
    <row r="374" spans="1:37">
      <c r="A374" s="4" t="s">
        <v>982</v>
      </c>
      <c r="B374" s="5" t="s">
        <v>266</v>
      </c>
      <c r="C374" s="5" t="s">
        <v>258</v>
      </c>
      <c r="D374" s="6">
        <v>45871</v>
      </c>
      <c r="E374" s="5" t="s">
        <v>75</v>
      </c>
      <c r="F374" s="5" t="s">
        <v>268</v>
      </c>
      <c r="G374" s="5" t="s">
        <v>269</v>
      </c>
      <c r="H374" s="5" t="s">
        <v>983</v>
      </c>
      <c r="I374" s="5" t="s">
        <v>291</v>
      </c>
      <c r="J374" s="5" t="s">
        <v>287</v>
      </c>
      <c r="K374" s="5" t="s">
        <v>243</v>
      </c>
      <c r="L374" s="5" t="s">
        <v>262</v>
      </c>
      <c r="M374" s="5">
        <v>20</v>
      </c>
      <c r="N374" s="5">
        <v>12000</v>
      </c>
      <c r="O374" s="5">
        <v>0</v>
      </c>
      <c r="P374" s="5">
        <v>240000</v>
      </c>
      <c r="Q374" s="5">
        <v>2</v>
      </c>
      <c r="R374" s="5" t="s">
        <v>272</v>
      </c>
      <c r="S374" s="5" t="s">
        <v>292</v>
      </c>
      <c r="T374" s="5" t="s">
        <v>273</v>
      </c>
      <c r="U374" s="5">
        <v>9382815686</v>
      </c>
      <c r="V374" s="8" t="s">
        <v>257</v>
      </c>
      <c r="W374" t="str">
        <f>IF(OR(Q374&lt;=2,V374="Cancelled"),"Blacklisted",IF(AND(P374&gt;100000,Q374&gt;=4,O374&lt;=10%,V374="Completed"),"Platinum",IF(AND(P374&gt;=50000,Q374&gt;=3,V374="Completed"),"Gold",IF(AND(P374&lt;50000,V374="Completed"),"Silver",""))))</f>
        <v>Blacklisted</v>
      </c>
      <c r="X374" t="str">
        <f>PROPER(TRIM(F374))</f>
        <v>Mohit Verma</v>
      </c>
      <c r="Y374" t="str">
        <f>LEFT(F374,3)&amp;MID(B374,2,3)&amp;LEFT(I374,2)</f>
        <v>Moh009Pu</v>
      </c>
      <c r="Z374" t="str">
        <f>IF(ISNUMBER(SEARCH("@",T374)),LOWER(TRIM(T374)),"invalid email")</f>
        <v>mohit.verma@company.com</v>
      </c>
      <c r="AA374" t="str">
        <f ca="1">IF(H373="","",IFERROR(DATEDIF(IF(ISNUMBER(H373),H373,DATE(VALUE(RIGHT(H373,4)),VALUE(MID(H373,3,2)),VALUE(LEFT(H373,2)))),TODAY(),"Y"),""))</f>
        <v/>
      </c>
      <c r="AB374" t="str">
        <f>IF(OR(D374="",E374=""),"",IFERROR(DATE(MID(E374,7,4),MID(E374,4,2),LEFT(E374,2))-DATE(MID(D374,7,4),MID(D374,4,2),LEFT(D374,2)),""))</f>
        <v/>
      </c>
      <c r="AC374" t="str">
        <f>IF(E374="","Pending",IF(AB374&lt;=5,"On time","Delayed"))</f>
        <v>Delayed</v>
      </c>
      <c r="AD374" s="29" t="str">
        <f>IF(TRIM(S374)="","Not Assigned",S374)</f>
        <v>Neha</v>
      </c>
      <c r="AE374" t="str">
        <f>PROPER(TRIM(F374))</f>
        <v>Mohit Verma</v>
      </c>
      <c r="AF374" t="str">
        <f>PROPER(TRIM(K374))</f>
        <v>Electronics</v>
      </c>
      <c r="AG374" t="str">
        <f>PROPER(TRIM(J374))</f>
        <v>West</v>
      </c>
      <c r="AH374" t="str">
        <f t="shared" si="10"/>
        <v>Electronics</v>
      </c>
      <c r="AI374" t="str">
        <f t="shared" si="11"/>
        <v>Electronics</v>
      </c>
      <c r="AK374">
        <f>IF(COUNTIF($A$2:A374,A374)=1,1,0)</f>
        <v>1</v>
      </c>
    </row>
    <row r="375" spans="1:37">
      <c r="A375" s="9" t="s">
        <v>984</v>
      </c>
      <c r="B375" s="10" t="s">
        <v>275</v>
      </c>
      <c r="C375" s="10" t="s">
        <v>267</v>
      </c>
      <c r="D375" s="10" t="s">
        <v>183</v>
      </c>
      <c r="E375" s="11">
        <v>46174</v>
      </c>
      <c r="F375" s="10" t="s">
        <v>328</v>
      </c>
      <c r="G375" s="10" t="s">
        <v>269</v>
      </c>
      <c r="H375" s="10" t="s">
        <v>985</v>
      </c>
      <c r="I375" s="10" t="s">
        <v>379</v>
      </c>
      <c r="J375" s="10" t="s">
        <v>21</v>
      </c>
      <c r="K375" s="10" t="s">
        <v>243</v>
      </c>
      <c r="L375" s="10" t="s">
        <v>271</v>
      </c>
      <c r="M375" s="10">
        <v>9</v>
      </c>
      <c r="N375" s="10">
        <v>1200</v>
      </c>
      <c r="O375" s="10">
        <v>15</v>
      </c>
      <c r="P375" s="10">
        <v>9180</v>
      </c>
      <c r="Q375" s="10">
        <v>1</v>
      </c>
      <c r="R375" s="10" t="s">
        <v>277</v>
      </c>
      <c r="S375" s="10" t="s">
        <v>255</v>
      </c>
      <c r="T375" s="10" t="s">
        <v>278</v>
      </c>
      <c r="U375" s="10">
        <v>9450746157</v>
      </c>
      <c r="V375" s="12" t="s">
        <v>248</v>
      </c>
      <c r="W375" t="str">
        <f>IF(OR(Q375&lt;=2,V375="Cancelled"),"Blacklisted",IF(AND(P375&gt;100000,Q375&gt;=4,O375&lt;=10%,V375="Completed"),"Platinum",IF(AND(P375&gt;=50000,Q375&gt;=3,V375="Completed"),"Gold",IF(AND(P375&lt;50000,V375="Completed"),"Silver",""))))</f>
        <v>Blacklisted</v>
      </c>
      <c r="X375" t="str">
        <f>PROPER(TRIM(F375))</f>
        <v>Arjun Rao</v>
      </c>
      <c r="Y375" t="str">
        <f>LEFT(F375,3)&amp;MID(B375,2,3)&amp;LEFT(I375,2)</f>
        <v>Arj007Ko</v>
      </c>
      <c r="Z375" t="str">
        <f>IF(ISNUMBER(SEARCH("@",T375)),LOWER(TRIM(T375)),"invalid email")</f>
        <v>arjun.rao@company.com</v>
      </c>
      <c r="AA375" t="str">
        <f ca="1">IF(H374="","",IFERROR(DATEDIF(IF(ISNUMBER(H374),H374,DATE(VALUE(RIGHT(H374,4)),VALUE(MID(H374,3,2)),VALUE(LEFT(H374,2)))),TODAY(),"Y"),""))</f>
        <v/>
      </c>
      <c r="AB375" t="str">
        <f>IF(OR(D375="",E375=""),"",IFERROR(DATE(MID(E375,7,4),MID(E375,4,2),LEFT(E375,2))-DATE(MID(D375,7,4),MID(D375,4,2),LEFT(D375,2)),""))</f>
        <v/>
      </c>
      <c r="AC375" t="str">
        <f>IF(E375="","Pending",IF(AB375&lt;=5,"On time","Delayed"))</f>
        <v>Delayed</v>
      </c>
      <c r="AD375" s="29" t="str">
        <f>IF(TRIM(S375)="","Not Assigned",S375)</f>
        <v>Ritika</v>
      </c>
      <c r="AE375" t="str">
        <f>PROPER(TRIM(F375))</f>
        <v>Arjun Rao</v>
      </c>
      <c r="AF375" t="str">
        <f>PROPER(TRIM(K375))</f>
        <v>Electronics</v>
      </c>
      <c r="AG375" t="str">
        <f>PROPER(TRIM(J375))</f>
        <v>East</v>
      </c>
      <c r="AH375" t="str">
        <f t="shared" si="10"/>
        <v>Electronics</v>
      </c>
      <c r="AI375" t="str">
        <f t="shared" si="11"/>
        <v>Electronics</v>
      </c>
      <c r="AK375">
        <f>IF(COUNTIF($A$2:A375,A375)=1,1,0)</f>
        <v>1</v>
      </c>
    </row>
    <row r="376" spans="1:37">
      <c r="A376" s="4" t="s">
        <v>986</v>
      </c>
      <c r="B376" s="5" t="s">
        <v>275</v>
      </c>
      <c r="C376" s="5" t="s">
        <v>347</v>
      </c>
      <c r="D376" s="6">
        <v>45667</v>
      </c>
      <c r="E376" s="6">
        <v>45726</v>
      </c>
      <c r="F376" s="5" t="s">
        <v>328</v>
      </c>
      <c r="G376" s="5" t="s">
        <v>269</v>
      </c>
      <c r="H376" s="5" t="s">
        <v>987</v>
      </c>
      <c r="I376" s="5" t="s">
        <v>342</v>
      </c>
      <c r="J376" s="5" t="s">
        <v>261</v>
      </c>
      <c r="K376" s="5" t="s">
        <v>295</v>
      </c>
      <c r="L376" s="5" t="s">
        <v>349</v>
      </c>
      <c r="M376" s="5">
        <v>3</v>
      </c>
      <c r="N376" s="5">
        <v>20</v>
      </c>
      <c r="O376" s="5">
        <v>15</v>
      </c>
      <c r="P376" s="5">
        <v>51</v>
      </c>
      <c r="Q376" s="5">
        <v>3</v>
      </c>
      <c r="R376" s="5" t="s">
        <v>254</v>
      </c>
      <c r="S376" s="5" t="s">
        <v>292</v>
      </c>
      <c r="T376" s="5" t="s">
        <v>278</v>
      </c>
      <c r="U376" s="5">
        <v>9349012570</v>
      </c>
      <c r="V376" s="8" t="s">
        <v>248</v>
      </c>
      <c r="W376" t="str">
        <f>IF(OR(Q376&lt;=2,V376="Cancelled"),"Blacklisted",IF(AND(P376&gt;100000,Q376&gt;=4,O376&lt;=10%,V376="Completed"),"Platinum",IF(AND(P376&gt;=50000,Q376&gt;=3,V376="Completed"),"Gold",IF(AND(P376&lt;50000,V376="Completed"),"Silver",""))))</f>
        <v/>
      </c>
      <c r="X376" t="str">
        <f>PROPER(TRIM(F376))</f>
        <v>Arjun Rao</v>
      </c>
      <c r="Y376" t="str">
        <f>LEFT(F376,3)&amp;MID(B376,2,3)&amp;LEFT(I376,2)</f>
        <v>Arj007Ja</v>
      </c>
      <c r="Z376" t="str">
        <f>IF(ISNUMBER(SEARCH("@",T376)),LOWER(TRIM(T376)),"invalid email")</f>
        <v>arjun.rao@company.com</v>
      </c>
      <c r="AA376" t="str">
        <f ca="1">IF(H375="","",IFERROR(DATEDIF(IF(ISNUMBER(H375),H375,DATE(VALUE(RIGHT(H375,4)),VALUE(MID(H375,3,2)),VALUE(LEFT(H375,2)))),TODAY(),"Y"),""))</f>
        <v/>
      </c>
      <c r="AB376" t="str">
        <f>IF(OR(D376="",E376=""),"",IFERROR(DATE(MID(E376,7,4),MID(E376,4,2),LEFT(E376,2))-DATE(MID(D376,7,4),MID(D376,4,2),LEFT(D376,2)),""))</f>
        <v/>
      </c>
      <c r="AC376" t="str">
        <f>IF(E376="","Pending",IF(AB376&lt;=5,"On time","Delayed"))</f>
        <v>Delayed</v>
      </c>
      <c r="AD376" s="29" t="str">
        <f>IF(TRIM(S376)="","Not Assigned",S376)</f>
        <v>Neha</v>
      </c>
      <c r="AE376" t="str">
        <f>PROPER(TRIM(F376))</f>
        <v>Arjun Rao</v>
      </c>
      <c r="AF376" t="str">
        <f>PROPER(TRIM(K376))</f>
        <v>Stationery</v>
      </c>
      <c r="AG376" t="str">
        <f>PROPER(TRIM(J376))</f>
        <v>North</v>
      </c>
      <c r="AH376" t="str">
        <f t="shared" si="10"/>
        <v>Stationery</v>
      </c>
      <c r="AI376" t="str">
        <f t="shared" si="11"/>
        <v>Stationery</v>
      </c>
      <c r="AK376">
        <f>IF(COUNTIF($A$2:A376,A376)=1,1,0)</f>
        <v>1</v>
      </c>
    </row>
    <row r="377" spans="1:37">
      <c r="A377" s="9" t="s">
        <v>988</v>
      </c>
      <c r="B377" s="10" t="s">
        <v>358</v>
      </c>
      <c r="C377" s="10" t="s">
        <v>236</v>
      </c>
      <c r="D377" s="10" t="s">
        <v>73</v>
      </c>
      <c r="E377" s="10" t="s">
        <v>448</v>
      </c>
      <c r="F377" s="10" t="s">
        <v>359</v>
      </c>
      <c r="G377" s="10" t="s">
        <v>239</v>
      </c>
      <c r="H377" s="10" t="s">
        <v>989</v>
      </c>
      <c r="I377" s="10" t="s">
        <v>260</v>
      </c>
      <c r="J377" s="10" t="s">
        <v>261</v>
      </c>
      <c r="K377" s="10" t="s">
        <v>243</v>
      </c>
      <c r="L377" s="10" t="s">
        <v>244</v>
      </c>
      <c r="M377" s="10">
        <v>8</v>
      </c>
      <c r="N377" s="10">
        <v>55000</v>
      </c>
      <c r="O377" s="10">
        <v>20</v>
      </c>
      <c r="P377" s="10">
        <v>352000</v>
      </c>
      <c r="Q377" s="10">
        <v>5</v>
      </c>
      <c r="R377" s="10" t="s">
        <v>272</v>
      </c>
      <c r="S377" s="10" t="s">
        <v>312</v>
      </c>
      <c r="T377" s="10" t="s">
        <v>360</v>
      </c>
      <c r="U377" s="10">
        <v>9442163790</v>
      </c>
      <c r="V377" s="12" t="s">
        <v>248</v>
      </c>
      <c r="W377" t="str">
        <f>IF(OR(Q377&lt;=2,V377="Cancelled"),"Blacklisted",IF(AND(P377&gt;100000,Q377&gt;=4,O377&lt;=10%,V377="Completed"),"Platinum",IF(AND(P377&gt;=50000,Q377&gt;=3,V377="Completed"),"Gold",IF(AND(P377&lt;50000,V377="Completed"),"Silver",""))))</f>
        <v/>
      </c>
      <c r="X377" t="str">
        <f>PROPER(TRIM(F377))</f>
        <v>Sneha Joshi</v>
      </c>
      <c r="Y377" t="str">
        <f>LEFT(F377,3)&amp;MID(B377,2,3)&amp;LEFT(I377,2)</f>
        <v>Sne006De</v>
      </c>
      <c r="Z377" t="str">
        <f>IF(ISNUMBER(SEARCH("@",T377)),LOWER(TRIM(T377)),"invalid email")</f>
        <v>sneha.joshi@company.com</v>
      </c>
      <c r="AA377" t="str">
        <f ca="1">IF(H376="","",IFERROR(DATEDIF(IF(ISNUMBER(H376),H376,DATE(VALUE(RIGHT(H376,4)),VALUE(MID(H376,3,2)),VALUE(LEFT(H376,2)))),TODAY(),"Y"),""))</f>
        <v/>
      </c>
      <c r="AB377">
        <f>IF(OR(D377="",E377=""),"",IFERROR(DATE(MID(E377,7,4),MID(E377,4,2),LEFT(E377,2))-DATE(MID(D377,7,4),MID(D377,4,2),LEFT(D377,2)),""))</f>
        <v>1</v>
      </c>
      <c r="AC377" t="str">
        <f>IF(E377="","Pending",IF(AB377&lt;=5,"On time","Delayed"))</f>
        <v>On time</v>
      </c>
      <c r="AD377" s="29" t="str">
        <f>IF(TRIM(S377)="","Not Assigned",S377)</f>
        <v>Karan</v>
      </c>
      <c r="AE377" t="str">
        <f>PROPER(TRIM(F377))</f>
        <v>Sneha Joshi</v>
      </c>
      <c r="AF377" t="str">
        <f>PROPER(TRIM(K377))</f>
        <v>Electronics</v>
      </c>
      <c r="AG377" t="str">
        <f>PROPER(TRIM(J377))</f>
        <v>North</v>
      </c>
      <c r="AH377" t="str">
        <f t="shared" si="10"/>
        <v>Electronics</v>
      </c>
      <c r="AI377" t="str">
        <f t="shared" si="11"/>
        <v>Electronics</v>
      </c>
      <c r="AK377">
        <f>IF(COUNTIF($A$2:A377,A377)=1,1,0)</f>
        <v>1</v>
      </c>
    </row>
    <row r="378" spans="1:37">
      <c r="A378" s="4" t="s">
        <v>990</v>
      </c>
      <c r="B378" s="5" t="s">
        <v>358</v>
      </c>
      <c r="C378" s="5" t="s">
        <v>294</v>
      </c>
      <c r="D378" s="5" t="s">
        <v>190</v>
      </c>
      <c r="E378" s="6">
        <v>45848</v>
      </c>
      <c r="F378" s="5" t="s">
        <v>359</v>
      </c>
      <c r="G378" s="5" t="s">
        <v>239</v>
      </c>
      <c r="H378" s="5" t="s">
        <v>991</v>
      </c>
      <c r="I378" s="5" t="s">
        <v>260</v>
      </c>
      <c r="J378" s="5" t="s">
        <v>261</v>
      </c>
      <c r="K378" s="5" t="s">
        <v>295</v>
      </c>
      <c r="L378" s="5" t="s">
        <v>296</v>
      </c>
      <c r="M378" s="5">
        <v>17</v>
      </c>
      <c r="N378" s="5">
        <v>60</v>
      </c>
      <c r="O378" s="5">
        <v>20</v>
      </c>
      <c r="P378" s="5">
        <v>816</v>
      </c>
      <c r="Q378" s="5">
        <v>1</v>
      </c>
      <c r="R378" s="5" t="s">
        <v>277</v>
      </c>
      <c r="S378" s="5" t="s">
        <v>255</v>
      </c>
      <c r="T378" s="5" t="s">
        <v>360</v>
      </c>
      <c r="U378" s="5">
        <v>9953329223</v>
      </c>
      <c r="V378" s="8" t="s">
        <v>248</v>
      </c>
      <c r="W378" t="str">
        <f>IF(OR(Q378&lt;=2,V378="Cancelled"),"Blacklisted",IF(AND(P378&gt;100000,Q378&gt;=4,O378&lt;=10%,V378="Completed"),"Platinum",IF(AND(P378&gt;=50000,Q378&gt;=3,V378="Completed"),"Gold",IF(AND(P378&lt;50000,V378="Completed"),"Silver",""))))</f>
        <v>Blacklisted</v>
      </c>
      <c r="X378" t="str">
        <f>PROPER(TRIM(F378))</f>
        <v>Sneha Joshi</v>
      </c>
      <c r="Y378" t="str">
        <f>LEFT(F378,3)&amp;MID(B378,2,3)&amp;LEFT(I378,2)</f>
        <v>Sne006De</v>
      </c>
      <c r="Z378" t="str">
        <f>IF(ISNUMBER(SEARCH("@",T378)),LOWER(TRIM(T378)),"invalid email")</f>
        <v>sneha.joshi@company.com</v>
      </c>
      <c r="AA378" t="str">
        <f ca="1">IF(H377="","",IFERROR(DATEDIF(IF(ISNUMBER(H377),H377,DATE(VALUE(RIGHT(H377,4)),VALUE(MID(H377,3,2)),VALUE(LEFT(H377,2)))),TODAY(),"Y"),""))</f>
        <v/>
      </c>
      <c r="AB378" t="str">
        <f>IF(OR(D378="",E378=""),"",IFERROR(DATE(MID(E378,7,4),MID(E378,4,2),LEFT(E378,2))-DATE(MID(D378,7,4),MID(D378,4,2),LEFT(D378,2)),""))</f>
        <v/>
      </c>
      <c r="AC378" t="str">
        <f>IF(E378="","Pending",IF(AB378&lt;=5,"On time","Delayed"))</f>
        <v>Delayed</v>
      </c>
      <c r="AD378" s="29" t="str">
        <f>IF(TRIM(S378)="","Not Assigned",S378)</f>
        <v>Ritika</v>
      </c>
      <c r="AE378" t="str">
        <f>PROPER(TRIM(F378))</f>
        <v>Sneha Joshi</v>
      </c>
      <c r="AF378" t="str">
        <f>PROPER(TRIM(K378))</f>
        <v>Stationery</v>
      </c>
      <c r="AG378" t="str">
        <f>PROPER(TRIM(J378))</f>
        <v>North</v>
      </c>
      <c r="AH378" t="str">
        <f t="shared" si="10"/>
        <v>Stationery</v>
      </c>
      <c r="AI378" t="str">
        <f t="shared" si="11"/>
        <v>Stationery</v>
      </c>
      <c r="AK378">
        <f>IF(COUNTIF($A$2:A378,A378)=1,1,0)</f>
        <v>1</v>
      </c>
    </row>
    <row r="379" spans="1:37">
      <c r="A379" s="9" t="s">
        <v>992</v>
      </c>
      <c r="B379" s="10" t="s">
        <v>299</v>
      </c>
      <c r="C379" s="10" t="s">
        <v>347</v>
      </c>
      <c r="D379" s="10" t="s">
        <v>27</v>
      </c>
      <c r="E379" s="10" t="s">
        <v>112</v>
      </c>
      <c r="F379" s="10" t="s">
        <v>301</v>
      </c>
      <c r="G379" s="10" t="s">
        <v>269</v>
      </c>
      <c r="H379" s="11">
        <v>30957</v>
      </c>
      <c r="I379" s="10" t="s">
        <v>241</v>
      </c>
      <c r="J379" s="10" t="s">
        <v>242</v>
      </c>
      <c r="K379" s="10" t="s">
        <v>295</v>
      </c>
      <c r="L379" s="10" t="s">
        <v>349</v>
      </c>
      <c r="M379" s="10">
        <v>4</v>
      </c>
      <c r="N379" s="10">
        <v>20</v>
      </c>
      <c r="O379" s="10">
        <v>15</v>
      </c>
      <c r="P379" s="10">
        <v>68</v>
      </c>
      <c r="Q379" s="10">
        <v>3</v>
      </c>
      <c r="R379" s="10" t="s">
        <v>245</v>
      </c>
      <c r="S379" s="10" t="s">
        <v>246</v>
      </c>
      <c r="T379" s="10" t="s">
        <v>302</v>
      </c>
      <c r="U379" s="10">
        <v>9202321359</v>
      </c>
      <c r="V379" s="12" t="s">
        <v>248</v>
      </c>
      <c r="W379" t="str">
        <f>IF(OR(Q379&lt;=2,V379="Cancelled"),"Blacklisted",IF(AND(P379&gt;100000,Q379&gt;=4,O379&lt;=10%,V379="Completed"),"Platinum",IF(AND(P379&gt;=50000,Q379&gt;=3,V379="Completed"),"Gold",IF(AND(P379&lt;50000,V379="Completed"),"Silver",""))))</f>
        <v/>
      </c>
      <c r="X379" t="str">
        <f>PROPER(TRIM(F379))</f>
        <v>Rohit Singh</v>
      </c>
      <c r="Y379" t="str">
        <f>LEFT(F379,3)&amp;MID(B379,2,3)&amp;LEFT(I379,2)</f>
        <v>Roh003Be</v>
      </c>
      <c r="Z379" t="str">
        <f>IF(ISNUMBER(SEARCH("@",T379)),LOWER(TRIM(T379)),"invalid email")</f>
        <v>rohit.singh@company.com</v>
      </c>
      <c r="AA379" t="str">
        <f ca="1">IF(H378="","",IFERROR(DATEDIF(IF(ISNUMBER(H378),H378,DATE(VALUE(RIGHT(H378,4)),VALUE(MID(H378,3,2)),VALUE(LEFT(H378,2)))),TODAY(),"Y"),""))</f>
        <v/>
      </c>
      <c r="AB379">
        <f>IF(OR(D379="",E379=""),"",IFERROR(DATE(MID(E379,7,4),MID(E379,4,2),LEFT(E379,2))-DATE(MID(D379,7,4),MID(D379,4,2),LEFT(D379,2)),""))</f>
        <v>8</v>
      </c>
      <c r="AC379" t="str">
        <f>IF(E379="","Pending",IF(AB379&lt;=5,"On time","Delayed"))</f>
        <v>Delayed</v>
      </c>
      <c r="AD379" s="29" t="str">
        <f>IF(TRIM(S379)="","Not Assigned",S379)</f>
        <v>Aisha</v>
      </c>
      <c r="AE379" t="str">
        <f>PROPER(TRIM(F379))</f>
        <v>Rohit Singh</v>
      </c>
      <c r="AF379" t="str">
        <f>PROPER(TRIM(K379))</f>
        <v>Stationery</v>
      </c>
      <c r="AG379" t="str">
        <f>PROPER(TRIM(J379))</f>
        <v>South</v>
      </c>
      <c r="AH379" t="str">
        <f t="shared" si="10"/>
        <v>Stationery</v>
      </c>
      <c r="AI379" t="str">
        <f t="shared" si="11"/>
        <v>Stationery</v>
      </c>
      <c r="AK379">
        <f>IF(COUNTIF($A$2:A379,A379)=1,1,0)</f>
        <v>1</v>
      </c>
    </row>
    <row r="380" spans="1:37">
      <c r="A380" s="4" t="s">
        <v>993</v>
      </c>
      <c r="B380" s="5" t="s">
        <v>299</v>
      </c>
      <c r="C380" s="5" t="s">
        <v>250</v>
      </c>
      <c r="D380" s="6">
        <v>45661</v>
      </c>
      <c r="E380" s="6">
        <v>45965</v>
      </c>
      <c r="F380" s="5" t="s">
        <v>301</v>
      </c>
      <c r="G380" s="5" t="s">
        <v>269</v>
      </c>
      <c r="H380" s="6">
        <v>37291</v>
      </c>
      <c r="I380" s="5" t="s">
        <v>379</v>
      </c>
      <c r="J380" s="5" t="s">
        <v>21</v>
      </c>
      <c r="K380" s="5" t="s">
        <v>15</v>
      </c>
      <c r="L380" s="5" t="s">
        <v>253</v>
      </c>
      <c r="M380" s="5">
        <v>2</v>
      </c>
      <c r="N380" s="5">
        <v>2200</v>
      </c>
      <c r="O380" s="5">
        <v>10</v>
      </c>
      <c r="P380" s="5">
        <v>3960</v>
      </c>
      <c r="Q380" s="5">
        <v>2</v>
      </c>
      <c r="R380" s="5" t="s">
        <v>277</v>
      </c>
      <c r="S380" s="5" t="s">
        <v>263</v>
      </c>
      <c r="T380" s="5" t="s">
        <v>302</v>
      </c>
      <c r="U380" s="5">
        <v>9812564160</v>
      </c>
      <c r="V380" s="8" t="s">
        <v>248</v>
      </c>
      <c r="W380" t="str">
        <f>IF(OR(Q380&lt;=2,V380="Cancelled"),"Blacklisted",IF(AND(P380&gt;100000,Q380&gt;=4,O380&lt;=10%,V380="Completed"),"Platinum",IF(AND(P380&gt;=50000,Q380&gt;=3,V380="Completed"),"Gold",IF(AND(P380&lt;50000,V380="Completed"),"Silver",""))))</f>
        <v>Blacklisted</v>
      </c>
      <c r="X380" t="str">
        <f>PROPER(TRIM(F380))</f>
        <v>Rohit Singh</v>
      </c>
      <c r="Y380" t="str">
        <f>LEFT(F380,3)&amp;MID(B380,2,3)&amp;LEFT(I380,2)</f>
        <v>Roh003Ko</v>
      </c>
      <c r="Z380" t="str">
        <f>IF(ISNUMBER(SEARCH("@",T380)),LOWER(TRIM(T380)),"invalid email")</f>
        <v>rohit.singh@company.com</v>
      </c>
      <c r="AA380">
        <f ca="1">IF(H379="","",IFERROR(DATEDIF(IF(ISNUMBER(H379),H379,DATE(VALUE(RIGHT(H379,4)),VALUE(MID(H379,3,2)),VALUE(LEFT(H379,2)))),TODAY(),"Y"),""))</f>
        <v>42</v>
      </c>
      <c r="AB380" t="str">
        <f>IF(OR(D380="",E380=""),"",IFERROR(DATE(MID(E380,7,4),MID(E380,4,2),LEFT(E380,2))-DATE(MID(D380,7,4),MID(D380,4,2),LEFT(D380,2)),""))</f>
        <v/>
      </c>
      <c r="AC380" t="str">
        <f>IF(E380="","Pending",IF(AB380&lt;=5,"On time","Delayed"))</f>
        <v>Delayed</v>
      </c>
      <c r="AD380" s="29" t="str">
        <f>IF(TRIM(S380)="","Not Assigned",S380)</f>
        <v>Rahul</v>
      </c>
      <c r="AE380" t="str">
        <f>PROPER(TRIM(F380))</f>
        <v>Rohit Singh</v>
      </c>
      <c r="AF380" t="str">
        <f>PROPER(TRIM(K380))</f>
        <v>Home Appliances</v>
      </c>
      <c r="AG380" t="str">
        <f>PROPER(TRIM(J380))</f>
        <v>East</v>
      </c>
      <c r="AH380" t="str">
        <f t="shared" si="10"/>
        <v>Home Appliances</v>
      </c>
      <c r="AI380" t="str">
        <f t="shared" si="11"/>
        <v>Home Appliances</v>
      </c>
      <c r="AK380">
        <f>IF(COUNTIF($A$2:A380,A380)=1,1,0)</f>
        <v>1</v>
      </c>
    </row>
    <row r="381" spans="1:37">
      <c r="A381" s="9" t="s">
        <v>994</v>
      </c>
      <c r="B381" s="10" t="s">
        <v>346</v>
      </c>
      <c r="C381" s="10" t="s">
        <v>294</v>
      </c>
      <c r="D381" s="11">
        <v>45842</v>
      </c>
      <c r="E381" s="10" t="s">
        <v>67</v>
      </c>
      <c r="F381" s="10" t="s">
        <v>348</v>
      </c>
      <c r="G381" s="10" t="s">
        <v>269</v>
      </c>
      <c r="H381" s="10" t="s">
        <v>995</v>
      </c>
      <c r="I381" s="10" t="s">
        <v>241</v>
      </c>
      <c r="J381" s="10" t="s">
        <v>242</v>
      </c>
      <c r="K381" s="10" t="s">
        <v>295</v>
      </c>
      <c r="L381" s="10" t="s">
        <v>296</v>
      </c>
      <c r="M381" s="10">
        <v>5</v>
      </c>
      <c r="N381" s="10">
        <v>60</v>
      </c>
      <c r="O381" s="10">
        <v>5</v>
      </c>
      <c r="P381" s="10">
        <v>285</v>
      </c>
      <c r="Q381" s="10">
        <v>1</v>
      </c>
      <c r="R381" s="10" t="s">
        <v>277</v>
      </c>
      <c r="S381" s="10" t="s">
        <v>255</v>
      </c>
      <c r="T381" s="10" t="s">
        <v>350</v>
      </c>
      <c r="U381" s="10">
        <v>9688458222</v>
      </c>
      <c r="V381" s="12" t="s">
        <v>265</v>
      </c>
      <c r="W381" t="str">
        <f>IF(OR(Q381&lt;=2,V381="Cancelled"),"Blacklisted",IF(AND(P381&gt;100000,Q381&gt;=4,O381&lt;=10%,V381="Completed"),"Platinum",IF(AND(P381&gt;=50000,Q381&gt;=3,V381="Completed"),"Gold",IF(AND(P381&lt;50000,V381="Completed"),"Silver",""))))</f>
        <v>Blacklisted</v>
      </c>
      <c r="X381" t="str">
        <f>PROPER(TRIM(F381))</f>
        <v>Vikas Mehta</v>
      </c>
      <c r="Y381" t="str">
        <f>LEFT(F381,3)&amp;MID(B381,2,3)&amp;LEFT(I381,2)</f>
        <v>Vik005Be</v>
      </c>
      <c r="Z381" t="str">
        <f>IF(ISNUMBER(SEARCH("@",T381)),LOWER(TRIM(T381)),"invalid email")</f>
        <v>vikas.mehta@company.com</v>
      </c>
      <c r="AA381">
        <f ca="1">IF(H380="","",IFERROR(DATEDIF(IF(ISNUMBER(H380),H380,DATE(VALUE(RIGHT(H380,4)),VALUE(MID(H380,3,2)),VALUE(LEFT(H380,2)))),TODAY(),"Y"),""))</f>
        <v>24</v>
      </c>
      <c r="AB381" t="str">
        <f>IF(OR(D381="",E381=""),"",IFERROR(DATE(MID(E381,7,4),MID(E381,4,2),LEFT(E381,2))-DATE(MID(D381,7,4),MID(D381,4,2),LEFT(D381,2)),""))</f>
        <v/>
      </c>
      <c r="AC381" t="str">
        <f>IF(E381="","Pending",IF(AB381&lt;=5,"On time","Delayed"))</f>
        <v>Delayed</v>
      </c>
      <c r="AD381" s="29" t="str">
        <f>IF(TRIM(S381)="","Not Assigned",S381)</f>
        <v>Ritika</v>
      </c>
      <c r="AE381" t="str">
        <f>PROPER(TRIM(F381))</f>
        <v>Vikas Mehta</v>
      </c>
      <c r="AF381" t="str">
        <f>PROPER(TRIM(K381))</f>
        <v>Stationery</v>
      </c>
      <c r="AG381" t="str">
        <f>PROPER(TRIM(J381))</f>
        <v>South</v>
      </c>
      <c r="AH381" t="str">
        <f t="shared" si="10"/>
        <v>Stationery</v>
      </c>
      <c r="AI381" t="str">
        <f t="shared" si="11"/>
        <v>Stationery</v>
      </c>
      <c r="AK381">
        <f>IF(COUNTIF($A$2:A381,A381)=1,1,0)</f>
        <v>1</v>
      </c>
    </row>
    <row r="382" spans="1:37">
      <c r="A382" s="4" t="s">
        <v>996</v>
      </c>
      <c r="B382" s="5" t="s">
        <v>299</v>
      </c>
      <c r="C382" s="5" t="s">
        <v>250</v>
      </c>
      <c r="D382" s="5" t="s">
        <v>76</v>
      </c>
      <c r="E382" s="5" t="s">
        <v>997</v>
      </c>
      <c r="F382" s="5" t="s">
        <v>301</v>
      </c>
      <c r="G382" s="5" t="s">
        <v>269</v>
      </c>
      <c r="H382" s="6">
        <v>33399</v>
      </c>
      <c r="I382" s="5" t="s">
        <v>260</v>
      </c>
      <c r="J382" s="5" t="s">
        <v>261</v>
      </c>
      <c r="K382" s="5" t="s">
        <v>15</v>
      </c>
      <c r="L382" s="5" t="s">
        <v>253</v>
      </c>
      <c r="M382" s="5">
        <v>17</v>
      </c>
      <c r="N382" s="5">
        <v>2200</v>
      </c>
      <c r="O382" s="5">
        <v>0</v>
      </c>
      <c r="P382" s="5">
        <v>37400</v>
      </c>
      <c r="Q382" s="5">
        <v>2</v>
      </c>
      <c r="R382" s="5" t="s">
        <v>277</v>
      </c>
      <c r="S382" s="5" t="s">
        <v>312</v>
      </c>
      <c r="T382" s="5" t="s">
        <v>302</v>
      </c>
      <c r="U382" s="5">
        <v>9634473337</v>
      </c>
      <c r="V382" s="8" t="s">
        <v>265</v>
      </c>
      <c r="W382" t="str">
        <f>IF(OR(Q382&lt;=2,V382="Cancelled"),"Blacklisted",IF(AND(P382&gt;100000,Q382&gt;=4,O382&lt;=10%,V382="Completed"),"Platinum",IF(AND(P382&gt;=50000,Q382&gt;=3,V382="Completed"),"Gold",IF(AND(P382&lt;50000,V382="Completed"),"Silver",""))))</f>
        <v>Blacklisted</v>
      </c>
      <c r="X382" t="str">
        <f>PROPER(TRIM(F382))</f>
        <v>Rohit Singh</v>
      </c>
      <c r="Y382" t="str">
        <f>LEFT(F382,3)&amp;MID(B382,2,3)&amp;LEFT(I382,2)</f>
        <v>Roh003De</v>
      </c>
      <c r="Z382" t="str">
        <f>IF(ISNUMBER(SEARCH("@",T382)),LOWER(TRIM(T382)),"invalid email")</f>
        <v>rohit.singh@company.com</v>
      </c>
      <c r="AA382" t="str">
        <f ca="1">IF(H381="","",IFERROR(DATEDIF(IF(ISNUMBER(H381),H381,DATE(VALUE(RIGHT(H381,4)),VALUE(MID(H381,3,2)),VALUE(LEFT(H381,2)))),TODAY(),"Y"),""))</f>
        <v/>
      </c>
      <c r="AB382">
        <f>IF(OR(D382="",E382=""),"",IFERROR(DATE(MID(E382,7,4),MID(E382,4,2),LEFT(E382,2))-DATE(MID(D382,7,4),MID(D382,4,2),LEFT(D382,2)),""))</f>
        <v>4</v>
      </c>
      <c r="AC382" t="str">
        <f>IF(E382="","Pending",IF(AB382&lt;=5,"On time","Delayed"))</f>
        <v>On time</v>
      </c>
      <c r="AD382" s="29" t="str">
        <f>IF(TRIM(S382)="","Not Assigned",S382)</f>
        <v>Karan</v>
      </c>
      <c r="AE382" t="str">
        <f>PROPER(TRIM(F382))</f>
        <v>Rohit Singh</v>
      </c>
      <c r="AF382" t="str">
        <f>PROPER(TRIM(K382))</f>
        <v>Home Appliances</v>
      </c>
      <c r="AG382" t="str">
        <f>PROPER(TRIM(J382))</f>
        <v>North</v>
      </c>
      <c r="AH382" t="str">
        <f t="shared" si="10"/>
        <v>Home Appliances</v>
      </c>
      <c r="AI382" t="str">
        <f t="shared" si="11"/>
        <v>Home Appliances</v>
      </c>
      <c r="AK382">
        <f>IF(COUNTIF($A$2:A382,A382)=1,1,0)</f>
        <v>1</v>
      </c>
    </row>
    <row r="383" spans="1:37">
      <c r="A383" s="9" t="s">
        <v>998</v>
      </c>
      <c r="B383" s="10" t="s">
        <v>321</v>
      </c>
      <c r="C383" s="10" t="s">
        <v>294</v>
      </c>
      <c r="D383" s="11">
        <v>45759</v>
      </c>
      <c r="E383" s="11">
        <v>45973</v>
      </c>
      <c r="F383" s="10" t="s">
        <v>408</v>
      </c>
      <c r="G383" s="10" t="s">
        <v>239</v>
      </c>
      <c r="H383" s="11">
        <v>30803</v>
      </c>
      <c r="I383" s="10" t="s">
        <v>306</v>
      </c>
      <c r="J383" s="10" t="s">
        <v>287</v>
      </c>
      <c r="K383" s="10" t="s">
        <v>295</v>
      </c>
      <c r="L383" s="10" t="s">
        <v>296</v>
      </c>
      <c r="M383" s="10">
        <v>7</v>
      </c>
      <c r="N383" s="10">
        <v>60</v>
      </c>
      <c r="O383" s="10">
        <v>0</v>
      </c>
      <c r="P383" s="10">
        <v>420</v>
      </c>
      <c r="Q383" s="10">
        <v>2</v>
      </c>
      <c r="R383" s="10" t="s">
        <v>277</v>
      </c>
      <c r="S383" s="10" t="s">
        <v>246</v>
      </c>
      <c r="T383" s="10" t="s">
        <v>326</v>
      </c>
      <c r="U383" s="10">
        <v>9608737026</v>
      </c>
      <c r="V383" s="12" t="s">
        <v>248</v>
      </c>
      <c r="W383" t="str">
        <f>IF(OR(Q383&lt;=2,V383="Cancelled"),"Blacklisted",IF(AND(P383&gt;100000,Q383&gt;=4,O383&lt;=10%,V383="Completed"),"Platinum",IF(AND(P383&gt;=50000,Q383&gt;=3,V383="Completed"),"Gold",IF(AND(P383&lt;50000,V383="Completed"),"Silver",""))))</f>
        <v>Blacklisted</v>
      </c>
      <c r="X383" t="str">
        <f>PROPER(TRIM(F383))</f>
        <v>Anita Gupta</v>
      </c>
      <c r="Y383" t="str">
        <f>LEFT(F383,3)&amp;MID(B383,2,3)&amp;LEFT(I383,2)</f>
        <v>Ani004Ah</v>
      </c>
      <c r="Z383" t="str">
        <f>IF(ISNUMBER(SEARCH("@",T383)),LOWER(TRIM(T383)),"invalid email")</f>
        <v>anita.gupta@company.com</v>
      </c>
      <c r="AA383">
        <f ca="1">IF(H382="","",IFERROR(DATEDIF(IF(ISNUMBER(H382),H382,DATE(VALUE(RIGHT(H382,4)),VALUE(MID(H382,3,2)),VALUE(LEFT(H382,2)))),TODAY(),"Y"),""))</f>
        <v>35</v>
      </c>
      <c r="AB383" t="str">
        <f>IF(OR(D383="",E383=""),"",IFERROR(DATE(MID(E383,7,4),MID(E383,4,2),LEFT(E383,2))-DATE(MID(D383,7,4),MID(D383,4,2),LEFT(D383,2)),""))</f>
        <v/>
      </c>
      <c r="AC383" t="str">
        <f>IF(E383="","Pending",IF(AB383&lt;=5,"On time","Delayed"))</f>
        <v>Delayed</v>
      </c>
      <c r="AD383" s="29" t="str">
        <f>IF(TRIM(S383)="","Not Assigned",S383)</f>
        <v>Aisha</v>
      </c>
      <c r="AE383" t="str">
        <f>PROPER(TRIM(F383))</f>
        <v>Anita Gupta</v>
      </c>
      <c r="AF383" t="str">
        <f>PROPER(TRIM(K383))</f>
        <v>Stationery</v>
      </c>
      <c r="AG383" t="str">
        <f>PROPER(TRIM(J383))</f>
        <v>West</v>
      </c>
      <c r="AH383" t="str">
        <f t="shared" si="10"/>
        <v>Stationery</v>
      </c>
      <c r="AI383" t="str">
        <f t="shared" si="11"/>
        <v>Stationery</v>
      </c>
      <c r="AK383">
        <f>IF(COUNTIF($A$2:A383,A383)=1,1,0)</f>
        <v>1</v>
      </c>
    </row>
    <row r="384" spans="1:37">
      <c r="A384" s="4" t="s">
        <v>999</v>
      </c>
      <c r="B384" s="5" t="s">
        <v>346</v>
      </c>
      <c r="C384" s="5" t="s">
        <v>236</v>
      </c>
      <c r="D384" s="5" t="s">
        <v>95</v>
      </c>
      <c r="E384" s="5" t="s">
        <v>1000</v>
      </c>
      <c r="F384" s="5" t="s">
        <v>348</v>
      </c>
      <c r="G384" s="5" t="s">
        <v>269</v>
      </c>
      <c r="H384" s="6">
        <v>27731</v>
      </c>
      <c r="I384" s="5" t="s">
        <v>252</v>
      </c>
      <c r="J384" s="5" t="s">
        <v>242</v>
      </c>
      <c r="K384" s="5" t="s">
        <v>243</v>
      </c>
      <c r="L384" s="5" t="s">
        <v>244</v>
      </c>
      <c r="M384" s="5">
        <v>6</v>
      </c>
      <c r="N384" s="5">
        <v>55000</v>
      </c>
      <c r="O384" s="5">
        <v>5</v>
      </c>
      <c r="P384" s="5">
        <v>313500</v>
      </c>
      <c r="Q384" s="5">
        <v>4</v>
      </c>
      <c r="R384" s="5" t="s">
        <v>272</v>
      </c>
      <c r="S384" s="5" t="s">
        <v>246</v>
      </c>
      <c r="T384" s="5" t="s">
        <v>350</v>
      </c>
      <c r="U384" s="5">
        <v>9804498139</v>
      </c>
      <c r="V384" s="8" t="s">
        <v>257</v>
      </c>
      <c r="W384" t="str">
        <f>IF(OR(Q384&lt;=2,V384="Cancelled"),"Blacklisted",IF(AND(P384&gt;100000,Q384&gt;=4,O384&lt;=10%,V384="Completed"),"Platinum",IF(AND(P384&gt;=50000,Q384&gt;=3,V384="Completed"),"Gold",IF(AND(P384&lt;50000,V384="Completed"),"Silver",""))))</f>
        <v>Gold</v>
      </c>
      <c r="X384" t="str">
        <f>PROPER(TRIM(F384))</f>
        <v>Vikas Mehta</v>
      </c>
      <c r="Y384" t="str">
        <f>LEFT(F384,3)&amp;MID(B384,2,3)&amp;LEFT(I384,2)</f>
        <v>Vik005Hy</v>
      </c>
      <c r="Z384" t="str">
        <f>IF(ISNUMBER(SEARCH("@",T384)),LOWER(TRIM(T384)),"invalid email")</f>
        <v>vikas.mehta@company.com</v>
      </c>
      <c r="AA384">
        <f ca="1">IF(H383="","",IFERROR(DATEDIF(IF(ISNUMBER(H383),H383,DATE(VALUE(RIGHT(H383,4)),VALUE(MID(H383,3,2)),VALUE(LEFT(H383,2)))),TODAY(),"Y"),""))</f>
        <v>42</v>
      </c>
      <c r="AB384">
        <f>IF(OR(D384="",E384=""),"",IFERROR(DATE(MID(E384,7,4),MID(E384,4,2),LEFT(E384,2))-DATE(MID(D384,7,4),MID(D384,4,2),LEFT(D384,2)),""))</f>
        <v>4</v>
      </c>
      <c r="AC384" t="str">
        <f>IF(E384="","Pending",IF(AB384&lt;=5,"On time","Delayed"))</f>
        <v>On time</v>
      </c>
      <c r="AD384" s="29" t="str">
        <f>IF(TRIM(S384)="","Not Assigned",S384)</f>
        <v>Aisha</v>
      </c>
      <c r="AE384" t="str">
        <f>PROPER(TRIM(F384))</f>
        <v>Vikas Mehta</v>
      </c>
      <c r="AF384" t="str">
        <f>PROPER(TRIM(K384))</f>
        <v>Electronics</v>
      </c>
      <c r="AG384" t="str">
        <f>PROPER(TRIM(J384))</f>
        <v>South</v>
      </c>
      <c r="AH384" t="str">
        <f t="shared" si="10"/>
        <v>Electronics</v>
      </c>
      <c r="AI384" t="str">
        <f t="shared" si="11"/>
        <v>Electronics</v>
      </c>
      <c r="AK384">
        <f>IF(COUNTIF($A$2:A384,A384)=1,1,0)</f>
        <v>1</v>
      </c>
    </row>
    <row r="385" spans="1:37">
      <c r="A385" s="9" t="s">
        <v>1001</v>
      </c>
      <c r="B385" s="10" t="s">
        <v>266</v>
      </c>
      <c r="C385" s="10" t="s">
        <v>347</v>
      </c>
      <c r="D385" s="10" t="s">
        <v>97</v>
      </c>
      <c r="E385" s="10" t="s">
        <v>1002</v>
      </c>
      <c r="F385" s="10" t="s">
        <v>268</v>
      </c>
      <c r="G385" s="10" t="s">
        <v>269</v>
      </c>
      <c r="H385" s="10" t="s">
        <v>1003</v>
      </c>
      <c r="I385" s="10" t="s">
        <v>252</v>
      </c>
      <c r="J385" s="10" t="s">
        <v>242</v>
      </c>
      <c r="K385" s="10" t="s">
        <v>295</v>
      </c>
      <c r="L385" s="10" t="s">
        <v>349</v>
      </c>
      <c r="M385" s="10">
        <v>16</v>
      </c>
      <c r="N385" s="10">
        <v>20</v>
      </c>
      <c r="O385" s="10">
        <v>5</v>
      </c>
      <c r="P385" s="10">
        <v>304</v>
      </c>
      <c r="Q385" s="10">
        <v>1</v>
      </c>
      <c r="R385" s="10" t="s">
        <v>272</v>
      </c>
      <c r="S385" s="10" t="s">
        <v>263</v>
      </c>
      <c r="T385" s="10" t="s">
        <v>273</v>
      </c>
      <c r="U385" s="10">
        <v>9798643580</v>
      </c>
      <c r="V385" s="12" t="s">
        <v>257</v>
      </c>
      <c r="W385" t="str">
        <f>IF(OR(Q385&lt;=2,V385="Cancelled"),"Blacklisted",IF(AND(P385&gt;100000,Q385&gt;=4,O385&lt;=10%,V385="Completed"),"Platinum",IF(AND(P385&gt;=50000,Q385&gt;=3,V385="Completed"),"Gold",IF(AND(P385&lt;50000,V385="Completed"),"Silver",""))))</f>
        <v>Blacklisted</v>
      </c>
      <c r="X385" t="str">
        <f>PROPER(TRIM(F385))</f>
        <v>Mohit Verma</v>
      </c>
      <c r="Y385" t="str">
        <f>LEFT(F385,3)&amp;MID(B385,2,3)&amp;LEFT(I385,2)</f>
        <v>Moh009Hy</v>
      </c>
      <c r="Z385" t="str">
        <f>IF(ISNUMBER(SEARCH("@",T385)),LOWER(TRIM(T385)),"invalid email")</f>
        <v>mohit.verma@company.com</v>
      </c>
      <c r="AA385">
        <f ca="1">IF(H384="","",IFERROR(DATEDIF(IF(ISNUMBER(H384),H384,DATE(VALUE(RIGHT(H384,4)),VALUE(MID(H384,3,2)),VALUE(LEFT(H384,2)))),TODAY(),"Y"),""))</f>
        <v>50</v>
      </c>
      <c r="AB385">
        <f>IF(OR(D385="",E385=""),"",IFERROR(DATE(MID(E385,7,4),MID(E385,4,2),LEFT(E385,2))-DATE(MID(D385,7,4),MID(D385,4,2),LEFT(D385,2)),""))</f>
        <v>4</v>
      </c>
      <c r="AC385" t="str">
        <f>IF(E385="","Pending",IF(AB385&lt;=5,"On time","Delayed"))</f>
        <v>On time</v>
      </c>
      <c r="AD385" s="29" t="str">
        <f>IF(TRIM(S385)="","Not Assigned",S385)</f>
        <v>Rahul</v>
      </c>
      <c r="AE385" t="str">
        <f>PROPER(TRIM(F385))</f>
        <v>Mohit Verma</v>
      </c>
      <c r="AF385" t="str">
        <f>PROPER(TRIM(K385))</f>
        <v>Stationery</v>
      </c>
      <c r="AG385" t="str">
        <f>PROPER(TRIM(J385))</f>
        <v>South</v>
      </c>
      <c r="AH385" t="str">
        <f t="shared" si="10"/>
        <v>Stationery</v>
      </c>
      <c r="AI385" t="str">
        <f t="shared" si="11"/>
        <v>Stationery</v>
      </c>
      <c r="AK385">
        <f>IF(COUNTIF($A$2:A385,A385)=1,1,0)</f>
        <v>1</v>
      </c>
    </row>
    <row r="386" spans="1:37">
      <c r="A386" s="4" t="s">
        <v>1004</v>
      </c>
      <c r="B386" s="5" t="s">
        <v>249</v>
      </c>
      <c r="C386" s="5" t="s">
        <v>250</v>
      </c>
      <c r="D386" s="5" t="s">
        <v>137</v>
      </c>
      <c r="E386" s="5" t="s">
        <v>173</v>
      </c>
      <c r="F386" s="5" t="s">
        <v>251</v>
      </c>
      <c r="G386" s="5" t="s">
        <v>239</v>
      </c>
      <c r="H386" s="5" t="s">
        <v>1005</v>
      </c>
      <c r="I386" s="5" t="s">
        <v>379</v>
      </c>
      <c r="J386" s="5" t="s">
        <v>21</v>
      </c>
      <c r="K386" s="5" t="s">
        <v>15</v>
      </c>
      <c r="L386" s="5" t="s">
        <v>253</v>
      </c>
      <c r="M386" s="5">
        <v>11</v>
      </c>
      <c r="N386" s="5">
        <v>2200</v>
      </c>
      <c r="O386" s="5">
        <v>15</v>
      </c>
      <c r="P386" s="5">
        <v>20570</v>
      </c>
      <c r="Q386" s="5">
        <v>1</v>
      </c>
      <c r="R386" s="5" t="s">
        <v>245</v>
      </c>
      <c r="S386" s="5" t="s">
        <v>292</v>
      </c>
      <c r="T386" s="5" t="s">
        <v>264</v>
      </c>
      <c r="U386" s="5">
        <v>9809823278</v>
      </c>
      <c r="V386" s="8" t="s">
        <v>265</v>
      </c>
      <c r="W386" t="str">
        <f>IF(OR(Q386&lt;=2,V386="Cancelled"),"Blacklisted",IF(AND(P386&gt;100000,Q386&gt;=4,O386&lt;=10%,V386="Completed"),"Platinum",IF(AND(P386&gt;=50000,Q386&gt;=3,V386="Completed"),"Gold",IF(AND(P386&lt;50000,V386="Completed"),"Silver",""))))</f>
        <v>Blacklisted</v>
      </c>
      <c r="X386" t="str">
        <f>PROPER(TRIM(F386))</f>
        <v>Kavya Nair</v>
      </c>
      <c r="Y386" t="str">
        <f>LEFT(F386,3)&amp;MID(B386,2,3)&amp;LEFT(I386,2)</f>
        <v>Kav008Ko</v>
      </c>
      <c r="Z386" t="str">
        <f>IF(ISNUMBER(SEARCH("@",T386)),LOWER(TRIM(T386)),"invalid email")</f>
        <v>kavya.nair@company.com</v>
      </c>
      <c r="AA386" t="str">
        <f ca="1">IF(H385="","",IFERROR(DATEDIF(IF(ISNUMBER(H385),H385,DATE(VALUE(RIGHT(H385,4)),VALUE(MID(H385,3,2)),VALUE(LEFT(H385,2)))),TODAY(),"Y"),""))</f>
        <v/>
      </c>
      <c r="AB386">
        <f>IF(OR(D386="",E386=""),"",IFERROR(DATE(MID(E386,7,4),MID(E386,4,2),LEFT(E386,2))-DATE(MID(D386,7,4),MID(D386,4,2),LEFT(D386,2)),""))</f>
        <v>3</v>
      </c>
      <c r="AC386" t="str">
        <f>IF(E386="","Pending",IF(AB386&lt;=5,"On time","Delayed"))</f>
        <v>On time</v>
      </c>
      <c r="AD386" s="29" t="str">
        <f>IF(TRIM(S386)="","Not Assigned",S386)</f>
        <v>Neha</v>
      </c>
      <c r="AE386" t="str">
        <f>PROPER(TRIM(F386))</f>
        <v>Kavya Nair</v>
      </c>
      <c r="AF386" t="str">
        <f>PROPER(TRIM(K386))</f>
        <v>Home Appliances</v>
      </c>
      <c r="AG386" t="str">
        <f>PROPER(TRIM(J386))</f>
        <v>East</v>
      </c>
      <c r="AH386" t="str">
        <f t="shared" si="10"/>
        <v>Home Appliances</v>
      </c>
      <c r="AI386" t="str">
        <f t="shared" si="11"/>
        <v>Home Appliances</v>
      </c>
      <c r="AK386">
        <f>IF(COUNTIF($A$2:A386,A386)=1,1,0)</f>
        <v>1</v>
      </c>
    </row>
    <row r="387" spans="1:37">
      <c r="A387" s="9" t="s">
        <v>1006</v>
      </c>
      <c r="B387" s="10" t="s">
        <v>284</v>
      </c>
      <c r="C387" s="10" t="s">
        <v>347</v>
      </c>
      <c r="D387" s="10" t="s">
        <v>175</v>
      </c>
      <c r="E387" s="11">
        <v>45691</v>
      </c>
      <c r="F387" s="10" t="s">
        <v>285</v>
      </c>
      <c r="G387" s="10" t="s">
        <v>239</v>
      </c>
      <c r="H387" s="11">
        <v>31718</v>
      </c>
      <c r="I387" s="10" t="s">
        <v>291</v>
      </c>
      <c r="J387" s="10" t="s">
        <v>287</v>
      </c>
      <c r="K387" s="10" t="s">
        <v>295</v>
      </c>
      <c r="L387" s="10" t="s">
        <v>349</v>
      </c>
      <c r="M387" s="10">
        <v>19</v>
      </c>
      <c r="N387" s="10">
        <v>20</v>
      </c>
      <c r="O387" s="10">
        <v>5</v>
      </c>
      <c r="P387" s="10">
        <v>361</v>
      </c>
      <c r="Q387" s="10">
        <v>4</v>
      </c>
      <c r="R387" s="10" t="s">
        <v>277</v>
      </c>
      <c r="S387" s="10" t="s">
        <v>255</v>
      </c>
      <c r="T387" s="10" t="s">
        <v>308</v>
      </c>
      <c r="U387" s="10">
        <v>9177767854</v>
      </c>
      <c r="V387" s="12" t="s">
        <v>248</v>
      </c>
      <c r="W387" t="str">
        <f>IF(OR(Q387&lt;=2,V387="Cancelled"),"Blacklisted",IF(AND(P387&gt;100000,Q387&gt;=4,O387&lt;=10%,V387="Completed"),"Platinum",IF(AND(P387&gt;=50000,Q387&gt;=3,V387="Completed"),"Gold",IF(AND(P387&lt;50000,V387="Completed"),"Silver",""))))</f>
        <v/>
      </c>
      <c r="X387" t="str">
        <f>PROPER(TRIM(F387))</f>
        <v>Priya Patel</v>
      </c>
      <c r="Y387" t="str">
        <f>LEFT(F387,3)&amp;MID(B387,2,3)&amp;LEFT(I387,2)</f>
        <v>Pri002Pu</v>
      </c>
      <c r="Z387" t="str">
        <f>IF(ISNUMBER(SEARCH("@",T387)),LOWER(TRIM(T387)),"invalid email")</f>
        <v>priya.patel@company.com</v>
      </c>
      <c r="AA387" t="str">
        <f ca="1">IF(H386="","",IFERROR(DATEDIF(IF(ISNUMBER(H386),H386,DATE(VALUE(RIGHT(H386,4)),VALUE(MID(H386,3,2)),VALUE(LEFT(H386,2)))),TODAY(),"Y"),""))</f>
        <v/>
      </c>
      <c r="AB387" t="str">
        <f>IF(OR(D387="",E387=""),"",IFERROR(DATE(MID(E387,7,4),MID(E387,4,2),LEFT(E387,2))-DATE(MID(D387,7,4),MID(D387,4,2),LEFT(D387,2)),""))</f>
        <v/>
      </c>
      <c r="AC387" t="str">
        <f>IF(E387="","Pending",IF(AB387&lt;=5,"On time","Delayed"))</f>
        <v>Delayed</v>
      </c>
      <c r="AD387" s="29" t="str">
        <f>IF(TRIM(S387)="","Not Assigned",S387)</f>
        <v>Ritika</v>
      </c>
      <c r="AE387" t="str">
        <f>PROPER(TRIM(F387))</f>
        <v>Priya Patel</v>
      </c>
      <c r="AF387" t="str">
        <f>PROPER(TRIM(K387))</f>
        <v>Stationery</v>
      </c>
      <c r="AG387" t="str">
        <f>PROPER(TRIM(J387))</f>
        <v>West</v>
      </c>
      <c r="AH387" t="str">
        <f t="shared" ref="AH387:AH450" si="12">PROPER(TRIM(K387))</f>
        <v>Stationery</v>
      </c>
      <c r="AI387" t="str">
        <f t="shared" ref="AI387:AI450" si="13">IF(OR(LOWER(TRIM(K387))="electronic",LOWER(TRIM(K387))="electronics"),"Electronics",PROPER(TRIM(K387)))</f>
        <v>Stationery</v>
      </c>
      <c r="AK387">
        <f>IF(COUNTIF($A$2:A387,A387)=1,1,0)</f>
        <v>1</v>
      </c>
    </row>
    <row r="388" spans="1:37">
      <c r="A388" s="4" t="s">
        <v>1007</v>
      </c>
      <c r="B388" s="5" t="s">
        <v>284</v>
      </c>
      <c r="C388" s="5" t="s">
        <v>267</v>
      </c>
      <c r="D388" s="5" t="s">
        <v>92</v>
      </c>
      <c r="E388" s="5" t="s">
        <v>102</v>
      </c>
      <c r="F388" s="5" t="s">
        <v>285</v>
      </c>
      <c r="G388" s="5" t="s">
        <v>239</v>
      </c>
      <c r="H388" s="5" t="s">
        <v>1008</v>
      </c>
      <c r="I388" s="5" t="s">
        <v>291</v>
      </c>
      <c r="J388" s="5" t="s">
        <v>287</v>
      </c>
      <c r="K388" s="5" t="s">
        <v>243</v>
      </c>
      <c r="L388" s="5" t="s">
        <v>271</v>
      </c>
      <c r="M388" s="5">
        <v>20</v>
      </c>
      <c r="N388" s="5">
        <v>1200</v>
      </c>
      <c r="O388" s="5">
        <v>15</v>
      </c>
      <c r="P388" s="5">
        <v>20400</v>
      </c>
      <c r="Q388" s="5">
        <v>4</v>
      </c>
      <c r="R388" s="5" t="s">
        <v>272</v>
      </c>
      <c r="S388" s="5" t="s">
        <v>255</v>
      </c>
      <c r="T388" s="5" t="s">
        <v>308</v>
      </c>
      <c r="U388" s="5">
        <v>9643440006</v>
      </c>
      <c r="V388" s="8" t="s">
        <v>248</v>
      </c>
      <c r="X388" t="str">
        <f>PROPER(TRIM(F388))</f>
        <v>Priya Patel</v>
      </c>
      <c r="Y388" t="str">
        <f>LEFT(F388,3)&amp;MID(B388,2,3)&amp;LEFT(I388,2)</f>
        <v>Pri002Pu</v>
      </c>
      <c r="Z388" t="str">
        <f>IF(ISNUMBER(SEARCH("@",T388)),LOWER(TRIM(T388)),"invalid email")</f>
        <v>priya.patel@company.com</v>
      </c>
      <c r="AA388">
        <f ca="1">IF(H387="","",IFERROR(DATEDIF(IF(ISNUMBER(H387),H387,DATE(VALUE(RIGHT(H387,4)),VALUE(MID(H387,3,2)),VALUE(LEFT(H387,2)))),TODAY(),"Y"),""))</f>
        <v>39</v>
      </c>
      <c r="AB388">
        <f>IF(OR(D388="",E388=""),"",IFERROR(DATE(MID(E388,7,4),MID(E388,4,2),LEFT(E388,2))-DATE(MID(D388,7,4),MID(D388,4,2),LEFT(D388,2)),""))</f>
        <v>1</v>
      </c>
      <c r="AC388" t="str">
        <f>IF(E388="","Pending",IF(AB388&lt;=5,"On time","Delayed"))</f>
        <v>On time</v>
      </c>
      <c r="AD388" s="29" t="str">
        <f>IF(TRIM(S388)="","Not Assigned",S388)</f>
        <v>Ritika</v>
      </c>
      <c r="AE388" t="str">
        <f>PROPER(TRIM(F388))</f>
        <v>Priya Patel</v>
      </c>
      <c r="AF388" t="str">
        <f>PROPER(TRIM(K388))</f>
        <v>Electronics</v>
      </c>
      <c r="AG388" t="str">
        <f>PROPER(TRIM(J388))</f>
        <v>West</v>
      </c>
      <c r="AH388" t="str">
        <f t="shared" si="12"/>
        <v>Electronics</v>
      </c>
      <c r="AI388" t="str">
        <f t="shared" si="13"/>
        <v>Electronics</v>
      </c>
      <c r="AK388">
        <f>IF(COUNTIF($A$2:A388,A388)=1,1,0)</f>
        <v>1</v>
      </c>
    </row>
    <row r="389" spans="1:37">
      <c r="A389" s="9" t="s">
        <v>1009</v>
      </c>
      <c r="B389" s="10" t="s">
        <v>235</v>
      </c>
      <c r="C389" s="10" t="s">
        <v>347</v>
      </c>
      <c r="D389" s="10" t="s">
        <v>179</v>
      </c>
      <c r="E389" s="11">
        <v>45814</v>
      </c>
      <c r="F389" s="10" t="s">
        <v>318</v>
      </c>
      <c r="G389" s="10" t="s">
        <v>239</v>
      </c>
      <c r="H389" s="11">
        <v>35406</v>
      </c>
      <c r="I389" s="10" t="s">
        <v>252</v>
      </c>
      <c r="J389" s="10" t="s">
        <v>242</v>
      </c>
      <c r="K389" s="10" t="s">
        <v>295</v>
      </c>
      <c r="L389" s="10" t="s">
        <v>349</v>
      </c>
      <c r="M389" s="10">
        <v>13</v>
      </c>
      <c r="N389" s="10">
        <v>20</v>
      </c>
      <c r="O389" s="10">
        <v>15</v>
      </c>
      <c r="P389" s="10">
        <v>221</v>
      </c>
      <c r="Q389" s="10">
        <v>4</v>
      </c>
      <c r="R389" s="10" t="s">
        <v>254</v>
      </c>
      <c r="S389" s="10" t="s">
        <v>255</v>
      </c>
      <c r="T389" s="10" t="s">
        <v>247</v>
      </c>
      <c r="U389" s="10">
        <v>9673698825</v>
      </c>
      <c r="V389" s="12" t="s">
        <v>248</v>
      </c>
      <c r="W389" t="str">
        <f>IF(OR(Q389&lt;=2,V389="Cancelled"),"Blacklisted",IF(AND(P389&gt;100000,Q389&gt;=4,O389&lt;=10%,V389="Completed"),"Platinum",IF(AND(P389&gt;=50000,Q389&gt;=3,V389="Completed"),"Gold",IF(AND(P389&lt;50000,V389="Completed"),"Silver",""))))</f>
        <v/>
      </c>
      <c r="X389" t="str">
        <f>PROPER(TRIM(F389))</f>
        <v>Pooja Shah</v>
      </c>
      <c r="Y389" t="str">
        <f>LEFT(F389,3)&amp;MID(B389,2,3)&amp;LEFT(I389,2)</f>
        <v>Poo010Hy</v>
      </c>
      <c r="Z389" t="str">
        <f>IF(ISNUMBER(SEARCH("@",T389)),LOWER(TRIM(T389)),"invalid email")</f>
        <v>pooja.shah@company.com</v>
      </c>
      <c r="AA389" t="str">
        <f ca="1">IF(H388="","",IFERROR(DATEDIF(IF(ISNUMBER(H388),H388,DATE(VALUE(RIGHT(H388,4)),VALUE(MID(H388,3,2)),VALUE(LEFT(H388,2)))),TODAY(),"Y"),""))</f>
        <v/>
      </c>
      <c r="AB389" t="str">
        <f>IF(OR(D389="",E389=""),"",IFERROR(DATE(MID(E389,7,4),MID(E389,4,2),LEFT(E389,2))-DATE(MID(D389,7,4),MID(D389,4,2),LEFT(D389,2)),""))</f>
        <v/>
      </c>
      <c r="AC389" t="str">
        <f>IF(E389="","Pending",IF(AB389&lt;=5,"On time","Delayed"))</f>
        <v>Delayed</v>
      </c>
      <c r="AD389" s="29" t="str">
        <f>IF(TRIM(S389)="","Not Assigned",S389)</f>
        <v>Ritika</v>
      </c>
      <c r="AE389" t="str">
        <f>PROPER(TRIM(F389))</f>
        <v>Pooja Shah</v>
      </c>
      <c r="AF389" t="str">
        <f>PROPER(TRIM(K389))</f>
        <v>Stationery</v>
      </c>
      <c r="AG389" t="str">
        <f>PROPER(TRIM(J389))</f>
        <v>South</v>
      </c>
      <c r="AH389" t="str">
        <f t="shared" si="12"/>
        <v>Stationery</v>
      </c>
      <c r="AI389" t="str">
        <f t="shared" si="13"/>
        <v>Stationery</v>
      </c>
      <c r="AK389">
        <f>IF(COUNTIF($A$2:A389,A389)=1,1,0)</f>
        <v>1</v>
      </c>
    </row>
    <row r="390" spans="1:37">
      <c r="A390" s="4" t="s">
        <v>1010</v>
      </c>
      <c r="B390" s="5" t="s">
        <v>358</v>
      </c>
      <c r="C390" s="5" t="s">
        <v>267</v>
      </c>
      <c r="D390" s="6">
        <v>45717</v>
      </c>
      <c r="E390" s="6">
        <v>45870</v>
      </c>
      <c r="F390" s="5" t="s">
        <v>359</v>
      </c>
      <c r="G390" s="5" t="s">
        <v>239</v>
      </c>
      <c r="H390" s="6">
        <v>33646</v>
      </c>
      <c r="I390" s="5" t="s">
        <v>260</v>
      </c>
      <c r="J390" s="5" t="s">
        <v>261</v>
      </c>
      <c r="K390" s="5" t="s">
        <v>243</v>
      </c>
      <c r="L390" s="5" t="s">
        <v>271</v>
      </c>
      <c r="M390" s="5">
        <v>12</v>
      </c>
      <c r="N390" s="5">
        <v>1200</v>
      </c>
      <c r="O390" s="5">
        <v>10</v>
      </c>
      <c r="P390" s="5">
        <v>12960</v>
      </c>
      <c r="Q390" s="5">
        <v>3</v>
      </c>
      <c r="R390" s="5" t="s">
        <v>245</v>
      </c>
      <c r="S390" s="5" t="s">
        <v>255</v>
      </c>
      <c r="T390" s="5" t="s">
        <v>360</v>
      </c>
      <c r="U390" s="5">
        <v>9706238784</v>
      </c>
      <c r="V390" s="8" t="s">
        <v>248</v>
      </c>
      <c r="W390" t="str">
        <f>IF(OR(Q390&lt;=2,V390="Cancelled"),"Blacklisted",IF(AND(P390&gt;100000,Q390&gt;=4,O390&lt;=10%,V390="Completed"),"Platinum",IF(AND(P390&gt;=50000,Q390&gt;=3,V390="Completed"),"Gold",IF(AND(P390&lt;50000,V390="Completed"),"Silver",""))))</f>
        <v/>
      </c>
      <c r="X390" t="str">
        <f>PROPER(TRIM(F390))</f>
        <v>Sneha Joshi</v>
      </c>
      <c r="Y390" t="str">
        <f>LEFT(F390,3)&amp;MID(B390,2,3)&amp;LEFT(I390,2)</f>
        <v>Sne006De</v>
      </c>
      <c r="Z390" t="str">
        <f>IF(ISNUMBER(SEARCH("@",T390)),LOWER(TRIM(T390)),"invalid email")</f>
        <v>sneha.joshi@company.com</v>
      </c>
      <c r="AA390">
        <f ca="1">IF(H389="","",IFERROR(DATEDIF(IF(ISNUMBER(H389),H389,DATE(VALUE(RIGHT(H389,4)),VALUE(MID(H389,3,2)),VALUE(LEFT(H389,2)))),TODAY(),"Y"),""))</f>
        <v>29</v>
      </c>
      <c r="AB390" t="str">
        <f>IF(OR(D390="",E390=""),"",IFERROR(DATE(MID(E390,7,4),MID(E390,4,2),LEFT(E390,2))-DATE(MID(D390,7,4),MID(D390,4,2),LEFT(D390,2)),""))</f>
        <v/>
      </c>
      <c r="AC390" t="str">
        <f>IF(E390="","Pending",IF(AB390&lt;=5,"On time","Delayed"))</f>
        <v>Delayed</v>
      </c>
      <c r="AD390" s="29" t="str">
        <f>IF(TRIM(S390)="","Not Assigned",S390)</f>
        <v>Ritika</v>
      </c>
      <c r="AE390" t="str">
        <f>PROPER(TRIM(F390))</f>
        <v>Sneha Joshi</v>
      </c>
      <c r="AF390" t="str">
        <f>PROPER(TRIM(K390))</f>
        <v>Electronics</v>
      </c>
      <c r="AG390" t="str">
        <f>PROPER(TRIM(J390))</f>
        <v>North</v>
      </c>
      <c r="AH390" t="str">
        <f t="shared" si="12"/>
        <v>Electronics</v>
      </c>
      <c r="AI390" t="str">
        <f t="shared" si="13"/>
        <v>Electronics</v>
      </c>
      <c r="AK390">
        <f>IF(COUNTIF($A$2:A390,A390)=1,1,0)</f>
        <v>1</v>
      </c>
    </row>
    <row r="391" spans="1:37">
      <c r="A391" s="9" t="s">
        <v>1011</v>
      </c>
      <c r="B391" s="10" t="s">
        <v>284</v>
      </c>
      <c r="C391" s="10" t="s">
        <v>322</v>
      </c>
      <c r="D391" s="10" t="s">
        <v>173</v>
      </c>
      <c r="E391" s="10" t="s">
        <v>585</v>
      </c>
      <c r="F391" s="10" t="s">
        <v>285</v>
      </c>
      <c r="G391" s="10" t="s">
        <v>239</v>
      </c>
      <c r="H391" s="10" t="s">
        <v>1012</v>
      </c>
      <c r="I391" s="10" t="s">
        <v>379</v>
      </c>
      <c r="J391" s="10" t="s">
        <v>21</v>
      </c>
      <c r="K391" s="10" t="s">
        <v>15</v>
      </c>
      <c r="L391" s="10" t="s">
        <v>325</v>
      </c>
      <c r="M391" s="10">
        <v>6</v>
      </c>
      <c r="N391" s="10">
        <v>8500</v>
      </c>
      <c r="O391" s="10">
        <v>5</v>
      </c>
      <c r="P391" s="10">
        <v>48450</v>
      </c>
      <c r="Q391" s="10">
        <v>5</v>
      </c>
      <c r="R391" s="10" t="s">
        <v>254</v>
      </c>
      <c r="S391" s="10" t="s">
        <v>292</v>
      </c>
      <c r="T391" s="10" t="s">
        <v>308</v>
      </c>
      <c r="U391" s="10">
        <v>9132959877</v>
      </c>
      <c r="V391" s="12" t="s">
        <v>265</v>
      </c>
      <c r="W391" t="str">
        <f>IF(OR(Q391&lt;=2,V391="Cancelled"),"Blacklisted",IF(AND(P391&gt;100000,Q391&gt;=4,O391&lt;=10%,V391="Completed"),"Platinum",IF(AND(P391&gt;=50000,Q391&gt;=3,V391="Completed"),"Gold",IF(AND(P391&lt;50000,V391="Completed"),"Silver",""))))</f>
        <v>Blacklisted</v>
      </c>
      <c r="X391" t="str">
        <f>PROPER(TRIM(F391))</f>
        <v>Priya Patel</v>
      </c>
      <c r="Y391" t="str">
        <f>LEFT(F391,3)&amp;MID(B391,2,3)&amp;LEFT(I391,2)</f>
        <v>Pri002Ko</v>
      </c>
      <c r="Z391" t="str">
        <f>IF(ISNUMBER(SEARCH("@",T391)),LOWER(TRIM(T391)),"invalid email")</f>
        <v>priya.patel@company.com</v>
      </c>
      <c r="AA391">
        <f ca="1">IF(H390="","",IFERROR(DATEDIF(IF(ISNUMBER(H390),H390,DATE(VALUE(RIGHT(H390,4)),VALUE(MID(H390,3,2)),VALUE(LEFT(H390,2)))),TODAY(),"Y"),""))</f>
        <v>34</v>
      </c>
      <c r="AB391">
        <f>IF(OR(D391="",E391=""),"",IFERROR(DATE(MID(E391,7,4),MID(E391,4,2),LEFT(E391,2))-DATE(MID(D391,7,4),MID(D391,4,2),LEFT(D391,2)),""))</f>
        <v>1</v>
      </c>
      <c r="AC391" t="str">
        <f>IF(E391="","Pending",IF(AB391&lt;=5,"On time","Delayed"))</f>
        <v>On time</v>
      </c>
      <c r="AD391" s="29" t="str">
        <f>IF(TRIM(S391)="","Not Assigned",S391)</f>
        <v>Neha</v>
      </c>
      <c r="AE391" t="str">
        <f>PROPER(TRIM(F391))</f>
        <v>Priya Patel</v>
      </c>
      <c r="AF391" t="str">
        <f>PROPER(TRIM(K391))</f>
        <v>Home Appliances</v>
      </c>
      <c r="AG391" t="str">
        <f>PROPER(TRIM(J391))</f>
        <v>East</v>
      </c>
      <c r="AH391" t="str">
        <f t="shared" si="12"/>
        <v>Home Appliances</v>
      </c>
      <c r="AI391" t="str">
        <f t="shared" si="13"/>
        <v>Home Appliances</v>
      </c>
      <c r="AK391">
        <f>IF(COUNTIF($A$2:A391,A391)=1,1,0)</f>
        <v>1</v>
      </c>
    </row>
    <row r="392" spans="1:37">
      <c r="A392" s="4" t="s">
        <v>1013</v>
      </c>
      <c r="B392" s="5" t="s">
        <v>249</v>
      </c>
      <c r="C392" s="5" t="s">
        <v>322</v>
      </c>
      <c r="D392" s="5" t="s">
        <v>65</v>
      </c>
      <c r="E392" s="5" t="s">
        <v>1014</v>
      </c>
      <c r="F392" s="5" t="s">
        <v>251</v>
      </c>
      <c r="G392" s="5" t="s">
        <v>239</v>
      </c>
      <c r="H392" s="5" t="s">
        <v>1015</v>
      </c>
      <c r="I392" s="5" t="s">
        <v>306</v>
      </c>
      <c r="J392" s="5" t="s">
        <v>287</v>
      </c>
      <c r="K392" s="5" t="s">
        <v>15</v>
      </c>
      <c r="L392" s="5" t="s">
        <v>325</v>
      </c>
      <c r="M392" s="5">
        <v>15</v>
      </c>
      <c r="N392" s="5">
        <v>8500</v>
      </c>
      <c r="O392" s="5">
        <v>10</v>
      </c>
      <c r="P392" s="5">
        <v>114750</v>
      </c>
      <c r="Q392" s="5">
        <v>1</v>
      </c>
      <c r="R392" s="5" t="s">
        <v>254</v>
      </c>
      <c r="S392" s="5" t="s">
        <v>292</v>
      </c>
      <c r="T392" s="5" t="s">
        <v>264</v>
      </c>
      <c r="U392" s="5">
        <v>9295011645</v>
      </c>
      <c r="V392" s="8" t="s">
        <v>257</v>
      </c>
      <c r="W392" t="str">
        <f>IF(OR(Q392&lt;=2,V392="Cancelled"),"Blacklisted",IF(AND(P392&gt;100000,Q392&gt;=4,O392&lt;=10%,V392="Completed"),"Platinum",IF(AND(P392&gt;=50000,Q392&gt;=3,V392="Completed"),"Gold",IF(AND(P392&lt;50000,V392="Completed"),"Silver",""))))</f>
        <v>Blacklisted</v>
      </c>
      <c r="X392" t="str">
        <f>PROPER(TRIM(F392))</f>
        <v>Kavya Nair</v>
      </c>
      <c r="Y392" t="str">
        <f>LEFT(F392,3)&amp;MID(B392,2,3)&amp;LEFT(I392,2)</f>
        <v>Kav008Ah</v>
      </c>
      <c r="Z392" t="str">
        <f>IF(ISNUMBER(SEARCH("@",T392)),LOWER(TRIM(T392)),"invalid email")</f>
        <v>kavya.nair@company.com</v>
      </c>
      <c r="AA392" t="str">
        <f ca="1">IF(H391="","",IFERROR(DATEDIF(IF(ISNUMBER(H391),H391,DATE(VALUE(RIGHT(H391,4)),VALUE(MID(H391,3,2)),VALUE(LEFT(H391,2)))),TODAY(),"Y"),""))</f>
        <v/>
      </c>
      <c r="AB392">
        <f>IF(OR(D392="",E392=""),"",IFERROR(DATE(MID(E392,7,4),MID(E392,4,2),LEFT(E392,2))-DATE(MID(D392,7,4),MID(D392,4,2),LEFT(D392,2)),""))</f>
        <v>8</v>
      </c>
      <c r="AC392" t="str">
        <f>IF(E392="","Pending",IF(AB392&lt;=5,"On time","Delayed"))</f>
        <v>Delayed</v>
      </c>
      <c r="AD392" s="29" t="str">
        <f>IF(TRIM(S392)="","Not Assigned",S392)</f>
        <v>Neha</v>
      </c>
      <c r="AE392" t="str">
        <f>PROPER(TRIM(F392))</f>
        <v>Kavya Nair</v>
      </c>
      <c r="AF392" t="str">
        <f>PROPER(TRIM(K392))</f>
        <v>Home Appliances</v>
      </c>
      <c r="AG392" t="str">
        <f>PROPER(TRIM(J392))</f>
        <v>West</v>
      </c>
      <c r="AH392" t="str">
        <f t="shared" si="12"/>
        <v>Home Appliances</v>
      </c>
      <c r="AI392" t="str">
        <f t="shared" si="13"/>
        <v>Home Appliances</v>
      </c>
      <c r="AK392">
        <f>IF(COUNTIF($A$2:A392,A392)=1,1,0)</f>
        <v>1</v>
      </c>
    </row>
    <row r="393" spans="1:37">
      <c r="A393" s="9" t="s">
        <v>1016</v>
      </c>
      <c r="B393" s="10" t="s">
        <v>299</v>
      </c>
      <c r="C393" s="10" t="s">
        <v>258</v>
      </c>
      <c r="D393" s="11">
        <v>45724</v>
      </c>
      <c r="E393" s="10" t="s">
        <v>1017</v>
      </c>
      <c r="F393" s="10" t="s">
        <v>301</v>
      </c>
      <c r="G393" s="10" t="s">
        <v>269</v>
      </c>
      <c r="H393" s="11">
        <v>29253</v>
      </c>
      <c r="I393" s="10" t="s">
        <v>252</v>
      </c>
      <c r="J393" s="10" t="s">
        <v>242</v>
      </c>
      <c r="K393" s="10" t="s">
        <v>243</v>
      </c>
      <c r="L393" s="10" t="s">
        <v>262</v>
      </c>
      <c r="M393" s="10">
        <v>19</v>
      </c>
      <c r="N393" s="10">
        <v>12000</v>
      </c>
      <c r="O393" s="10">
        <v>20</v>
      </c>
      <c r="P393" s="10">
        <v>182400</v>
      </c>
      <c r="Q393" s="10">
        <v>5</v>
      </c>
      <c r="R393" s="10" t="s">
        <v>254</v>
      </c>
      <c r="S393" s="10" t="s">
        <v>292</v>
      </c>
      <c r="T393" s="10" t="s">
        <v>302</v>
      </c>
      <c r="U393" s="10">
        <v>9677606427</v>
      </c>
      <c r="V393" s="12" t="s">
        <v>257</v>
      </c>
      <c r="W393" t="str">
        <f>IF(OR(Q393&lt;=2,V393="Cancelled"),"Blacklisted",IF(AND(P393&gt;100000,Q393&gt;=4,O393&lt;=10%,V393="Completed"),"Platinum",IF(AND(P393&gt;=50000,Q393&gt;=3,V393="Completed"),"Gold",IF(AND(P393&lt;50000,V393="Completed"),"Silver",""))))</f>
        <v>Gold</v>
      </c>
      <c r="X393" t="str">
        <f>PROPER(TRIM(F393))</f>
        <v>Rohit Singh</v>
      </c>
      <c r="Y393" t="str">
        <f>LEFT(F393,3)&amp;MID(B393,2,3)&amp;LEFT(I393,2)</f>
        <v>Roh003Hy</v>
      </c>
      <c r="Z393" t="str">
        <f>IF(ISNUMBER(SEARCH("@",T393)),LOWER(TRIM(T393)),"invalid email")</f>
        <v>rohit.singh@company.com</v>
      </c>
      <c r="AA393" t="str">
        <f ca="1">IF(H392="","",IFERROR(DATEDIF(IF(ISNUMBER(H392),H392,DATE(VALUE(RIGHT(H392,4)),VALUE(MID(H392,3,2)),VALUE(LEFT(H392,2)))),TODAY(),"Y"),""))</f>
        <v/>
      </c>
      <c r="AB393" t="str">
        <f>IF(OR(D393="",E393=""),"",IFERROR(DATE(MID(E393,7,4),MID(E393,4,2),LEFT(E393,2))-DATE(MID(D393,7,4),MID(D393,4,2),LEFT(D393,2)),""))</f>
        <v/>
      </c>
      <c r="AC393" t="str">
        <f>IF(E393="","Pending",IF(AB393&lt;=5,"On time","Delayed"))</f>
        <v>Delayed</v>
      </c>
      <c r="AD393" s="29" t="str">
        <f>IF(TRIM(S393)="","Not Assigned",S393)</f>
        <v>Neha</v>
      </c>
      <c r="AE393" t="str">
        <f>PROPER(TRIM(F393))</f>
        <v>Rohit Singh</v>
      </c>
      <c r="AF393" t="str">
        <f>PROPER(TRIM(K393))</f>
        <v>Electronics</v>
      </c>
      <c r="AG393" t="str">
        <f>PROPER(TRIM(J393))</f>
        <v>South</v>
      </c>
      <c r="AH393" t="str">
        <f t="shared" si="12"/>
        <v>Electronics</v>
      </c>
      <c r="AI393" t="str">
        <f t="shared" si="13"/>
        <v>Electronics</v>
      </c>
      <c r="AK393">
        <f>IF(COUNTIF($A$2:A393,A393)=1,1,0)</f>
        <v>1</v>
      </c>
    </row>
    <row r="394" spans="1:37">
      <c r="A394" s="4" t="s">
        <v>1018</v>
      </c>
      <c r="B394" s="5" t="s">
        <v>275</v>
      </c>
      <c r="C394" s="5" t="s">
        <v>330</v>
      </c>
      <c r="D394" s="5" t="s">
        <v>31</v>
      </c>
      <c r="E394" s="5" t="s">
        <v>1019</v>
      </c>
      <c r="F394" s="5" t="s">
        <v>328</v>
      </c>
      <c r="G394" s="5" t="s">
        <v>269</v>
      </c>
      <c r="H394" s="5" t="s">
        <v>1020</v>
      </c>
      <c r="I394" s="5" t="s">
        <v>260</v>
      </c>
      <c r="J394" s="5" t="s">
        <v>261</v>
      </c>
      <c r="K394" s="5" t="s">
        <v>243</v>
      </c>
      <c r="L394" s="5" t="s">
        <v>333</v>
      </c>
      <c r="M394" s="5">
        <v>5</v>
      </c>
      <c r="N394" s="5">
        <v>700</v>
      </c>
      <c r="O394" s="5">
        <v>0</v>
      </c>
      <c r="P394" s="5">
        <v>3500</v>
      </c>
      <c r="Q394" s="5">
        <v>2</v>
      </c>
      <c r="R394" s="5" t="s">
        <v>272</v>
      </c>
      <c r="S394" s="5" t="s">
        <v>246</v>
      </c>
      <c r="T394" s="5" t="s">
        <v>278</v>
      </c>
      <c r="U394" s="5">
        <v>9161631566</v>
      </c>
      <c r="V394" s="8" t="s">
        <v>265</v>
      </c>
      <c r="W394" t="str">
        <f>IF(OR(Q394&lt;=2,V394="Cancelled"),"Blacklisted",IF(AND(P394&gt;100000,Q394&gt;=4,O394&lt;=10%,V394="Completed"),"Platinum",IF(AND(P394&gt;=50000,Q394&gt;=3,V394="Completed"),"Gold",IF(AND(P394&lt;50000,V394="Completed"),"Silver",""))))</f>
        <v>Blacklisted</v>
      </c>
      <c r="X394" t="str">
        <f>PROPER(TRIM(F394))</f>
        <v>Arjun Rao</v>
      </c>
      <c r="Y394" t="str">
        <f>LEFT(F394,3)&amp;MID(B394,2,3)&amp;LEFT(I394,2)</f>
        <v>Arj007De</v>
      </c>
      <c r="Z394" t="str">
        <f>IF(ISNUMBER(SEARCH("@",T394)),LOWER(TRIM(T394)),"invalid email")</f>
        <v>arjun.rao@company.com</v>
      </c>
      <c r="AA394">
        <f ca="1">IF(H393="","",IFERROR(DATEDIF(IF(ISNUMBER(H393),H393,DATE(VALUE(RIGHT(H393,4)),VALUE(MID(H393,3,2)),VALUE(LEFT(H393,2)))),TODAY(),"Y"),""))</f>
        <v>46</v>
      </c>
      <c r="AB394">
        <f>IF(OR(D394="",E394=""),"",IFERROR(DATE(MID(E394,7,4),MID(E394,4,2),LEFT(E394,2))-DATE(MID(D394,7,4),MID(D394,4,2),LEFT(D394,2)),""))</f>
        <v>3</v>
      </c>
      <c r="AC394" t="str">
        <f>IF(E394="","Pending",IF(AB394&lt;=5,"On time","Delayed"))</f>
        <v>On time</v>
      </c>
      <c r="AD394" s="29" t="str">
        <f>IF(TRIM(S394)="","Not Assigned",S394)</f>
        <v>Aisha</v>
      </c>
      <c r="AE394" t="str">
        <f>PROPER(TRIM(F394))</f>
        <v>Arjun Rao</v>
      </c>
      <c r="AF394" t="str">
        <f>PROPER(TRIM(K394))</f>
        <v>Electronics</v>
      </c>
      <c r="AG394" t="str">
        <f>PROPER(TRIM(J394))</f>
        <v>North</v>
      </c>
      <c r="AH394" t="str">
        <f t="shared" si="12"/>
        <v>Electronics</v>
      </c>
      <c r="AI394" t="str">
        <f t="shared" si="13"/>
        <v>Electronics</v>
      </c>
      <c r="AK394">
        <f>IF(COUNTIF($A$2:A394,A394)=1,1,0)</f>
        <v>1</v>
      </c>
    </row>
    <row r="395" spans="1:37">
      <c r="A395" s="9" t="s">
        <v>1021</v>
      </c>
      <c r="B395" s="10" t="s">
        <v>275</v>
      </c>
      <c r="C395" s="10" t="s">
        <v>258</v>
      </c>
      <c r="D395" s="10" t="s">
        <v>201</v>
      </c>
      <c r="E395" s="11">
        <v>45749</v>
      </c>
      <c r="F395" s="10" t="s">
        <v>328</v>
      </c>
      <c r="G395" s="10" t="s">
        <v>269</v>
      </c>
      <c r="H395" s="11">
        <v>28775</v>
      </c>
      <c r="I395" s="10" t="s">
        <v>379</v>
      </c>
      <c r="J395" s="10" t="s">
        <v>21</v>
      </c>
      <c r="K395" s="10" t="s">
        <v>243</v>
      </c>
      <c r="L395" s="10" t="s">
        <v>262</v>
      </c>
      <c r="M395" s="10">
        <v>19</v>
      </c>
      <c r="N395" s="10">
        <v>12000</v>
      </c>
      <c r="O395" s="10">
        <v>0</v>
      </c>
      <c r="P395" s="10">
        <v>228000</v>
      </c>
      <c r="Q395" s="10">
        <v>4</v>
      </c>
      <c r="R395" s="10" t="s">
        <v>277</v>
      </c>
      <c r="S395" s="10" t="s">
        <v>246</v>
      </c>
      <c r="T395" s="10" t="s">
        <v>278</v>
      </c>
      <c r="U395" s="10">
        <v>9136906750</v>
      </c>
      <c r="V395" s="12" t="s">
        <v>248</v>
      </c>
      <c r="W395" t="str">
        <f>IF(OR(Q395&lt;=2,V395="Cancelled"),"Blacklisted",IF(AND(P395&gt;100000,Q395&gt;=4,O395&lt;=10%,V395="Completed"),"Platinum",IF(AND(P395&gt;=50000,Q395&gt;=3,V395="Completed"),"Gold",IF(AND(P395&lt;50000,V395="Completed"),"Silver",""))))</f>
        <v/>
      </c>
      <c r="X395" t="str">
        <f>PROPER(TRIM(F395))</f>
        <v>Arjun Rao</v>
      </c>
      <c r="Y395" t="str">
        <f>LEFT(F395,3)&amp;MID(B395,2,3)&amp;LEFT(I395,2)</f>
        <v>Arj007Ko</v>
      </c>
      <c r="Z395" t="str">
        <f>IF(ISNUMBER(SEARCH("@",T395)),LOWER(TRIM(T395)),"invalid email")</f>
        <v>arjun.rao@company.com</v>
      </c>
      <c r="AA395" t="str">
        <f ca="1">IF(H394="","",IFERROR(DATEDIF(IF(ISNUMBER(H394),H394,DATE(VALUE(RIGHT(H394,4)),VALUE(MID(H394,3,2)),VALUE(LEFT(H394,2)))),TODAY(),"Y"),""))</f>
        <v/>
      </c>
      <c r="AB395" t="str">
        <f>IF(OR(D395="",E395=""),"",IFERROR(DATE(MID(E395,7,4),MID(E395,4,2),LEFT(E395,2))-DATE(MID(D395,7,4),MID(D395,4,2),LEFT(D395,2)),""))</f>
        <v/>
      </c>
      <c r="AC395" t="str">
        <f>IF(E395="","Pending",IF(AB395&lt;=5,"On time","Delayed"))</f>
        <v>Delayed</v>
      </c>
      <c r="AD395" s="29" t="str">
        <f>IF(TRIM(S395)="","Not Assigned",S395)</f>
        <v>Aisha</v>
      </c>
      <c r="AE395" t="str">
        <f>PROPER(TRIM(F395))</f>
        <v>Arjun Rao</v>
      </c>
      <c r="AF395" t="str">
        <f>PROPER(TRIM(K395))</f>
        <v>Electronics</v>
      </c>
      <c r="AG395" t="str">
        <f>PROPER(TRIM(J395))</f>
        <v>East</v>
      </c>
      <c r="AH395" t="str">
        <f t="shared" si="12"/>
        <v>Electronics</v>
      </c>
      <c r="AI395" t="str">
        <f t="shared" si="13"/>
        <v>Electronics</v>
      </c>
      <c r="AK395">
        <f>IF(COUNTIF($A$2:A395,A395)=1,1,0)</f>
        <v>1</v>
      </c>
    </row>
    <row r="396" spans="1:37">
      <c r="A396" s="4" t="s">
        <v>1022</v>
      </c>
      <c r="B396" s="5" t="s">
        <v>392</v>
      </c>
      <c r="C396" s="5" t="s">
        <v>330</v>
      </c>
      <c r="D396" s="5" t="s">
        <v>248</v>
      </c>
      <c r="E396" s="6">
        <v>45727</v>
      </c>
      <c r="F396" s="5" t="s">
        <v>323</v>
      </c>
      <c r="G396" s="5" t="s">
        <v>269</v>
      </c>
      <c r="H396" s="6">
        <v>28864</v>
      </c>
      <c r="I396" s="5" t="s">
        <v>241</v>
      </c>
      <c r="J396" s="5" t="s">
        <v>242</v>
      </c>
      <c r="K396" s="5" t="s">
        <v>243</v>
      </c>
      <c r="L396" s="5" t="s">
        <v>333</v>
      </c>
      <c r="M396" s="5">
        <v>12</v>
      </c>
      <c r="N396" s="5">
        <v>700</v>
      </c>
      <c r="O396" s="5">
        <v>15</v>
      </c>
      <c r="P396" s="5">
        <v>7140</v>
      </c>
      <c r="Q396" s="5">
        <v>3</v>
      </c>
      <c r="R396" s="5" t="s">
        <v>272</v>
      </c>
      <c r="S396" s="5" t="s">
        <v>255</v>
      </c>
      <c r="T396" s="5" t="s">
        <v>395</v>
      </c>
      <c r="U396" s="5">
        <v>9485286324</v>
      </c>
      <c r="V396" s="8" t="s">
        <v>257</v>
      </c>
      <c r="W396" t="str">
        <f>IF(OR(Q396&lt;=2,V396="Cancelled"),"Blacklisted",IF(AND(P396&gt;100000,Q396&gt;=4,O396&lt;=10%,V396="Completed"),"Platinum",IF(AND(P396&gt;=50000,Q396&gt;=3,V396="Completed"),"Gold",IF(AND(P396&lt;50000,V396="Completed"),"Silver",""))))</f>
        <v>Silver</v>
      </c>
      <c r="X396" t="str">
        <f>PROPER(TRIM(F396))</f>
        <v>Amit Sharma</v>
      </c>
      <c r="Y396" t="str">
        <f>LEFT(F396,3)&amp;MID(B396,2,3)&amp;LEFT(I396,2)</f>
        <v>Ami001Be</v>
      </c>
      <c r="Z396" t="str">
        <f>IF(ISNUMBER(SEARCH("@",T396)),LOWER(TRIM(T396)),"invalid email")</f>
        <v>amit.sharma@company.com</v>
      </c>
      <c r="AA396">
        <f ca="1">IF(H395="","",IFERROR(DATEDIF(IF(ISNUMBER(H395),H395,DATE(VALUE(RIGHT(H395,4)),VALUE(MID(H395,3,2)),VALUE(LEFT(H395,2)))),TODAY(),"Y"),""))</f>
        <v>48</v>
      </c>
      <c r="AB396" t="str">
        <f>IF(OR(D396="",E396=""),"",IFERROR(DATE(MID(E396,7,4),MID(E396,4,2),LEFT(E396,2))-DATE(MID(D396,7,4),MID(D396,4,2),LEFT(D396,2)),""))</f>
        <v/>
      </c>
      <c r="AC396" t="str">
        <f>IF(E396="","Pending",IF(AB396&lt;=5,"On time","Delayed"))</f>
        <v>Delayed</v>
      </c>
      <c r="AD396" s="29" t="str">
        <f>IF(TRIM(S396)="","Not Assigned",S396)</f>
        <v>Ritika</v>
      </c>
      <c r="AE396" t="str">
        <f>PROPER(TRIM(F396))</f>
        <v>Amit Sharma</v>
      </c>
      <c r="AF396" t="str">
        <f>PROPER(TRIM(K396))</f>
        <v>Electronics</v>
      </c>
      <c r="AG396" t="str">
        <f>PROPER(TRIM(J396))</f>
        <v>South</v>
      </c>
      <c r="AH396" t="str">
        <f t="shared" si="12"/>
        <v>Electronics</v>
      </c>
      <c r="AI396" t="str">
        <f t="shared" si="13"/>
        <v>Electronics</v>
      </c>
      <c r="AK396">
        <f>IF(COUNTIF($A$2:A396,A396)=1,1,0)</f>
        <v>1</v>
      </c>
    </row>
    <row r="397" spans="1:37">
      <c r="A397" s="9" t="s">
        <v>1023</v>
      </c>
      <c r="B397" s="10" t="s">
        <v>249</v>
      </c>
      <c r="C397" s="10" t="s">
        <v>267</v>
      </c>
      <c r="D397" s="10" t="s">
        <v>14</v>
      </c>
      <c r="E397" s="10" t="s">
        <v>553</v>
      </c>
      <c r="F397" s="10" t="s">
        <v>251</v>
      </c>
      <c r="G397" s="10" t="s">
        <v>239</v>
      </c>
      <c r="H397" s="11">
        <v>37107</v>
      </c>
      <c r="I397" s="10" t="s">
        <v>260</v>
      </c>
      <c r="J397" s="10" t="s">
        <v>261</v>
      </c>
      <c r="K397" s="10" t="s">
        <v>243</v>
      </c>
      <c r="L397" s="10" t="s">
        <v>271</v>
      </c>
      <c r="M397" s="10">
        <v>16</v>
      </c>
      <c r="N397" s="10">
        <v>1200</v>
      </c>
      <c r="O397" s="10">
        <v>20</v>
      </c>
      <c r="P397" s="10">
        <v>15360</v>
      </c>
      <c r="Q397" s="10">
        <v>1</v>
      </c>
      <c r="R397" s="10" t="s">
        <v>254</v>
      </c>
      <c r="S397" s="10" t="s">
        <v>263</v>
      </c>
      <c r="T397" s="10" t="s">
        <v>264</v>
      </c>
      <c r="U397" s="10">
        <v>9414633966</v>
      </c>
      <c r="V397" s="12" t="s">
        <v>248</v>
      </c>
      <c r="W397" t="str">
        <f>IF(OR(Q397&lt;=2,V397="Cancelled"),"Blacklisted",IF(AND(P397&gt;100000,Q397&gt;=4,O397&lt;=10%,V397="Completed"),"Platinum",IF(AND(P397&gt;=50000,Q397&gt;=3,V397="Completed"),"Gold",IF(AND(P397&lt;50000,V397="Completed"),"Silver",""))))</f>
        <v>Blacklisted</v>
      </c>
      <c r="X397" t="str">
        <f>PROPER(TRIM(F397))</f>
        <v>Kavya Nair</v>
      </c>
      <c r="Y397" t="str">
        <f>LEFT(F397,3)&amp;MID(B397,2,3)&amp;LEFT(I397,2)</f>
        <v>Kav008De</v>
      </c>
      <c r="Z397" t="str">
        <f>IF(ISNUMBER(SEARCH("@",T397)),LOWER(TRIM(T397)),"invalid email")</f>
        <v>kavya.nair@company.com</v>
      </c>
      <c r="AA397">
        <f ca="1">IF(H396="","",IFERROR(DATEDIF(IF(ISNUMBER(H396),H396,DATE(VALUE(RIGHT(H396,4)),VALUE(MID(H396,3,2)),VALUE(LEFT(H396,2)))),TODAY(),"Y"),""))</f>
        <v>47</v>
      </c>
      <c r="AB397">
        <f>IF(OR(D397="",E397=""),"",IFERROR(DATE(MID(E397,7,4),MID(E397,4,2),LEFT(E397,2))-DATE(MID(D397,7,4),MID(D397,4,2),LEFT(D397,2)),""))</f>
        <v>8</v>
      </c>
      <c r="AC397" t="str">
        <f>IF(E397="","Pending",IF(AB397&lt;=5,"On time","Delayed"))</f>
        <v>Delayed</v>
      </c>
      <c r="AD397" s="29" t="str">
        <f>IF(TRIM(S397)="","Not Assigned",S397)</f>
        <v>Rahul</v>
      </c>
      <c r="AE397" t="str">
        <f>PROPER(TRIM(F397))</f>
        <v>Kavya Nair</v>
      </c>
      <c r="AF397" t="str">
        <f>PROPER(TRIM(K397))</f>
        <v>Electronics</v>
      </c>
      <c r="AG397" t="str">
        <f>PROPER(TRIM(J397))</f>
        <v>North</v>
      </c>
      <c r="AH397" t="str">
        <f t="shared" si="12"/>
        <v>Electronics</v>
      </c>
      <c r="AI397" t="str">
        <f t="shared" si="13"/>
        <v>Electronics</v>
      </c>
      <c r="AK397">
        <f>IF(COUNTIF($A$2:A397,A397)=1,1,0)</f>
        <v>1</v>
      </c>
    </row>
    <row r="398" spans="1:37">
      <c r="A398" s="4" t="s">
        <v>1024</v>
      </c>
      <c r="B398" s="5" t="s">
        <v>266</v>
      </c>
      <c r="C398" s="5" t="s">
        <v>322</v>
      </c>
      <c r="D398" s="5" t="s">
        <v>172</v>
      </c>
      <c r="E398" s="6">
        <v>46113</v>
      </c>
      <c r="F398" s="5" t="s">
        <v>268</v>
      </c>
      <c r="G398" s="5" t="s">
        <v>269</v>
      </c>
      <c r="H398" s="6">
        <v>30317</v>
      </c>
      <c r="I398" s="5" t="s">
        <v>252</v>
      </c>
      <c r="J398" s="5" t="s">
        <v>242</v>
      </c>
      <c r="K398" s="5" t="s">
        <v>15</v>
      </c>
      <c r="L398" s="5" t="s">
        <v>325</v>
      </c>
      <c r="M398" s="5">
        <v>10</v>
      </c>
      <c r="N398" s="5">
        <v>8500</v>
      </c>
      <c r="O398" s="5">
        <v>5</v>
      </c>
      <c r="P398" s="5">
        <v>80750</v>
      </c>
      <c r="Q398" s="5">
        <v>5</v>
      </c>
      <c r="R398" s="5" t="s">
        <v>245</v>
      </c>
      <c r="S398" s="5" t="s">
        <v>255</v>
      </c>
      <c r="T398" s="5" t="s">
        <v>273</v>
      </c>
      <c r="U398" s="5">
        <v>9833735234</v>
      </c>
      <c r="V398" s="8" t="s">
        <v>257</v>
      </c>
      <c r="W398" t="str">
        <f>IF(OR(Q398&lt;=2,V398="Cancelled"),"Blacklisted",IF(AND(P398&gt;100000,Q398&gt;=4,O398&lt;=10%,V398="Completed"),"Platinum",IF(AND(P398&gt;=50000,Q398&gt;=3,V398="Completed"),"Gold",IF(AND(P398&lt;50000,V398="Completed"),"Silver",""))))</f>
        <v>Gold</v>
      </c>
      <c r="X398" t="str">
        <f>PROPER(TRIM(F398))</f>
        <v>Mohit Verma</v>
      </c>
      <c r="Y398" t="str">
        <f>LEFT(F398,3)&amp;MID(B398,2,3)&amp;LEFT(I398,2)</f>
        <v>Moh009Hy</v>
      </c>
      <c r="Z398" t="str">
        <f>IF(ISNUMBER(SEARCH("@",T398)),LOWER(TRIM(T398)),"invalid email")</f>
        <v>mohit.verma@company.com</v>
      </c>
      <c r="AA398">
        <f ca="1">IF(H397="","",IFERROR(DATEDIF(IF(ISNUMBER(H397),H397,DATE(VALUE(RIGHT(H397,4)),VALUE(MID(H397,3,2)),VALUE(LEFT(H397,2)))),TODAY(),"Y"),""))</f>
        <v>25</v>
      </c>
      <c r="AB398" t="str">
        <f>IF(OR(D398="",E398=""),"",IFERROR(DATE(MID(E398,7,4),MID(E398,4,2),LEFT(E398,2))-DATE(MID(D398,7,4),MID(D398,4,2),LEFT(D398,2)),""))</f>
        <v/>
      </c>
      <c r="AC398" t="str">
        <f>IF(E398="","Pending",IF(AB398&lt;=5,"On time","Delayed"))</f>
        <v>Delayed</v>
      </c>
      <c r="AD398" s="29" t="str">
        <f>IF(TRIM(S398)="","Not Assigned",S398)</f>
        <v>Ritika</v>
      </c>
      <c r="AE398" t="str">
        <f>PROPER(TRIM(F398))</f>
        <v>Mohit Verma</v>
      </c>
      <c r="AF398" t="str">
        <f>PROPER(TRIM(K398))</f>
        <v>Home Appliances</v>
      </c>
      <c r="AG398" t="str">
        <f>PROPER(TRIM(J398))</f>
        <v>South</v>
      </c>
      <c r="AH398" t="str">
        <f t="shared" si="12"/>
        <v>Home Appliances</v>
      </c>
      <c r="AI398" t="str">
        <f t="shared" si="13"/>
        <v>Home Appliances</v>
      </c>
      <c r="AK398">
        <f>IF(COUNTIF($A$2:A398,A398)=1,1,0)</f>
        <v>1</v>
      </c>
    </row>
    <row r="399" spans="1:37">
      <c r="A399" s="9" t="s">
        <v>1025</v>
      </c>
      <c r="B399" s="10" t="s">
        <v>249</v>
      </c>
      <c r="C399" s="10" t="s">
        <v>347</v>
      </c>
      <c r="D399" s="11">
        <v>45963</v>
      </c>
      <c r="E399" s="10" t="s">
        <v>98</v>
      </c>
      <c r="F399" s="10" t="s">
        <v>251</v>
      </c>
      <c r="G399" s="10" t="s">
        <v>239</v>
      </c>
      <c r="H399" s="11">
        <v>32759</v>
      </c>
      <c r="I399" s="10" t="s">
        <v>306</v>
      </c>
      <c r="J399" s="10" t="s">
        <v>287</v>
      </c>
      <c r="K399" s="10" t="s">
        <v>295</v>
      </c>
      <c r="L399" s="10" t="s">
        <v>349</v>
      </c>
      <c r="M399" s="10">
        <v>18</v>
      </c>
      <c r="N399" s="10">
        <v>20</v>
      </c>
      <c r="O399" s="10">
        <v>20</v>
      </c>
      <c r="P399" s="10">
        <v>288</v>
      </c>
      <c r="Q399" s="10">
        <v>1</v>
      </c>
      <c r="R399" s="10" t="s">
        <v>277</v>
      </c>
      <c r="S399" s="10" t="s">
        <v>255</v>
      </c>
      <c r="T399" s="10" t="s">
        <v>264</v>
      </c>
      <c r="U399" s="10">
        <v>9523689108</v>
      </c>
      <c r="V399" s="12" t="s">
        <v>248</v>
      </c>
      <c r="W399" t="str">
        <f>IF(OR(Q399&lt;=2,V399="Cancelled"),"Blacklisted",IF(AND(P399&gt;100000,Q399&gt;=4,O399&lt;=10%,V399="Completed"),"Platinum",IF(AND(P399&gt;=50000,Q399&gt;=3,V399="Completed"),"Gold",IF(AND(P399&lt;50000,V399="Completed"),"Silver",""))))</f>
        <v>Blacklisted</v>
      </c>
      <c r="X399" t="str">
        <f>PROPER(TRIM(F399))</f>
        <v>Kavya Nair</v>
      </c>
      <c r="Y399" t="str">
        <f>LEFT(F399,3)&amp;MID(B399,2,3)&amp;LEFT(I399,2)</f>
        <v>Kav008Ah</v>
      </c>
      <c r="Z399" t="str">
        <f>IF(ISNUMBER(SEARCH("@",T399)),LOWER(TRIM(T399)),"invalid email")</f>
        <v>kavya.nair@company.com</v>
      </c>
      <c r="AA399">
        <f ca="1">IF(H398="","",IFERROR(DATEDIF(IF(ISNUMBER(H398),H398,DATE(VALUE(RIGHT(H398,4)),VALUE(MID(H398,3,2)),VALUE(LEFT(H398,2)))),TODAY(),"Y"),""))</f>
        <v>43</v>
      </c>
      <c r="AB399" t="str">
        <f>IF(OR(D399="",E399=""),"",IFERROR(DATE(MID(E399,7,4),MID(E399,4,2),LEFT(E399,2))-DATE(MID(D399,7,4),MID(D399,4,2),LEFT(D399,2)),""))</f>
        <v/>
      </c>
      <c r="AC399" t="str">
        <f>IF(E399="","Pending",IF(AB399&lt;=5,"On time","Delayed"))</f>
        <v>Delayed</v>
      </c>
      <c r="AD399" s="29" t="str">
        <f>IF(TRIM(S399)="","Not Assigned",S399)</f>
        <v>Ritika</v>
      </c>
      <c r="AE399" t="str">
        <f>PROPER(TRIM(F399))</f>
        <v>Kavya Nair</v>
      </c>
      <c r="AF399" t="str">
        <f>PROPER(TRIM(K399))</f>
        <v>Stationery</v>
      </c>
      <c r="AG399" t="str">
        <f>PROPER(TRIM(J399))</f>
        <v>West</v>
      </c>
      <c r="AH399" t="str">
        <f t="shared" si="12"/>
        <v>Stationery</v>
      </c>
      <c r="AI399" t="str">
        <f t="shared" si="13"/>
        <v>Stationery</v>
      </c>
      <c r="AK399">
        <f>IF(COUNTIF($A$2:A399,A399)=1,1,0)</f>
        <v>1</v>
      </c>
    </row>
    <row r="400" spans="1:37">
      <c r="A400" s="4" t="s">
        <v>1026</v>
      </c>
      <c r="B400" s="5" t="s">
        <v>266</v>
      </c>
      <c r="C400" s="5" t="s">
        <v>322</v>
      </c>
      <c r="D400" s="5" t="s">
        <v>11</v>
      </c>
      <c r="E400" s="5" t="s">
        <v>425</v>
      </c>
      <c r="F400" s="5" t="s">
        <v>268</v>
      </c>
      <c r="G400" s="5" t="s">
        <v>269</v>
      </c>
      <c r="H400" s="5" t="s">
        <v>1027</v>
      </c>
      <c r="I400" s="5" t="s">
        <v>286</v>
      </c>
      <c r="J400" s="5" t="s">
        <v>287</v>
      </c>
      <c r="K400" s="5" t="s">
        <v>15</v>
      </c>
      <c r="L400" s="5" t="s">
        <v>325</v>
      </c>
      <c r="M400" s="5">
        <v>9</v>
      </c>
      <c r="N400" s="5">
        <v>8500</v>
      </c>
      <c r="O400" s="5">
        <v>0</v>
      </c>
      <c r="P400" s="5">
        <v>76500</v>
      </c>
      <c r="Q400" s="5">
        <v>2</v>
      </c>
      <c r="R400" s="5" t="s">
        <v>272</v>
      </c>
      <c r="S400" s="5" t="s">
        <v>255</v>
      </c>
      <c r="T400" s="5" t="s">
        <v>273</v>
      </c>
      <c r="U400" s="5">
        <v>9812909831</v>
      </c>
      <c r="V400" s="8" t="s">
        <v>248</v>
      </c>
      <c r="W400" t="str">
        <f>IF(OR(Q400&lt;=2,V400="Cancelled"),"Blacklisted",IF(AND(P400&gt;100000,Q400&gt;=4,O400&lt;=10%,V400="Completed"),"Platinum",IF(AND(P400&gt;=50000,Q400&gt;=3,V400="Completed"),"Gold",IF(AND(P400&lt;50000,V400="Completed"),"Silver",""))))</f>
        <v>Blacklisted</v>
      </c>
      <c r="X400" t="str">
        <f>PROPER(TRIM(F400))</f>
        <v>Mohit Verma</v>
      </c>
      <c r="Y400" t="str">
        <f>LEFT(F400,3)&amp;MID(B400,2,3)&amp;LEFT(I400,2)</f>
        <v>Moh009Mu</v>
      </c>
      <c r="Z400" t="str">
        <f>IF(ISNUMBER(SEARCH("@",T400)),LOWER(TRIM(T400)),"invalid email")</f>
        <v>mohit.verma@company.com</v>
      </c>
      <c r="AA400">
        <f ca="1">IF(H399="","",IFERROR(DATEDIF(IF(ISNUMBER(H399),H399,DATE(VALUE(RIGHT(H399,4)),VALUE(MID(H399,3,2)),VALUE(LEFT(H399,2)))),TODAY(),"Y"),""))</f>
        <v>37</v>
      </c>
      <c r="AB400">
        <f>IF(OR(D400="",E400=""),"",IFERROR(DATE(MID(E400,7,4),MID(E400,4,2),LEFT(E400,2))-DATE(MID(D400,7,4),MID(D400,4,2),LEFT(D400,2)),""))</f>
        <v>6</v>
      </c>
      <c r="AC400" t="str">
        <f>IF(E400="","Pending",IF(AB400&lt;=5,"On time","Delayed"))</f>
        <v>Delayed</v>
      </c>
      <c r="AD400" s="29" t="str">
        <f>IF(TRIM(S400)="","Not Assigned",S400)</f>
        <v>Ritika</v>
      </c>
      <c r="AE400" t="str">
        <f>PROPER(TRIM(F400))</f>
        <v>Mohit Verma</v>
      </c>
      <c r="AF400" t="str">
        <f>PROPER(TRIM(K400))</f>
        <v>Home Appliances</v>
      </c>
      <c r="AG400" t="str">
        <f>PROPER(TRIM(J400))</f>
        <v>West</v>
      </c>
      <c r="AH400" t="str">
        <f t="shared" si="12"/>
        <v>Home Appliances</v>
      </c>
      <c r="AI400" t="str">
        <f t="shared" si="13"/>
        <v>Home Appliances</v>
      </c>
      <c r="AK400">
        <f>IF(COUNTIF($A$2:A400,A400)=1,1,0)</f>
        <v>1</v>
      </c>
    </row>
    <row r="401" spans="1:37">
      <c r="A401" s="9" t="s">
        <v>1028</v>
      </c>
      <c r="B401" s="10" t="s">
        <v>249</v>
      </c>
      <c r="C401" s="10" t="s">
        <v>322</v>
      </c>
      <c r="D401" s="11">
        <v>45667</v>
      </c>
      <c r="E401" s="11">
        <v>46001</v>
      </c>
      <c r="F401" s="10" t="s">
        <v>251</v>
      </c>
      <c r="G401" s="10" t="s">
        <v>239</v>
      </c>
      <c r="H401" s="11">
        <v>36651</v>
      </c>
      <c r="I401" s="10" t="s">
        <v>286</v>
      </c>
      <c r="J401" s="10" t="s">
        <v>287</v>
      </c>
      <c r="K401" s="10" t="s">
        <v>15</v>
      </c>
      <c r="L401" s="10" t="s">
        <v>325</v>
      </c>
      <c r="M401" s="10">
        <v>8</v>
      </c>
      <c r="N401" s="10">
        <v>8500</v>
      </c>
      <c r="O401" s="10">
        <v>10</v>
      </c>
      <c r="P401" s="10">
        <v>61200</v>
      </c>
      <c r="Q401" s="10">
        <v>4</v>
      </c>
      <c r="R401" s="10" t="s">
        <v>254</v>
      </c>
      <c r="S401" s="10" t="s">
        <v>292</v>
      </c>
      <c r="T401" s="10" t="s">
        <v>264</v>
      </c>
      <c r="U401" s="10">
        <v>9106290987</v>
      </c>
      <c r="V401" s="12" t="s">
        <v>265</v>
      </c>
      <c r="W401" t="str">
        <f>IF(OR(Q401&lt;=2,V401="Cancelled"),"Blacklisted",IF(AND(P401&gt;100000,Q401&gt;=4,O401&lt;=10%,V401="Completed"),"Platinum",IF(AND(P401&gt;=50000,Q401&gt;=3,V401="Completed"),"Gold",IF(AND(P401&lt;50000,V401="Completed"),"Silver",""))))</f>
        <v>Blacklisted</v>
      </c>
      <c r="X401" t="str">
        <f>PROPER(TRIM(F401))</f>
        <v>Kavya Nair</v>
      </c>
      <c r="Y401" t="str">
        <f>LEFT(F401,3)&amp;MID(B401,2,3)&amp;LEFT(I401,2)</f>
        <v>Kav008Mu</v>
      </c>
      <c r="Z401" t="str">
        <f>IF(ISNUMBER(SEARCH("@",T401)),LOWER(TRIM(T401)),"invalid email")</f>
        <v>kavya.nair@company.com</v>
      </c>
      <c r="AA401" t="str">
        <f ca="1">IF(H400="","",IFERROR(DATEDIF(IF(ISNUMBER(H400),H400,DATE(VALUE(RIGHT(H400,4)),VALUE(MID(H400,3,2)),VALUE(LEFT(H400,2)))),TODAY(),"Y"),""))</f>
        <v/>
      </c>
      <c r="AB401" t="str">
        <f>IF(OR(D401="",E401=""),"",IFERROR(DATE(MID(E401,7,4),MID(E401,4,2),LEFT(E401,2))-DATE(MID(D401,7,4),MID(D401,4,2),LEFT(D401,2)),""))</f>
        <v/>
      </c>
      <c r="AC401" t="str">
        <f>IF(E401="","Pending",IF(AB401&lt;=5,"On time","Delayed"))</f>
        <v>Delayed</v>
      </c>
      <c r="AD401" s="29" t="str">
        <f>IF(TRIM(S401)="","Not Assigned",S401)</f>
        <v>Neha</v>
      </c>
      <c r="AE401" t="str">
        <f>PROPER(TRIM(F401))</f>
        <v>Kavya Nair</v>
      </c>
      <c r="AF401" t="str">
        <f>PROPER(TRIM(K401))</f>
        <v>Home Appliances</v>
      </c>
      <c r="AG401" t="str">
        <f>PROPER(TRIM(J401))</f>
        <v>West</v>
      </c>
      <c r="AH401" t="str">
        <f t="shared" si="12"/>
        <v>Home Appliances</v>
      </c>
      <c r="AI401" t="str">
        <f t="shared" si="13"/>
        <v>Home Appliances</v>
      </c>
      <c r="AK401">
        <f>IF(COUNTIF($A$2:A401,A401)=1,1,0)</f>
        <v>1</v>
      </c>
    </row>
    <row r="402" spans="1:37">
      <c r="A402" s="4" t="s">
        <v>1029</v>
      </c>
      <c r="B402" s="5" t="s">
        <v>235</v>
      </c>
      <c r="C402" s="5" t="s">
        <v>347</v>
      </c>
      <c r="D402" s="5" t="s">
        <v>149</v>
      </c>
      <c r="E402" s="6">
        <v>46024</v>
      </c>
      <c r="F402" s="5" t="s">
        <v>318</v>
      </c>
      <c r="G402" s="5" t="s">
        <v>239</v>
      </c>
      <c r="H402" s="5" t="s">
        <v>1030</v>
      </c>
      <c r="I402" s="5" t="s">
        <v>291</v>
      </c>
      <c r="J402" s="5" t="s">
        <v>287</v>
      </c>
      <c r="K402" s="5" t="s">
        <v>295</v>
      </c>
      <c r="L402" s="5" t="s">
        <v>349</v>
      </c>
      <c r="M402" s="5">
        <v>3</v>
      </c>
      <c r="N402" s="5">
        <v>20</v>
      </c>
      <c r="O402" s="5">
        <v>10</v>
      </c>
      <c r="P402" s="5">
        <v>54</v>
      </c>
      <c r="Q402" s="5">
        <v>3</v>
      </c>
      <c r="R402" s="5" t="s">
        <v>272</v>
      </c>
      <c r="S402" s="5" t="s">
        <v>312</v>
      </c>
      <c r="T402" s="5" t="s">
        <v>247</v>
      </c>
      <c r="U402" s="5">
        <v>9767727724</v>
      </c>
      <c r="V402" s="8" t="s">
        <v>248</v>
      </c>
      <c r="W402" t="str">
        <f>IF(OR(Q402&lt;=2,V402="Cancelled"),"Blacklisted",IF(AND(P402&gt;100000,Q402&gt;=4,O402&lt;=10%,V402="Completed"),"Platinum",IF(AND(P402&gt;=50000,Q402&gt;=3,V402="Completed"),"Gold",IF(AND(P402&lt;50000,V402="Completed"),"Silver",""))))</f>
        <v/>
      </c>
      <c r="X402" t="str">
        <f>PROPER(TRIM(F402))</f>
        <v>Pooja Shah</v>
      </c>
      <c r="Y402" t="str">
        <f>LEFT(F402,3)&amp;MID(B402,2,3)&amp;LEFT(I402,2)</f>
        <v>Poo010Pu</v>
      </c>
      <c r="Z402" t="str">
        <f>IF(ISNUMBER(SEARCH("@",T402)),LOWER(TRIM(T402)),"invalid email")</f>
        <v>pooja.shah@company.com</v>
      </c>
      <c r="AA402">
        <f ca="1">IF(H401="","",IFERROR(DATEDIF(IF(ISNUMBER(H401),H401,DATE(VALUE(RIGHT(H401,4)),VALUE(MID(H401,3,2)),VALUE(LEFT(H401,2)))),TODAY(),"Y"),""))</f>
        <v>26</v>
      </c>
      <c r="AB402" t="str">
        <f>IF(OR(D402="",E402=""),"",IFERROR(DATE(MID(E402,7,4),MID(E402,4,2),LEFT(E402,2))-DATE(MID(D402,7,4),MID(D402,4,2),LEFT(D402,2)),""))</f>
        <v/>
      </c>
      <c r="AC402" t="str">
        <f>IF(E402="","Pending",IF(AB402&lt;=5,"On time","Delayed"))</f>
        <v>Delayed</v>
      </c>
      <c r="AD402" s="29" t="str">
        <f>IF(TRIM(S402)="","Not Assigned",S402)</f>
        <v>Karan</v>
      </c>
      <c r="AE402" t="str">
        <f>PROPER(TRIM(F402))</f>
        <v>Pooja Shah</v>
      </c>
      <c r="AF402" t="str">
        <f>PROPER(TRIM(K402))</f>
        <v>Stationery</v>
      </c>
      <c r="AG402" t="str">
        <f>PROPER(TRIM(J402))</f>
        <v>West</v>
      </c>
      <c r="AH402" t="str">
        <f t="shared" si="12"/>
        <v>Stationery</v>
      </c>
      <c r="AI402" t="str">
        <f t="shared" si="13"/>
        <v>Stationery</v>
      </c>
      <c r="AK402">
        <f>IF(COUNTIF($A$2:A402,A402)=1,1,0)</f>
        <v>1</v>
      </c>
    </row>
    <row r="403" spans="1:37">
      <c r="A403" s="9" t="s">
        <v>1031</v>
      </c>
      <c r="B403" s="10" t="s">
        <v>321</v>
      </c>
      <c r="C403" s="10" t="s">
        <v>322</v>
      </c>
      <c r="D403" s="11">
        <v>45695</v>
      </c>
      <c r="E403" s="11">
        <v>45998</v>
      </c>
      <c r="F403" s="10" t="s">
        <v>408</v>
      </c>
      <c r="G403" s="10" t="s">
        <v>239</v>
      </c>
      <c r="H403" s="10" t="s">
        <v>1032</v>
      </c>
      <c r="I403" s="10" t="s">
        <v>379</v>
      </c>
      <c r="J403" s="10" t="s">
        <v>21</v>
      </c>
      <c r="K403" s="10" t="s">
        <v>15</v>
      </c>
      <c r="L403" s="10" t="s">
        <v>325</v>
      </c>
      <c r="M403" s="10">
        <v>18</v>
      </c>
      <c r="N403" s="10">
        <v>8500</v>
      </c>
      <c r="O403" s="10">
        <v>10</v>
      </c>
      <c r="P403" s="10">
        <v>137700</v>
      </c>
      <c r="Q403" s="10">
        <v>4</v>
      </c>
      <c r="R403" s="10" t="s">
        <v>254</v>
      </c>
      <c r="S403" s="10" t="s">
        <v>263</v>
      </c>
      <c r="T403" s="10" t="s">
        <v>326</v>
      </c>
      <c r="U403" s="10">
        <v>9865401727</v>
      </c>
      <c r="V403" s="12" t="s">
        <v>265</v>
      </c>
      <c r="W403" t="str">
        <f>IF(OR(Q403&lt;=2,V403="Cancelled"),"Blacklisted",IF(AND(P403&gt;100000,Q403&gt;=4,O403&lt;=10%,V403="Completed"),"Platinum",IF(AND(P403&gt;=50000,Q403&gt;=3,V403="Completed"),"Gold",IF(AND(P403&lt;50000,V403="Completed"),"Silver",""))))</f>
        <v>Blacklisted</v>
      </c>
      <c r="X403" t="str">
        <f>PROPER(TRIM(F403))</f>
        <v>Anita Gupta</v>
      </c>
      <c r="Y403" t="str">
        <f>LEFT(F403,3)&amp;MID(B403,2,3)&amp;LEFT(I403,2)</f>
        <v>Ani004Ko</v>
      </c>
      <c r="Z403" t="str">
        <f>IF(ISNUMBER(SEARCH("@",T403)),LOWER(TRIM(T403)),"invalid email")</f>
        <v>anita.gupta@company.com</v>
      </c>
      <c r="AA403" t="str">
        <f ca="1">IF(H402="","",IFERROR(DATEDIF(IF(ISNUMBER(H402),H402,DATE(VALUE(RIGHT(H402,4)),VALUE(MID(H402,3,2)),VALUE(LEFT(H402,2)))),TODAY(),"Y"),""))</f>
        <v/>
      </c>
      <c r="AB403" t="str">
        <f>IF(OR(D403="",E403=""),"",IFERROR(DATE(MID(E403,7,4),MID(E403,4,2),LEFT(E403,2))-DATE(MID(D403,7,4),MID(D403,4,2),LEFT(D403,2)),""))</f>
        <v/>
      </c>
      <c r="AC403" t="str">
        <f>IF(E403="","Pending",IF(AB403&lt;=5,"On time","Delayed"))</f>
        <v>Delayed</v>
      </c>
      <c r="AD403" s="29" t="str">
        <f>IF(TRIM(S403)="","Not Assigned",S403)</f>
        <v>Rahul</v>
      </c>
      <c r="AE403" t="str">
        <f>PROPER(TRIM(F403))</f>
        <v>Anita Gupta</v>
      </c>
      <c r="AF403" t="str">
        <f>PROPER(TRIM(K403))</f>
        <v>Home Appliances</v>
      </c>
      <c r="AG403" t="str">
        <f>PROPER(TRIM(J403))</f>
        <v>East</v>
      </c>
      <c r="AH403" t="str">
        <f t="shared" si="12"/>
        <v>Home Appliances</v>
      </c>
      <c r="AI403" t="str">
        <f t="shared" si="13"/>
        <v>Home Appliances</v>
      </c>
      <c r="AK403">
        <f>IF(COUNTIF($A$2:A403,A403)=1,1,0)</f>
        <v>1</v>
      </c>
    </row>
    <row r="404" spans="1:37">
      <c r="A404" s="4" t="s">
        <v>1033</v>
      </c>
      <c r="B404" s="5" t="s">
        <v>235</v>
      </c>
      <c r="C404" s="5" t="s">
        <v>362</v>
      </c>
      <c r="D404" s="6">
        <v>45787</v>
      </c>
      <c r="E404" s="6">
        <v>45910</v>
      </c>
      <c r="F404" s="5" t="s">
        <v>318</v>
      </c>
      <c r="G404" s="5" t="s">
        <v>239</v>
      </c>
      <c r="H404" s="5" t="s">
        <v>1034</v>
      </c>
      <c r="I404" s="5" t="s">
        <v>291</v>
      </c>
      <c r="J404" s="5" t="s">
        <v>287</v>
      </c>
      <c r="K404" s="5" t="s">
        <v>295</v>
      </c>
      <c r="L404" s="5" t="s">
        <v>363</v>
      </c>
      <c r="M404" s="5">
        <v>5</v>
      </c>
      <c r="N404" s="5">
        <v>45</v>
      </c>
      <c r="O404" s="5">
        <v>10</v>
      </c>
      <c r="P404" s="5">
        <v>202.5</v>
      </c>
      <c r="Q404" s="5">
        <v>3</v>
      </c>
      <c r="R404" s="5" t="s">
        <v>254</v>
      </c>
      <c r="S404" s="5" t="s">
        <v>292</v>
      </c>
      <c r="T404" s="5" t="s">
        <v>247</v>
      </c>
      <c r="U404" s="5">
        <v>9603848571</v>
      </c>
      <c r="V404" s="8" t="s">
        <v>248</v>
      </c>
      <c r="W404" t="str">
        <f>IF(OR(Q404&lt;=2,V404="Cancelled"),"Blacklisted",IF(AND(P404&gt;100000,Q404&gt;=4,O404&lt;=10%,V404="Completed"),"Platinum",IF(AND(P404&gt;=50000,Q404&gt;=3,V404="Completed"),"Gold",IF(AND(P404&lt;50000,V404="Completed"),"Silver",""))))</f>
        <v/>
      </c>
      <c r="X404" t="str">
        <f>PROPER(TRIM(F404))</f>
        <v>Pooja Shah</v>
      </c>
      <c r="Y404" t="str">
        <f>LEFT(F404,3)&amp;MID(B404,2,3)&amp;LEFT(I404,2)</f>
        <v>Poo010Pu</v>
      </c>
      <c r="Z404" t="str">
        <f>IF(ISNUMBER(SEARCH("@",T404)),LOWER(TRIM(T404)),"invalid email")</f>
        <v>pooja.shah@company.com</v>
      </c>
      <c r="AA404" t="str">
        <f ca="1">IF(H403="","",IFERROR(DATEDIF(IF(ISNUMBER(H403),H403,DATE(VALUE(RIGHT(H403,4)),VALUE(MID(H403,3,2)),VALUE(LEFT(H403,2)))),TODAY(),"Y"),""))</f>
        <v/>
      </c>
      <c r="AB404" t="str">
        <f>IF(OR(D404="",E404=""),"",IFERROR(DATE(MID(E404,7,4),MID(E404,4,2),LEFT(E404,2))-DATE(MID(D404,7,4),MID(D404,4,2),LEFT(D404,2)),""))</f>
        <v/>
      </c>
      <c r="AC404" t="str">
        <f>IF(E404="","Pending",IF(AB404&lt;=5,"On time","Delayed"))</f>
        <v>Delayed</v>
      </c>
      <c r="AD404" s="29" t="str">
        <f>IF(TRIM(S404)="","Not Assigned",S404)</f>
        <v>Neha</v>
      </c>
      <c r="AE404" t="str">
        <f>PROPER(TRIM(F404))</f>
        <v>Pooja Shah</v>
      </c>
      <c r="AF404" t="str">
        <f>PROPER(TRIM(K404))</f>
        <v>Stationery</v>
      </c>
      <c r="AG404" t="str">
        <f>PROPER(TRIM(J404))</f>
        <v>West</v>
      </c>
      <c r="AH404" t="str">
        <f t="shared" si="12"/>
        <v>Stationery</v>
      </c>
      <c r="AI404" t="str">
        <f t="shared" si="13"/>
        <v>Stationery</v>
      </c>
      <c r="AK404">
        <f>IF(COUNTIF($A$2:A404,A404)=1,1,0)</f>
        <v>1</v>
      </c>
    </row>
    <row r="405" spans="1:37">
      <c r="A405" s="9" t="s">
        <v>1035</v>
      </c>
      <c r="B405" s="10" t="s">
        <v>266</v>
      </c>
      <c r="C405" s="10" t="s">
        <v>362</v>
      </c>
      <c r="D405" s="10" t="s">
        <v>197</v>
      </c>
      <c r="E405" s="11">
        <v>45694</v>
      </c>
      <c r="F405" s="10" t="s">
        <v>268</v>
      </c>
      <c r="G405" s="10" t="s">
        <v>269</v>
      </c>
      <c r="H405" s="10" t="s">
        <v>1036</v>
      </c>
      <c r="I405" s="10" t="s">
        <v>286</v>
      </c>
      <c r="J405" s="10" t="s">
        <v>287</v>
      </c>
      <c r="K405" s="10" t="s">
        <v>295</v>
      </c>
      <c r="L405" s="10" t="s">
        <v>363</v>
      </c>
      <c r="M405" s="10">
        <v>2</v>
      </c>
      <c r="N405" s="10">
        <v>45</v>
      </c>
      <c r="O405" s="10">
        <v>20</v>
      </c>
      <c r="P405" s="10">
        <v>72</v>
      </c>
      <c r="Q405" s="10">
        <v>5</v>
      </c>
      <c r="R405" s="10" t="s">
        <v>277</v>
      </c>
      <c r="S405" s="10" t="s">
        <v>246</v>
      </c>
      <c r="T405" s="10" t="s">
        <v>273</v>
      </c>
      <c r="U405" s="10">
        <v>9101231789</v>
      </c>
      <c r="V405" s="12" t="s">
        <v>265</v>
      </c>
      <c r="W405" t="str">
        <f>IF(OR(Q405&lt;=2,V405="Cancelled"),"Blacklisted",IF(AND(P405&gt;100000,Q405&gt;=4,O405&lt;=10%,V405="Completed"),"Platinum",IF(AND(P405&gt;=50000,Q405&gt;=3,V405="Completed"),"Gold",IF(AND(P405&lt;50000,V405="Completed"),"Silver",""))))</f>
        <v>Blacklisted</v>
      </c>
      <c r="X405" t="str">
        <f>PROPER(TRIM(F405))</f>
        <v>Mohit Verma</v>
      </c>
      <c r="Y405" t="str">
        <f>LEFT(F405,3)&amp;MID(B405,2,3)&amp;LEFT(I405,2)</f>
        <v>Moh009Mu</v>
      </c>
      <c r="Z405" t="str">
        <f>IF(ISNUMBER(SEARCH("@",T405)),LOWER(TRIM(T405)),"invalid email")</f>
        <v>mohit.verma@company.com</v>
      </c>
      <c r="AA405" t="str">
        <f ca="1">IF(H404="","",IFERROR(DATEDIF(IF(ISNUMBER(H404),H404,DATE(VALUE(RIGHT(H404,4)),VALUE(MID(H404,3,2)),VALUE(LEFT(H404,2)))),TODAY(),"Y"),""))</f>
        <v/>
      </c>
      <c r="AB405" t="str">
        <f>IF(OR(D405="",E405=""),"",IFERROR(DATE(MID(E405,7,4),MID(E405,4,2),LEFT(E405,2))-DATE(MID(D405,7,4),MID(D405,4,2),LEFT(D405,2)),""))</f>
        <v/>
      </c>
      <c r="AC405" t="str">
        <f>IF(E405="","Pending",IF(AB405&lt;=5,"On time","Delayed"))</f>
        <v>Delayed</v>
      </c>
      <c r="AD405" s="29" t="str">
        <f>IF(TRIM(S405)="","Not Assigned",S405)</f>
        <v>Aisha</v>
      </c>
      <c r="AE405" t="str">
        <f>PROPER(TRIM(F405))</f>
        <v>Mohit Verma</v>
      </c>
      <c r="AF405" t="str">
        <f>PROPER(TRIM(K405))</f>
        <v>Stationery</v>
      </c>
      <c r="AG405" t="str">
        <f>PROPER(TRIM(J405))</f>
        <v>West</v>
      </c>
      <c r="AH405" t="str">
        <f t="shared" si="12"/>
        <v>Stationery</v>
      </c>
      <c r="AI405" t="str">
        <f t="shared" si="13"/>
        <v>Stationery</v>
      </c>
      <c r="AK405">
        <f>IF(COUNTIF($A$2:A405,A405)=1,1,0)</f>
        <v>1</v>
      </c>
    </row>
    <row r="406" spans="1:37">
      <c r="A406" s="4" t="s">
        <v>1037</v>
      </c>
      <c r="B406" s="5" t="s">
        <v>284</v>
      </c>
      <c r="C406" s="5" t="s">
        <v>362</v>
      </c>
      <c r="D406" s="5" t="s">
        <v>160</v>
      </c>
      <c r="E406" s="6">
        <v>45810</v>
      </c>
      <c r="F406" s="5" t="s">
        <v>285</v>
      </c>
      <c r="G406" s="5" t="s">
        <v>239</v>
      </c>
      <c r="H406" s="5" t="s">
        <v>1038</v>
      </c>
      <c r="I406" s="5" t="s">
        <v>252</v>
      </c>
      <c r="J406" s="5" t="s">
        <v>242</v>
      </c>
      <c r="K406" s="5" t="s">
        <v>295</v>
      </c>
      <c r="L406" s="5" t="s">
        <v>363</v>
      </c>
      <c r="M406" s="5">
        <v>18</v>
      </c>
      <c r="N406" s="5">
        <v>45</v>
      </c>
      <c r="O406" s="5">
        <v>10</v>
      </c>
      <c r="P406" s="5">
        <v>729</v>
      </c>
      <c r="Q406" s="5">
        <v>2</v>
      </c>
      <c r="R406" s="5" t="s">
        <v>245</v>
      </c>
      <c r="S406" s="5" t="s">
        <v>292</v>
      </c>
      <c r="T406" s="5" t="s">
        <v>308</v>
      </c>
      <c r="U406" s="5">
        <v>9485017802</v>
      </c>
      <c r="V406" s="8" t="s">
        <v>248</v>
      </c>
      <c r="W406" t="str">
        <f>IF(OR(Q406&lt;=2,V406="Cancelled"),"Blacklisted",IF(AND(P406&gt;100000,Q406&gt;=4,O406&lt;=10%,V406="Completed"),"Platinum",IF(AND(P406&gt;=50000,Q406&gt;=3,V406="Completed"),"Gold",IF(AND(P406&lt;50000,V406="Completed"),"Silver",""))))</f>
        <v>Blacklisted</v>
      </c>
      <c r="X406" t="str">
        <f>PROPER(TRIM(F406))</f>
        <v>Priya Patel</v>
      </c>
      <c r="Y406" t="str">
        <f>LEFT(F406,3)&amp;MID(B406,2,3)&amp;LEFT(I406,2)</f>
        <v>Pri002Hy</v>
      </c>
      <c r="Z406" t="str">
        <f>IF(ISNUMBER(SEARCH("@",T406)),LOWER(TRIM(T406)),"invalid email")</f>
        <v>priya.patel@company.com</v>
      </c>
      <c r="AA406" t="str">
        <f ca="1">IF(H405="","",IFERROR(DATEDIF(IF(ISNUMBER(H405),H405,DATE(VALUE(RIGHT(H405,4)),VALUE(MID(H405,3,2)),VALUE(LEFT(H405,2)))),TODAY(),"Y"),""))</f>
        <v/>
      </c>
      <c r="AB406" t="str">
        <f>IF(OR(D406="",E406=""),"",IFERROR(DATE(MID(E406,7,4),MID(E406,4,2),LEFT(E406,2))-DATE(MID(D406,7,4),MID(D406,4,2),LEFT(D406,2)),""))</f>
        <v/>
      </c>
      <c r="AC406" t="str">
        <f>IF(E406="","Pending",IF(AB406&lt;=5,"On time","Delayed"))</f>
        <v>Delayed</v>
      </c>
      <c r="AD406" s="29" t="str">
        <f>IF(TRIM(S406)="","Not Assigned",S406)</f>
        <v>Neha</v>
      </c>
      <c r="AE406" t="str">
        <f>PROPER(TRIM(F406))</f>
        <v>Priya Patel</v>
      </c>
      <c r="AF406" t="str">
        <f>PROPER(TRIM(K406))</f>
        <v>Stationery</v>
      </c>
      <c r="AG406" t="str">
        <f>PROPER(TRIM(J406))</f>
        <v>South</v>
      </c>
      <c r="AH406" t="str">
        <f t="shared" si="12"/>
        <v>Stationery</v>
      </c>
      <c r="AI406" t="str">
        <f t="shared" si="13"/>
        <v>Stationery</v>
      </c>
      <c r="AK406">
        <f>IF(COUNTIF($A$2:A406,A406)=1,1,0)</f>
        <v>1</v>
      </c>
    </row>
    <row r="407" spans="1:37">
      <c r="A407" s="9" t="s">
        <v>1039</v>
      </c>
      <c r="B407" s="10" t="s">
        <v>299</v>
      </c>
      <c r="C407" s="10" t="s">
        <v>267</v>
      </c>
      <c r="D407" s="10" t="s">
        <v>136</v>
      </c>
      <c r="E407" s="11">
        <v>46023</v>
      </c>
      <c r="F407" s="10" t="s">
        <v>301</v>
      </c>
      <c r="G407" s="10" t="s">
        <v>269</v>
      </c>
      <c r="H407" s="10" t="s">
        <v>1040</v>
      </c>
      <c r="I407" s="10" t="s">
        <v>379</v>
      </c>
      <c r="J407" s="10" t="s">
        <v>21</v>
      </c>
      <c r="K407" s="10" t="s">
        <v>243</v>
      </c>
      <c r="L407" s="10" t="s">
        <v>271</v>
      </c>
      <c r="M407" s="10">
        <v>13</v>
      </c>
      <c r="N407" s="10">
        <v>1200</v>
      </c>
      <c r="O407" s="10">
        <v>5</v>
      </c>
      <c r="P407" s="10">
        <v>14820</v>
      </c>
      <c r="Q407" s="10">
        <v>4</v>
      </c>
      <c r="R407" s="10" t="s">
        <v>272</v>
      </c>
      <c r="S407" s="10" t="s">
        <v>292</v>
      </c>
      <c r="T407" s="10" t="s">
        <v>302</v>
      </c>
      <c r="U407" s="10">
        <v>9815464650</v>
      </c>
      <c r="V407" s="12" t="s">
        <v>257</v>
      </c>
      <c r="W407" t="str">
        <f>IF(OR(Q407&lt;=2,V407="Cancelled"),"Blacklisted",IF(AND(P407&gt;100000,Q407&gt;=4,O407&lt;=10%,V407="Completed"),"Platinum",IF(AND(P407&gt;=50000,Q407&gt;=3,V407="Completed"),"Gold",IF(AND(P407&lt;50000,V407="Completed"),"Silver",""))))</f>
        <v>Silver</v>
      </c>
      <c r="X407" t="str">
        <f>PROPER(TRIM(F407))</f>
        <v>Rohit Singh</v>
      </c>
      <c r="Y407" t="str">
        <f>LEFT(F407,3)&amp;MID(B407,2,3)&amp;LEFT(I407,2)</f>
        <v>Roh003Ko</v>
      </c>
      <c r="Z407" t="str">
        <f>IF(ISNUMBER(SEARCH("@",T407)),LOWER(TRIM(T407)),"invalid email")</f>
        <v>rohit.singh@company.com</v>
      </c>
      <c r="AA407" t="str">
        <f ca="1">IF(H406="","",IFERROR(DATEDIF(IF(ISNUMBER(H406),H406,DATE(VALUE(RIGHT(H406,4)),VALUE(MID(H406,3,2)),VALUE(LEFT(H406,2)))),TODAY(),"Y"),""))</f>
        <v/>
      </c>
      <c r="AB407" t="str">
        <f>IF(OR(D407="",E407=""),"",IFERROR(DATE(MID(E407,7,4),MID(E407,4,2),LEFT(E407,2))-DATE(MID(D407,7,4),MID(D407,4,2),LEFT(D407,2)),""))</f>
        <v/>
      </c>
      <c r="AC407" t="str">
        <f>IF(E407="","Pending",IF(AB407&lt;=5,"On time","Delayed"))</f>
        <v>Delayed</v>
      </c>
      <c r="AD407" s="29" t="str">
        <f>IF(TRIM(S407)="","Not Assigned",S407)</f>
        <v>Neha</v>
      </c>
      <c r="AE407" t="str">
        <f>PROPER(TRIM(F407))</f>
        <v>Rohit Singh</v>
      </c>
      <c r="AF407" t="str">
        <f>PROPER(TRIM(K407))</f>
        <v>Electronics</v>
      </c>
      <c r="AG407" t="str">
        <f>PROPER(TRIM(J407))</f>
        <v>East</v>
      </c>
      <c r="AH407" t="str">
        <f t="shared" si="12"/>
        <v>Electronics</v>
      </c>
      <c r="AI407" t="str">
        <f t="shared" si="13"/>
        <v>Electronics</v>
      </c>
      <c r="AK407">
        <f>IF(COUNTIF($A$2:A407,A407)=1,1,0)</f>
        <v>1</v>
      </c>
    </row>
    <row r="408" spans="1:37">
      <c r="A408" s="4" t="s">
        <v>1041</v>
      </c>
      <c r="B408" s="5" t="s">
        <v>249</v>
      </c>
      <c r="C408" s="5" t="s">
        <v>347</v>
      </c>
      <c r="D408" s="6">
        <v>46331</v>
      </c>
      <c r="E408" s="5" t="s">
        <v>1042</v>
      </c>
      <c r="F408" s="5" t="s">
        <v>251</v>
      </c>
      <c r="G408" s="5" t="s">
        <v>239</v>
      </c>
      <c r="H408" s="6">
        <v>38048</v>
      </c>
      <c r="I408" s="5" t="s">
        <v>252</v>
      </c>
      <c r="J408" s="5" t="s">
        <v>242</v>
      </c>
      <c r="K408" s="5" t="s">
        <v>295</v>
      </c>
      <c r="L408" s="5" t="s">
        <v>349</v>
      </c>
      <c r="M408" s="5">
        <v>14</v>
      </c>
      <c r="N408" s="5">
        <v>20</v>
      </c>
      <c r="O408" s="5">
        <v>20</v>
      </c>
      <c r="P408" s="5">
        <v>224</v>
      </c>
      <c r="Q408" s="5">
        <v>5</v>
      </c>
      <c r="R408" s="5" t="s">
        <v>277</v>
      </c>
      <c r="S408" s="5" t="s">
        <v>263</v>
      </c>
      <c r="T408" s="5" t="s">
        <v>264</v>
      </c>
      <c r="U408" s="5">
        <v>9860715839</v>
      </c>
      <c r="V408" s="8" t="s">
        <v>248</v>
      </c>
      <c r="W408" t="str">
        <f>IF(OR(Q408&lt;=2,V408="Cancelled"),"Blacklisted",IF(AND(P408&gt;100000,Q408&gt;=4,O408&lt;=10%,V408="Completed"),"Platinum",IF(AND(P408&gt;=50000,Q408&gt;=3,V408="Completed"),"Gold",IF(AND(P408&lt;50000,V408="Completed"),"Silver",""))))</f>
        <v/>
      </c>
      <c r="X408" t="str">
        <f>PROPER(TRIM(F408))</f>
        <v>Kavya Nair</v>
      </c>
      <c r="Y408" t="str">
        <f>LEFT(F408,3)&amp;MID(B408,2,3)&amp;LEFT(I408,2)</f>
        <v>Kav008Hy</v>
      </c>
      <c r="Z408" t="str">
        <f>IF(ISNUMBER(SEARCH("@",T408)),LOWER(TRIM(T408)),"invalid email")</f>
        <v>kavya.nair@company.com</v>
      </c>
      <c r="AA408" t="str">
        <f ca="1">IF(H407="","",IFERROR(DATEDIF(IF(ISNUMBER(H407),H407,DATE(VALUE(RIGHT(H407,4)),VALUE(MID(H407,3,2)),VALUE(LEFT(H407,2)))),TODAY(),"Y"),""))</f>
        <v/>
      </c>
      <c r="AB408" t="str">
        <f>IF(OR(D408="",E408=""),"",IFERROR(DATE(MID(E408,7,4),MID(E408,4,2),LEFT(E408,2))-DATE(MID(D408,7,4),MID(D408,4,2),LEFT(D408,2)),""))</f>
        <v/>
      </c>
      <c r="AC408" t="str">
        <f>IF(E408="","Pending",IF(AB408&lt;=5,"On time","Delayed"))</f>
        <v>Delayed</v>
      </c>
      <c r="AD408" s="29" t="str">
        <f>IF(TRIM(S408)="","Not Assigned",S408)</f>
        <v>Rahul</v>
      </c>
      <c r="AE408" t="str">
        <f>PROPER(TRIM(F408))</f>
        <v>Kavya Nair</v>
      </c>
      <c r="AF408" t="str">
        <f>PROPER(TRIM(K408))</f>
        <v>Stationery</v>
      </c>
      <c r="AG408" t="str">
        <f>PROPER(TRIM(J408))</f>
        <v>South</v>
      </c>
      <c r="AH408" t="str">
        <f t="shared" si="12"/>
        <v>Stationery</v>
      </c>
      <c r="AI408" t="str">
        <f t="shared" si="13"/>
        <v>Stationery</v>
      </c>
      <c r="AK408">
        <f>IF(COUNTIF($A$2:A408,A408)=1,1,0)</f>
        <v>1</v>
      </c>
    </row>
    <row r="409" spans="1:37">
      <c r="A409" s="9" t="s">
        <v>1043</v>
      </c>
      <c r="B409" s="10" t="s">
        <v>284</v>
      </c>
      <c r="C409" s="10" t="s">
        <v>280</v>
      </c>
      <c r="D409" s="11">
        <v>46328</v>
      </c>
      <c r="E409" s="10" t="s">
        <v>997</v>
      </c>
      <c r="F409" s="10" t="s">
        <v>285</v>
      </c>
      <c r="G409" s="10" t="s">
        <v>239</v>
      </c>
      <c r="H409" s="10" t="s">
        <v>1044</v>
      </c>
      <c r="I409" s="10" t="s">
        <v>252</v>
      </c>
      <c r="J409" s="10" t="s">
        <v>242</v>
      </c>
      <c r="K409" s="10" t="s">
        <v>15</v>
      </c>
      <c r="L409" s="10" t="s">
        <v>282</v>
      </c>
      <c r="M409" s="10">
        <v>16</v>
      </c>
      <c r="N409" s="10">
        <v>3500</v>
      </c>
      <c r="O409" s="10">
        <v>15</v>
      </c>
      <c r="P409" s="10">
        <v>47600</v>
      </c>
      <c r="Q409" s="10">
        <v>3</v>
      </c>
      <c r="R409" s="10" t="s">
        <v>277</v>
      </c>
      <c r="S409" s="10" t="s">
        <v>246</v>
      </c>
      <c r="T409" s="10" t="s">
        <v>308</v>
      </c>
      <c r="U409" s="10">
        <v>9207561051</v>
      </c>
      <c r="V409" s="12" t="s">
        <v>265</v>
      </c>
      <c r="W409" t="str">
        <f>IF(OR(Q409&lt;=2,V409="Cancelled"),"Blacklisted",IF(AND(P409&gt;100000,Q409&gt;=4,O409&lt;=10%,V409="Completed"),"Platinum",IF(AND(P409&gt;=50000,Q409&gt;=3,V409="Completed"),"Gold",IF(AND(P409&lt;50000,V409="Completed"),"Silver",""))))</f>
        <v>Blacklisted</v>
      </c>
      <c r="X409" t="str">
        <f>PROPER(TRIM(F409))</f>
        <v>Priya Patel</v>
      </c>
      <c r="Y409" t="str">
        <f>LEFT(F409,3)&amp;MID(B409,2,3)&amp;LEFT(I409,2)</f>
        <v>Pri002Hy</v>
      </c>
      <c r="Z409" t="str">
        <f>IF(ISNUMBER(SEARCH("@",T409)),LOWER(TRIM(T409)),"invalid email")</f>
        <v>priya.patel@company.com</v>
      </c>
      <c r="AA409">
        <f ca="1">IF(H408="","",IFERROR(DATEDIF(IF(ISNUMBER(H408),H408,DATE(VALUE(RIGHT(H408,4)),VALUE(MID(H408,3,2)),VALUE(LEFT(H408,2)))),TODAY(),"Y"),""))</f>
        <v>22</v>
      </c>
      <c r="AB409" t="str">
        <f>IF(OR(D409="",E409=""),"",IFERROR(DATE(MID(E409,7,4),MID(E409,4,2),LEFT(E409,2))-DATE(MID(D409,7,4),MID(D409,4,2),LEFT(D409,2)),""))</f>
        <v/>
      </c>
      <c r="AC409" t="str">
        <f>IF(E409="","Pending",IF(AB409&lt;=5,"On time","Delayed"))</f>
        <v>Delayed</v>
      </c>
      <c r="AD409" s="29" t="str">
        <f>IF(TRIM(S409)="","Not Assigned",S409)</f>
        <v>Aisha</v>
      </c>
      <c r="AE409" t="str">
        <f>PROPER(TRIM(F409))</f>
        <v>Priya Patel</v>
      </c>
      <c r="AF409" t="str">
        <f>PROPER(TRIM(K409))</f>
        <v>Home Appliances</v>
      </c>
      <c r="AG409" t="str">
        <f>PROPER(TRIM(J409))</f>
        <v>South</v>
      </c>
      <c r="AH409" t="str">
        <f t="shared" si="12"/>
        <v>Home Appliances</v>
      </c>
      <c r="AI409" t="str">
        <f t="shared" si="13"/>
        <v>Home Appliances</v>
      </c>
      <c r="AK409">
        <f>IF(COUNTIF($A$2:A409,A409)=1,1,0)</f>
        <v>1</v>
      </c>
    </row>
    <row r="410" spans="1:37">
      <c r="A410" s="4" t="s">
        <v>1045</v>
      </c>
      <c r="B410" s="5" t="s">
        <v>358</v>
      </c>
      <c r="C410" s="5" t="s">
        <v>347</v>
      </c>
      <c r="D410" s="5" t="s">
        <v>42</v>
      </c>
      <c r="E410" s="5" t="s">
        <v>728</v>
      </c>
      <c r="F410" s="5" t="s">
        <v>359</v>
      </c>
      <c r="G410" s="5" t="s">
        <v>239</v>
      </c>
      <c r="H410" s="5" t="s">
        <v>1046</v>
      </c>
      <c r="I410" s="5" t="s">
        <v>241</v>
      </c>
      <c r="J410" s="5" t="s">
        <v>242</v>
      </c>
      <c r="K410" s="5" t="s">
        <v>295</v>
      </c>
      <c r="L410" s="5" t="s">
        <v>349</v>
      </c>
      <c r="M410" s="5">
        <v>20</v>
      </c>
      <c r="N410" s="5">
        <v>20</v>
      </c>
      <c r="O410" s="5">
        <v>15</v>
      </c>
      <c r="P410" s="5">
        <v>340</v>
      </c>
      <c r="Q410" s="5">
        <v>1</v>
      </c>
      <c r="R410" s="5" t="s">
        <v>245</v>
      </c>
      <c r="S410" s="5" t="s">
        <v>246</v>
      </c>
      <c r="T410" s="5" t="s">
        <v>360</v>
      </c>
      <c r="U410" s="5">
        <v>9159894508</v>
      </c>
      <c r="V410" s="8" t="s">
        <v>265</v>
      </c>
      <c r="W410" t="str">
        <f>IF(OR(Q410&lt;=2,V410="Cancelled"),"Blacklisted",IF(AND(P410&gt;100000,Q410&gt;=4,O410&lt;=10%,V410="Completed"),"Platinum",IF(AND(P410&gt;=50000,Q410&gt;=3,V410="Completed"),"Gold",IF(AND(P410&lt;50000,V410="Completed"),"Silver",""))))</f>
        <v>Blacklisted</v>
      </c>
      <c r="X410" t="str">
        <f>PROPER(TRIM(F410))</f>
        <v>Sneha Joshi</v>
      </c>
      <c r="Y410" t="str">
        <f>LEFT(F410,3)&amp;MID(B410,2,3)&amp;LEFT(I410,2)</f>
        <v>Sne006Be</v>
      </c>
      <c r="Z410" t="str">
        <f>IF(ISNUMBER(SEARCH("@",T410)),LOWER(TRIM(T410)),"invalid email")</f>
        <v>sneha.joshi@company.com</v>
      </c>
      <c r="AA410" t="str">
        <f ca="1">IF(H409="","",IFERROR(DATEDIF(IF(ISNUMBER(H409),H409,DATE(VALUE(RIGHT(H409,4)),VALUE(MID(H409,3,2)),VALUE(LEFT(H409,2)))),TODAY(),"Y"),""))</f>
        <v/>
      </c>
      <c r="AB410">
        <f>IF(OR(D410="",E410=""),"",IFERROR(DATE(MID(E410,7,4),MID(E410,4,2),LEFT(E410,2))-DATE(MID(D410,7,4),MID(D410,4,2),LEFT(D410,2)),""))</f>
        <v>8</v>
      </c>
      <c r="AC410" t="str">
        <f>IF(E410="","Pending",IF(AB410&lt;=5,"On time","Delayed"))</f>
        <v>Delayed</v>
      </c>
      <c r="AD410" s="29" t="str">
        <f>IF(TRIM(S410)="","Not Assigned",S410)</f>
        <v>Aisha</v>
      </c>
      <c r="AE410" t="str">
        <f>PROPER(TRIM(F410))</f>
        <v>Sneha Joshi</v>
      </c>
      <c r="AF410" t="str">
        <f>PROPER(TRIM(K410))</f>
        <v>Stationery</v>
      </c>
      <c r="AG410" t="str">
        <f>PROPER(TRIM(J410))</f>
        <v>South</v>
      </c>
      <c r="AH410" t="str">
        <f t="shared" si="12"/>
        <v>Stationery</v>
      </c>
      <c r="AI410" t="str">
        <f t="shared" si="13"/>
        <v>Stationery</v>
      </c>
      <c r="AK410">
        <f>IF(COUNTIF($A$2:A410,A410)=1,1,0)</f>
        <v>1</v>
      </c>
    </row>
    <row r="411" spans="1:37">
      <c r="A411" s="9" t="s">
        <v>1047</v>
      </c>
      <c r="B411" s="10" t="s">
        <v>321</v>
      </c>
      <c r="C411" s="10" t="s">
        <v>236</v>
      </c>
      <c r="D411" s="11">
        <v>45904</v>
      </c>
      <c r="E411" s="10" t="s">
        <v>536</v>
      </c>
      <c r="F411" s="10" t="s">
        <v>408</v>
      </c>
      <c r="G411" s="10" t="s">
        <v>239</v>
      </c>
      <c r="H411" s="11">
        <v>29201</v>
      </c>
      <c r="I411" s="10" t="s">
        <v>306</v>
      </c>
      <c r="J411" s="10" t="s">
        <v>287</v>
      </c>
      <c r="K411" s="10" t="s">
        <v>243</v>
      </c>
      <c r="L411" s="10" t="s">
        <v>244</v>
      </c>
      <c r="M411" s="10">
        <v>1</v>
      </c>
      <c r="N411" s="10">
        <v>55000</v>
      </c>
      <c r="O411" s="10">
        <v>15</v>
      </c>
      <c r="P411" s="10">
        <v>46750</v>
      </c>
      <c r="Q411" s="10">
        <v>2</v>
      </c>
      <c r="R411" s="10" t="s">
        <v>277</v>
      </c>
      <c r="S411" s="10" t="s">
        <v>292</v>
      </c>
      <c r="T411" s="10" t="s">
        <v>326</v>
      </c>
      <c r="U411" s="10">
        <v>9531465024</v>
      </c>
      <c r="V411" s="12" t="s">
        <v>265</v>
      </c>
      <c r="W411" t="str">
        <f>IF(OR(Q411&lt;=2,V411="Cancelled"),"Blacklisted",IF(AND(P411&gt;100000,Q411&gt;=4,O411&lt;=10%,V411="Completed"),"Platinum",IF(AND(P411&gt;=50000,Q411&gt;=3,V411="Completed"),"Gold",IF(AND(P411&lt;50000,V411="Completed"),"Silver",""))))</f>
        <v>Blacklisted</v>
      </c>
      <c r="X411" t="str">
        <f>PROPER(TRIM(F411))</f>
        <v>Anita Gupta</v>
      </c>
      <c r="Y411" t="str">
        <f>LEFT(F411,3)&amp;MID(B411,2,3)&amp;LEFT(I411,2)</f>
        <v>Ani004Ah</v>
      </c>
      <c r="Z411" t="str">
        <f>IF(ISNUMBER(SEARCH("@",T411)),LOWER(TRIM(T411)),"invalid email")</f>
        <v>anita.gupta@company.com</v>
      </c>
      <c r="AA411" t="str">
        <f ca="1">IF(H410="","",IFERROR(DATEDIF(IF(ISNUMBER(H410),H410,DATE(VALUE(RIGHT(H410,4)),VALUE(MID(H410,3,2)),VALUE(LEFT(H410,2)))),TODAY(),"Y"),""))</f>
        <v/>
      </c>
      <c r="AB411" t="str">
        <f>IF(OR(D411="",E411=""),"",IFERROR(DATE(MID(E411,7,4),MID(E411,4,2),LEFT(E411,2))-DATE(MID(D411,7,4),MID(D411,4,2),LEFT(D411,2)),""))</f>
        <v/>
      </c>
      <c r="AC411" t="str">
        <f>IF(E411="","Pending",IF(AB411&lt;=5,"On time","Delayed"))</f>
        <v>Delayed</v>
      </c>
      <c r="AD411" s="29" t="str">
        <f>IF(TRIM(S411)="","Not Assigned",S411)</f>
        <v>Neha</v>
      </c>
      <c r="AE411" t="str">
        <f>PROPER(TRIM(F411))</f>
        <v>Anita Gupta</v>
      </c>
      <c r="AF411" t="str">
        <f>PROPER(TRIM(K411))</f>
        <v>Electronics</v>
      </c>
      <c r="AG411" t="str">
        <f>PROPER(TRIM(J411))</f>
        <v>West</v>
      </c>
      <c r="AH411" t="str">
        <f t="shared" si="12"/>
        <v>Electronics</v>
      </c>
      <c r="AI411" t="str">
        <f t="shared" si="13"/>
        <v>Electronics</v>
      </c>
      <c r="AK411">
        <f>IF(COUNTIF($A$2:A411,A411)=1,1,0)</f>
        <v>1</v>
      </c>
    </row>
    <row r="412" spans="1:37">
      <c r="A412" s="4" t="s">
        <v>1048</v>
      </c>
      <c r="B412" s="5" t="s">
        <v>284</v>
      </c>
      <c r="C412" s="5" t="s">
        <v>294</v>
      </c>
      <c r="D412" s="5" t="s">
        <v>31</v>
      </c>
      <c r="E412" s="5" t="s">
        <v>519</v>
      </c>
      <c r="F412" s="5" t="s">
        <v>285</v>
      </c>
      <c r="G412" s="5" t="s">
        <v>239</v>
      </c>
      <c r="H412" s="5" t="s">
        <v>1049</v>
      </c>
      <c r="I412" s="5" t="s">
        <v>306</v>
      </c>
      <c r="J412" s="5" t="s">
        <v>287</v>
      </c>
      <c r="K412" s="5" t="s">
        <v>295</v>
      </c>
      <c r="L412" s="5" t="s">
        <v>296</v>
      </c>
      <c r="M412" s="5">
        <v>15</v>
      </c>
      <c r="N412" s="5">
        <v>60</v>
      </c>
      <c r="O412" s="5">
        <v>5</v>
      </c>
      <c r="P412" s="5">
        <v>855</v>
      </c>
      <c r="Q412" s="5">
        <v>4</v>
      </c>
      <c r="R412" s="5" t="s">
        <v>245</v>
      </c>
      <c r="S412" s="5" t="s">
        <v>246</v>
      </c>
      <c r="T412" s="5" t="s">
        <v>308</v>
      </c>
      <c r="U412" s="5">
        <v>9158813608</v>
      </c>
      <c r="V412" s="8" t="s">
        <v>257</v>
      </c>
      <c r="W412" t="str">
        <f>IF(OR(Q412&lt;=2,V412="Cancelled"),"Blacklisted",IF(AND(P412&gt;100000,Q412&gt;=4,O412&lt;=10%,V412="Completed"),"Platinum",IF(AND(P412&gt;=50000,Q412&gt;=3,V412="Completed"),"Gold",IF(AND(P412&lt;50000,V412="Completed"),"Silver",""))))</f>
        <v>Silver</v>
      </c>
      <c r="X412" t="str">
        <f>PROPER(TRIM(F412))</f>
        <v>Priya Patel</v>
      </c>
      <c r="Y412" t="str">
        <f>LEFT(F412,3)&amp;MID(B412,2,3)&amp;LEFT(I412,2)</f>
        <v>Pri002Ah</v>
      </c>
      <c r="Z412" t="str">
        <f>IF(ISNUMBER(SEARCH("@",T412)),LOWER(TRIM(T412)),"invalid email")</f>
        <v>priya.patel@company.com</v>
      </c>
      <c r="AA412">
        <f ca="1">IF(H411="","",IFERROR(DATEDIF(IF(ISNUMBER(H411),H411,DATE(VALUE(RIGHT(H411,4)),VALUE(MID(H411,3,2)),VALUE(LEFT(H411,2)))),TODAY(),"Y"),""))</f>
        <v>46</v>
      </c>
      <c r="AB412">
        <f>IF(OR(D412="",E412=""),"",IFERROR(DATE(MID(E412,7,4),MID(E412,4,2),LEFT(E412,2))-DATE(MID(D412,7,4),MID(D412,4,2),LEFT(D412,2)),""))</f>
        <v>5</v>
      </c>
      <c r="AC412" t="str">
        <f>IF(E412="","Pending",IF(AB412&lt;=5,"On time","Delayed"))</f>
        <v>On time</v>
      </c>
      <c r="AD412" s="29" t="str">
        <f>IF(TRIM(S412)="","Not Assigned",S412)</f>
        <v>Aisha</v>
      </c>
      <c r="AE412" t="str">
        <f>PROPER(TRIM(F412))</f>
        <v>Priya Patel</v>
      </c>
      <c r="AF412" t="str">
        <f>PROPER(TRIM(K412))</f>
        <v>Stationery</v>
      </c>
      <c r="AG412" t="str">
        <f>PROPER(TRIM(J412))</f>
        <v>West</v>
      </c>
      <c r="AH412" t="str">
        <f t="shared" si="12"/>
        <v>Stationery</v>
      </c>
      <c r="AI412" t="str">
        <f t="shared" si="13"/>
        <v>Stationery</v>
      </c>
      <c r="AK412">
        <f>IF(COUNTIF($A$2:A412,A412)=1,1,0)</f>
        <v>1</v>
      </c>
    </row>
    <row r="413" spans="1:37">
      <c r="A413" s="9" t="s">
        <v>1050</v>
      </c>
      <c r="B413" s="10" t="s">
        <v>275</v>
      </c>
      <c r="C413" s="10" t="s">
        <v>330</v>
      </c>
      <c r="D413" s="10" t="s">
        <v>164</v>
      </c>
      <c r="E413" s="11">
        <v>46057</v>
      </c>
      <c r="F413" s="10" t="s">
        <v>328</v>
      </c>
      <c r="G413" s="10" t="s">
        <v>269</v>
      </c>
      <c r="H413" s="11">
        <v>28006</v>
      </c>
      <c r="I413" s="10" t="s">
        <v>286</v>
      </c>
      <c r="J413" s="10" t="s">
        <v>287</v>
      </c>
      <c r="K413" s="10" t="s">
        <v>243</v>
      </c>
      <c r="L413" s="10" t="s">
        <v>333</v>
      </c>
      <c r="M413" s="10">
        <v>15</v>
      </c>
      <c r="N413" s="10">
        <v>700</v>
      </c>
      <c r="O413" s="10">
        <v>0</v>
      </c>
      <c r="P413" s="10">
        <v>10500</v>
      </c>
      <c r="Q413" s="10">
        <v>5</v>
      </c>
      <c r="R413" s="10" t="s">
        <v>245</v>
      </c>
      <c r="S413" s="10" t="s">
        <v>292</v>
      </c>
      <c r="T413" s="10" t="s">
        <v>278</v>
      </c>
      <c r="U413" s="10">
        <v>9308461700</v>
      </c>
      <c r="V413" s="12" t="s">
        <v>257</v>
      </c>
      <c r="W413" t="str">
        <f>IF(OR(Q413&lt;=2,V413="Cancelled"),"Blacklisted",IF(AND(P413&gt;100000,Q413&gt;=4,O413&lt;=10%,V413="Completed"),"Platinum",IF(AND(P413&gt;=50000,Q413&gt;=3,V413="Completed"),"Gold",IF(AND(P413&lt;50000,V413="Completed"),"Silver",""))))</f>
        <v>Silver</v>
      </c>
      <c r="X413" t="str">
        <f>PROPER(TRIM(F413))</f>
        <v>Arjun Rao</v>
      </c>
      <c r="Y413" t="str">
        <f>LEFT(F413,3)&amp;MID(B413,2,3)&amp;LEFT(I413,2)</f>
        <v>Arj007Mu</v>
      </c>
      <c r="Z413" t="str">
        <f>IF(ISNUMBER(SEARCH("@",T413)),LOWER(TRIM(T413)),"invalid email")</f>
        <v>arjun.rao@company.com</v>
      </c>
      <c r="AA413" t="str">
        <f ca="1">IF(H412="","",IFERROR(DATEDIF(IF(ISNUMBER(H412),H412,DATE(VALUE(RIGHT(H412,4)),VALUE(MID(H412,3,2)),VALUE(LEFT(H412,2)))),TODAY(),"Y"),""))</f>
        <v/>
      </c>
      <c r="AB413" t="str">
        <f>IF(OR(D413="",E413=""),"",IFERROR(DATE(MID(E413,7,4),MID(E413,4,2),LEFT(E413,2))-DATE(MID(D413,7,4),MID(D413,4,2),LEFT(D413,2)),""))</f>
        <v/>
      </c>
      <c r="AC413" t="str">
        <f>IF(E413="","Pending",IF(AB413&lt;=5,"On time","Delayed"))</f>
        <v>Delayed</v>
      </c>
      <c r="AD413" s="29" t="str">
        <f>IF(TRIM(S413)="","Not Assigned",S413)</f>
        <v>Neha</v>
      </c>
      <c r="AE413" t="str">
        <f>PROPER(TRIM(F413))</f>
        <v>Arjun Rao</v>
      </c>
      <c r="AF413" t="str">
        <f>PROPER(TRIM(K413))</f>
        <v>Electronics</v>
      </c>
      <c r="AG413" t="str">
        <f>PROPER(TRIM(J413))</f>
        <v>West</v>
      </c>
      <c r="AH413" t="str">
        <f t="shared" si="12"/>
        <v>Electronics</v>
      </c>
      <c r="AI413" t="str">
        <f t="shared" si="13"/>
        <v>Electronics</v>
      </c>
      <c r="AK413">
        <f>IF(COUNTIF($A$2:A413,A413)=1,1,0)</f>
        <v>1</v>
      </c>
    </row>
    <row r="414" spans="1:37">
      <c r="A414" s="4" t="s">
        <v>1051</v>
      </c>
      <c r="B414" s="5" t="s">
        <v>346</v>
      </c>
      <c r="C414" s="5" t="s">
        <v>258</v>
      </c>
      <c r="D414" s="6">
        <v>46143</v>
      </c>
      <c r="E414" s="6">
        <v>46266</v>
      </c>
      <c r="F414" s="5" t="s">
        <v>348</v>
      </c>
      <c r="G414" s="5" t="s">
        <v>269</v>
      </c>
      <c r="H414" s="5" t="s">
        <v>1052</v>
      </c>
      <c r="I414" s="5" t="s">
        <v>379</v>
      </c>
      <c r="J414" s="5" t="s">
        <v>21</v>
      </c>
      <c r="K414" s="5" t="s">
        <v>243</v>
      </c>
      <c r="L414" s="5" t="s">
        <v>262</v>
      </c>
      <c r="M414" s="5">
        <v>13</v>
      </c>
      <c r="N414" s="5">
        <v>12000</v>
      </c>
      <c r="O414" s="5">
        <v>10</v>
      </c>
      <c r="P414" s="5">
        <v>140400</v>
      </c>
      <c r="Q414" s="5">
        <v>1</v>
      </c>
      <c r="R414" s="5" t="s">
        <v>254</v>
      </c>
      <c r="S414" s="5" t="s">
        <v>312</v>
      </c>
      <c r="T414" s="5" t="s">
        <v>350</v>
      </c>
      <c r="U414" s="5">
        <v>9882279049</v>
      </c>
      <c r="V414" s="8" t="s">
        <v>265</v>
      </c>
      <c r="W414" t="str">
        <f>IF(OR(Q414&lt;=2,V414="Cancelled"),"Blacklisted",IF(AND(P414&gt;100000,Q414&gt;=4,O414&lt;=10%,V414="Completed"),"Platinum",IF(AND(P414&gt;=50000,Q414&gt;=3,V414="Completed"),"Gold",IF(AND(P414&lt;50000,V414="Completed"),"Silver",""))))</f>
        <v>Blacklisted</v>
      </c>
      <c r="X414" t="str">
        <f>PROPER(TRIM(F414))</f>
        <v>Vikas Mehta</v>
      </c>
      <c r="Y414" t="str">
        <f>LEFT(F414,3)&amp;MID(B414,2,3)&amp;LEFT(I414,2)</f>
        <v>Vik005Ko</v>
      </c>
      <c r="Z414" t="str">
        <f>IF(ISNUMBER(SEARCH("@",T414)),LOWER(TRIM(T414)),"invalid email")</f>
        <v>vikas.mehta@company.com</v>
      </c>
      <c r="AA414">
        <f ca="1">IF(H413="","",IFERROR(DATEDIF(IF(ISNUMBER(H413),H413,DATE(VALUE(RIGHT(H413,4)),VALUE(MID(H413,3,2)),VALUE(LEFT(H413,2)))),TODAY(),"Y"),""))</f>
        <v>50</v>
      </c>
      <c r="AB414" t="str">
        <f>IF(OR(D414="",E414=""),"",IFERROR(DATE(MID(E414,7,4),MID(E414,4,2),LEFT(E414,2))-DATE(MID(D414,7,4),MID(D414,4,2),LEFT(D414,2)),""))</f>
        <v/>
      </c>
      <c r="AC414" t="str">
        <f>IF(E414="","Pending",IF(AB414&lt;=5,"On time","Delayed"))</f>
        <v>Delayed</v>
      </c>
      <c r="AD414" s="29" t="str">
        <f>IF(TRIM(S414)="","Not Assigned",S414)</f>
        <v>Karan</v>
      </c>
      <c r="AE414" t="str">
        <f>PROPER(TRIM(F414))</f>
        <v>Vikas Mehta</v>
      </c>
      <c r="AF414" t="str">
        <f>PROPER(TRIM(K414))</f>
        <v>Electronics</v>
      </c>
      <c r="AG414" t="str">
        <f>PROPER(TRIM(J414))</f>
        <v>East</v>
      </c>
      <c r="AH414" t="str">
        <f t="shared" si="12"/>
        <v>Electronics</v>
      </c>
      <c r="AI414" t="str">
        <f t="shared" si="13"/>
        <v>Electronics</v>
      </c>
      <c r="AK414">
        <f>IF(COUNTIF($A$2:A414,A414)=1,1,0)</f>
        <v>1</v>
      </c>
    </row>
    <row r="415" spans="1:37">
      <c r="A415" s="9" t="s">
        <v>1053</v>
      </c>
      <c r="B415" s="10" t="s">
        <v>275</v>
      </c>
      <c r="C415" s="10" t="s">
        <v>258</v>
      </c>
      <c r="D415" s="10" t="s">
        <v>60</v>
      </c>
      <c r="E415" s="10" t="s">
        <v>186</v>
      </c>
      <c r="F415" s="10" t="s">
        <v>328</v>
      </c>
      <c r="G415" s="10" t="s">
        <v>269</v>
      </c>
      <c r="H415" s="10" t="s">
        <v>1054</v>
      </c>
      <c r="I415" s="10" t="s">
        <v>252</v>
      </c>
      <c r="J415" s="10" t="s">
        <v>242</v>
      </c>
      <c r="K415" s="10" t="s">
        <v>243</v>
      </c>
      <c r="L415" s="10" t="s">
        <v>262</v>
      </c>
      <c r="M415" s="10">
        <v>12</v>
      </c>
      <c r="N415" s="10">
        <v>12000</v>
      </c>
      <c r="O415" s="10">
        <v>20</v>
      </c>
      <c r="P415" s="10">
        <v>115200</v>
      </c>
      <c r="Q415" s="10">
        <v>2</v>
      </c>
      <c r="R415" s="10" t="s">
        <v>254</v>
      </c>
      <c r="S415" s="10" t="s">
        <v>255</v>
      </c>
      <c r="T415" s="10" t="s">
        <v>278</v>
      </c>
      <c r="U415" s="10">
        <v>9961801338</v>
      </c>
      <c r="V415" s="12" t="s">
        <v>257</v>
      </c>
      <c r="W415" t="str">
        <f>IF(OR(Q415&lt;=2,V415="Cancelled"),"Blacklisted",IF(AND(P415&gt;100000,Q415&gt;=4,O415&lt;=10%,V415="Completed"),"Platinum",IF(AND(P415&gt;=50000,Q415&gt;=3,V415="Completed"),"Gold",IF(AND(P415&lt;50000,V415="Completed"),"Silver",""))))</f>
        <v>Blacklisted</v>
      </c>
      <c r="X415" t="str">
        <f>PROPER(TRIM(F415))</f>
        <v>Arjun Rao</v>
      </c>
      <c r="Y415" t="str">
        <f>LEFT(F415,3)&amp;MID(B415,2,3)&amp;LEFT(I415,2)</f>
        <v>Arj007Hy</v>
      </c>
      <c r="Z415" t="str">
        <f>IF(ISNUMBER(SEARCH("@",T415)),LOWER(TRIM(T415)),"invalid email")</f>
        <v>arjun.rao@company.com</v>
      </c>
      <c r="AA415" t="str">
        <f ca="1">IF(H414="","",IFERROR(DATEDIF(IF(ISNUMBER(H414),H414,DATE(VALUE(RIGHT(H414,4)),VALUE(MID(H414,3,2)),VALUE(LEFT(H414,2)))),TODAY(),"Y"),""))</f>
        <v/>
      </c>
      <c r="AB415">
        <f>IF(OR(D415="",E415=""),"",IFERROR(DATE(MID(E415,7,4),MID(E415,4,2),LEFT(E415,2))-DATE(MID(D415,7,4),MID(D415,4,2),LEFT(D415,2)),""))</f>
        <v>12</v>
      </c>
      <c r="AC415" t="str">
        <f>IF(E415="","Pending",IF(AB415&lt;=5,"On time","Delayed"))</f>
        <v>Delayed</v>
      </c>
      <c r="AD415" s="29" t="str">
        <f>IF(TRIM(S415)="","Not Assigned",S415)</f>
        <v>Ritika</v>
      </c>
      <c r="AE415" t="str">
        <f>PROPER(TRIM(F415))</f>
        <v>Arjun Rao</v>
      </c>
      <c r="AF415" t="str">
        <f>PROPER(TRIM(K415))</f>
        <v>Electronics</v>
      </c>
      <c r="AG415" t="str">
        <f>PROPER(TRIM(J415))</f>
        <v>South</v>
      </c>
      <c r="AH415" t="str">
        <f t="shared" si="12"/>
        <v>Electronics</v>
      </c>
      <c r="AI415" t="str">
        <f t="shared" si="13"/>
        <v>Electronics</v>
      </c>
      <c r="AK415">
        <f>IF(COUNTIF($A$2:A415,A415)=1,1,0)</f>
        <v>1</v>
      </c>
    </row>
    <row r="416" spans="1:37">
      <c r="A416" s="4" t="s">
        <v>1055</v>
      </c>
      <c r="B416" s="5" t="s">
        <v>275</v>
      </c>
      <c r="C416" s="5" t="s">
        <v>362</v>
      </c>
      <c r="D416" s="5" t="s">
        <v>140</v>
      </c>
      <c r="E416" s="5" t="s">
        <v>184</v>
      </c>
      <c r="F416" s="5" t="s">
        <v>328</v>
      </c>
      <c r="G416" s="5" t="s">
        <v>269</v>
      </c>
      <c r="H416" s="6">
        <v>37931</v>
      </c>
      <c r="I416" s="5" t="s">
        <v>286</v>
      </c>
      <c r="J416" s="5" t="s">
        <v>287</v>
      </c>
      <c r="K416" s="5" t="s">
        <v>295</v>
      </c>
      <c r="L416" s="5" t="s">
        <v>363</v>
      </c>
      <c r="M416" s="5">
        <v>10</v>
      </c>
      <c r="N416" s="5">
        <v>45</v>
      </c>
      <c r="O416" s="5">
        <v>0</v>
      </c>
      <c r="P416" s="5">
        <v>450</v>
      </c>
      <c r="Q416" s="5">
        <v>5</v>
      </c>
      <c r="R416" s="5" t="s">
        <v>272</v>
      </c>
      <c r="S416" s="5" t="s">
        <v>292</v>
      </c>
      <c r="T416" s="5" t="s">
        <v>278</v>
      </c>
      <c r="U416" s="5">
        <v>9853525026</v>
      </c>
      <c r="V416" s="8" t="s">
        <v>265</v>
      </c>
      <c r="W416" t="str">
        <f>IF(OR(Q416&lt;=2,V416="Cancelled"),"Blacklisted",IF(AND(P416&gt;100000,Q416&gt;=4,O416&lt;=10%,V416="Completed"),"Platinum",IF(AND(P416&gt;=50000,Q416&gt;=3,V416="Completed"),"Gold",IF(AND(P416&lt;50000,V416="Completed"),"Silver",""))))</f>
        <v>Blacklisted</v>
      </c>
      <c r="X416" t="str">
        <f>PROPER(TRIM(F416))</f>
        <v>Arjun Rao</v>
      </c>
      <c r="Y416" t="str">
        <f>LEFT(F416,3)&amp;MID(B416,2,3)&amp;LEFT(I416,2)</f>
        <v>Arj007Mu</v>
      </c>
      <c r="Z416" t="str">
        <f>IF(ISNUMBER(SEARCH("@",T416)),LOWER(TRIM(T416)),"invalid email")</f>
        <v>arjun.rao@company.com</v>
      </c>
      <c r="AA416" t="str">
        <f ca="1">IF(H415="","",IFERROR(DATEDIF(IF(ISNUMBER(H415),H415,DATE(VALUE(RIGHT(H415,4)),VALUE(MID(H415,3,2)),VALUE(LEFT(H415,2)))),TODAY(),"Y"),""))</f>
        <v/>
      </c>
      <c r="AB416">
        <f>IF(OR(D416="",E416=""),"",IFERROR(DATE(MID(E416,7,4),MID(E416,4,2),LEFT(E416,2))-DATE(MID(D416,7,4),MID(D416,4,2),LEFT(D416,2)),""))</f>
        <v>4</v>
      </c>
      <c r="AC416" t="str">
        <f>IF(E416="","Pending",IF(AB416&lt;=5,"On time","Delayed"))</f>
        <v>On time</v>
      </c>
      <c r="AD416" s="29" t="str">
        <f>IF(TRIM(S416)="","Not Assigned",S416)</f>
        <v>Neha</v>
      </c>
      <c r="AE416" t="str">
        <f>PROPER(TRIM(F416))</f>
        <v>Arjun Rao</v>
      </c>
      <c r="AF416" t="str">
        <f>PROPER(TRIM(K416))</f>
        <v>Stationery</v>
      </c>
      <c r="AG416" t="str">
        <f>PROPER(TRIM(J416))</f>
        <v>West</v>
      </c>
      <c r="AH416" t="str">
        <f t="shared" si="12"/>
        <v>Stationery</v>
      </c>
      <c r="AI416" t="str">
        <f t="shared" si="13"/>
        <v>Stationery</v>
      </c>
      <c r="AK416">
        <f>IF(COUNTIF($A$2:A416,A416)=1,1,0)</f>
        <v>1</v>
      </c>
    </row>
    <row r="417" spans="1:37">
      <c r="A417" s="9" t="s">
        <v>1056</v>
      </c>
      <c r="B417" s="10" t="s">
        <v>299</v>
      </c>
      <c r="C417" s="10" t="s">
        <v>267</v>
      </c>
      <c r="D417" s="10" t="s">
        <v>165</v>
      </c>
      <c r="E417" s="11">
        <v>45905</v>
      </c>
      <c r="F417" s="10" t="s">
        <v>301</v>
      </c>
      <c r="G417" s="10" t="s">
        <v>269</v>
      </c>
      <c r="H417" s="11">
        <v>29871</v>
      </c>
      <c r="I417" s="10" t="s">
        <v>286</v>
      </c>
      <c r="J417" s="10" t="s">
        <v>287</v>
      </c>
      <c r="K417" s="10" t="s">
        <v>243</v>
      </c>
      <c r="L417" s="10" t="s">
        <v>271</v>
      </c>
      <c r="M417" s="10">
        <v>20</v>
      </c>
      <c r="N417" s="10">
        <v>1200</v>
      </c>
      <c r="O417" s="10">
        <v>20</v>
      </c>
      <c r="P417" s="10">
        <v>19200</v>
      </c>
      <c r="Q417" s="10">
        <v>5</v>
      </c>
      <c r="R417" s="10" t="s">
        <v>245</v>
      </c>
      <c r="S417" s="10" t="s">
        <v>246</v>
      </c>
      <c r="T417" s="10" t="s">
        <v>302</v>
      </c>
      <c r="U417" s="10">
        <v>9209649485</v>
      </c>
      <c r="V417" s="12" t="s">
        <v>265</v>
      </c>
      <c r="W417" t="str">
        <f>IF(OR(Q417&lt;=2,V417="Cancelled"),"Blacklisted",IF(AND(P417&gt;100000,Q417&gt;=4,O417&lt;=10%,V417="Completed"),"Platinum",IF(AND(P417&gt;=50000,Q417&gt;=3,V417="Completed"),"Gold",IF(AND(P417&lt;50000,V417="Completed"),"Silver",""))))</f>
        <v>Blacklisted</v>
      </c>
      <c r="X417" t="str">
        <f>PROPER(TRIM(F417))</f>
        <v>Rohit Singh</v>
      </c>
      <c r="Y417" t="str">
        <f>LEFT(F417,3)&amp;MID(B417,2,3)&amp;LEFT(I417,2)</f>
        <v>Roh003Mu</v>
      </c>
      <c r="Z417" t="str">
        <f>IF(ISNUMBER(SEARCH("@",T417)),LOWER(TRIM(T417)),"invalid email")</f>
        <v>rohit.singh@company.com</v>
      </c>
      <c r="AA417">
        <f ca="1">IF(H416="","",IFERROR(DATEDIF(IF(ISNUMBER(H416),H416,DATE(VALUE(RIGHT(H416,4)),VALUE(MID(H416,3,2)),VALUE(LEFT(H416,2)))),TODAY(),"Y"),""))</f>
        <v>22</v>
      </c>
      <c r="AB417" t="str">
        <f>IF(OR(D417="",E417=""),"",IFERROR(DATE(MID(E417,7,4),MID(E417,4,2),LEFT(E417,2))-DATE(MID(D417,7,4),MID(D417,4,2),LEFT(D417,2)),""))</f>
        <v/>
      </c>
      <c r="AC417" t="str">
        <f>IF(E417="","Pending",IF(AB417&lt;=5,"On time","Delayed"))</f>
        <v>Delayed</v>
      </c>
      <c r="AD417" s="29" t="str">
        <f>IF(TRIM(S417)="","Not Assigned",S417)</f>
        <v>Aisha</v>
      </c>
      <c r="AE417" t="str">
        <f>PROPER(TRIM(F417))</f>
        <v>Rohit Singh</v>
      </c>
      <c r="AF417" t="str">
        <f>PROPER(TRIM(K417))</f>
        <v>Electronics</v>
      </c>
      <c r="AG417" t="str">
        <f>PROPER(TRIM(J417))</f>
        <v>West</v>
      </c>
      <c r="AH417" t="str">
        <f t="shared" si="12"/>
        <v>Electronics</v>
      </c>
      <c r="AI417" t="str">
        <f t="shared" si="13"/>
        <v>Electronics</v>
      </c>
      <c r="AK417">
        <f>IF(COUNTIF($A$2:A417,A417)=1,1,0)</f>
        <v>1</v>
      </c>
    </row>
    <row r="418" spans="1:37">
      <c r="A418" s="4" t="s">
        <v>1057</v>
      </c>
      <c r="B418" s="5" t="s">
        <v>266</v>
      </c>
      <c r="C418" s="5" t="s">
        <v>267</v>
      </c>
      <c r="D418" s="5" t="s">
        <v>83</v>
      </c>
      <c r="E418" s="5" t="s">
        <v>1058</v>
      </c>
      <c r="F418" s="5" t="s">
        <v>268</v>
      </c>
      <c r="G418" s="5" t="s">
        <v>269</v>
      </c>
      <c r="H418" s="5" t="s">
        <v>1059</v>
      </c>
      <c r="I418" s="5" t="s">
        <v>291</v>
      </c>
      <c r="J418" s="5" t="s">
        <v>287</v>
      </c>
      <c r="K418" s="5" t="s">
        <v>243</v>
      </c>
      <c r="L418" s="5" t="s">
        <v>271</v>
      </c>
      <c r="M418" s="5">
        <v>8</v>
      </c>
      <c r="N418" s="5">
        <v>1200</v>
      </c>
      <c r="O418" s="5">
        <v>10</v>
      </c>
      <c r="P418" s="5">
        <v>8640</v>
      </c>
      <c r="Q418" s="5">
        <v>4</v>
      </c>
      <c r="R418" s="5" t="s">
        <v>245</v>
      </c>
      <c r="S418" s="5" t="s">
        <v>246</v>
      </c>
      <c r="T418" s="5" t="s">
        <v>273</v>
      </c>
      <c r="U418" s="5">
        <v>9712905525</v>
      </c>
      <c r="V418" s="8" t="s">
        <v>257</v>
      </c>
      <c r="W418" t="str">
        <f>IF(OR(Q418&lt;=2,V418="Cancelled"),"Blacklisted",IF(AND(P418&gt;100000,Q418&gt;=4,O418&lt;=10%,V418="Completed"),"Platinum",IF(AND(P418&gt;=50000,Q418&gt;=3,V418="Completed"),"Gold",IF(AND(P418&lt;50000,V418="Completed"),"Silver",""))))</f>
        <v>Silver</v>
      </c>
      <c r="X418" t="str">
        <f>PROPER(TRIM(F418))</f>
        <v>Mohit Verma</v>
      </c>
      <c r="Y418" t="str">
        <f>LEFT(F418,3)&amp;MID(B418,2,3)&amp;LEFT(I418,2)</f>
        <v>Moh009Pu</v>
      </c>
      <c r="Z418" t="str">
        <f>IF(ISNUMBER(SEARCH("@",T418)),LOWER(TRIM(T418)),"invalid email")</f>
        <v>mohit.verma@company.com</v>
      </c>
      <c r="AA418">
        <f ca="1">IF(H417="","",IFERROR(DATEDIF(IF(ISNUMBER(H417),H417,DATE(VALUE(RIGHT(H417,4)),VALUE(MID(H417,3,2)),VALUE(LEFT(H417,2)))),TODAY(),"Y"),""))</f>
        <v>45</v>
      </c>
      <c r="AB418">
        <f>IF(OR(D418="",E418=""),"",IFERROR(DATE(MID(E418,7,4),MID(E418,4,2),LEFT(E418,2))-DATE(MID(D418,7,4),MID(D418,4,2),LEFT(D418,2)),""))</f>
        <v>7</v>
      </c>
      <c r="AC418" t="str">
        <f>IF(E418="","Pending",IF(AB418&lt;=5,"On time","Delayed"))</f>
        <v>Delayed</v>
      </c>
      <c r="AD418" s="29" t="str">
        <f>IF(TRIM(S418)="","Not Assigned",S418)</f>
        <v>Aisha</v>
      </c>
      <c r="AE418" t="str">
        <f>PROPER(TRIM(F418))</f>
        <v>Mohit Verma</v>
      </c>
      <c r="AF418" t="str">
        <f>PROPER(TRIM(K418))</f>
        <v>Electronics</v>
      </c>
      <c r="AG418" t="str">
        <f>PROPER(TRIM(J418))</f>
        <v>West</v>
      </c>
      <c r="AH418" t="str">
        <f t="shared" si="12"/>
        <v>Electronics</v>
      </c>
      <c r="AI418" t="str">
        <f t="shared" si="13"/>
        <v>Electronics</v>
      </c>
      <c r="AK418">
        <f>IF(COUNTIF($A$2:A418,A418)=1,1,0)</f>
        <v>1</v>
      </c>
    </row>
    <row r="419" spans="1:37">
      <c r="A419" s="9" t="s">
        <v>1060</v>
      </c>
      <c r="B419" s="10" t="s">
        <v>299</v>
      </c>
      <c r="C419" s="10" t="s">
        <v>267</v>
      </c>
      <c r="D419" s="10" t="s">
        <v>68</v>
      </c>
      <c r="E419" s="10" t="s">
        <v>91</v>
      </c>
      <c r="F419" s="10" t="s">
        <v>301</v>
      </c>
      <c r="G419" s="10" t="s">
        <v>269</v>
      </c>
      <c r="H419" s="10" t="s">
        <v>1061</v>
      </c>
      <c r="I419" s="10" t="s">
        <v>342</v>
      </c>
      <c r="J419" s="10" t="s">
        <v>261</v>
      </c>
      <c r="K419" s="10" t="s">
        <v>243</v>
      </c>
      <c r="L419" s="10" t="s">
        <v>271</v>
      </c>
      <c r="M419" s="10">
        <v>8</v>
      </c>
      <c r="N419" s="10">
        <v>1200</v>
      </c>
      <c r="O419" s="10">
        <v>10</v>
      </c>
      <c r="P419" s="10">
        <v>8640</v>
      </c>
      <c r="Q419" s="10">
        <v>5</v>
      </c>
      <c r="R419" s="10" t="s">
        <v>272</v>
      </c>
      <c r="S419" s="10" t="s">
        <v>263</v>
      </c>
      <c r="T419" s="10" t="s">
        <v>302</v>
      </c>
      <c r="U419" s="10">
        <v>9812472447</v>
      </c>
      <c r="V419" s="12" t="s">
        <v>265</v>
      </c>
      <c r="W419" t="str">
        <f>IF(OR(Q419&lt;=2,V419="Cancelled"),"Blacklisted",IF(AND(P419&gt;100000,Q419&gt;=4,O419&lt;=10%,V419="Completed"),"Platinum",IF(AND(P419&gt;=50000,Q419&gt;=3,V419="Completed"),"Gold",IF(AND(P419&lt;50000,V419="Completed"),"Silver",""))))</f>
        <v>Blacklisted</v>
      </c>
      <c r="X419" t="str">
        <f>PROPER(TRIM(F419))</f>
        <v>Rohit Singh</v>
      </c>
      <c r="Y419" t="str">
        <f>LEFT(F419,3)&amp;MID(B419,2,3)&amp;LEFT(I419,2)</f>
        <v>Roh003Ja</v>
      </c>
      <c r="Z419" t="str">
        <f>IF(ISNUMBER(SEARCH("@",T419)),LOWER(TRIM(T419)),"invalid email")</f>
        <v>rohit.singh@company.com</v>
      </c>
      <c r="AA419" t="str">
        <f ca="1">IF(H418="","",IFERROR(DATEDIF(IF(ISNUMBER(H418),H418,DATE(VALUE(RIGHT(H418,4)),VALUE(MID(H418,3,2)),VALUE(LEFT(H418,2)))),TODAY(),"Y"),""))</f>
        <v/>
      </c>
      <c r="AB419">
        <f>IF(OR(D419="",E419=""),"",IFERROR(DATE(MID(E419,7,4),MID(E419,4,2),LEFT(E419,2))-DATE(MID(D419,7,4),MID(D419,4,2),LEFT(D419,2)),""))</f>
        <v>2</v>
      </c>
      <c r="AC419" t="str">
        <f>IF(E419="","Pending",IF(AB419&lt;=5,"On time","Delayed"))</f>
        <v>On time</v>
      </c>
      <c r="AD419" s="29" t="str">
        <f>IF(TRIM(S419)="","Not Assigned",S419)</f>
        <v>Rahul</v>
      </c>
      <c r="AE419" t="str">
        <f>PROPER(TRIM(F419))</f>
        <v>Rohit Singh</v>
      </c>
      <c r="AF419" t="str">
        <f>PROPER(TRIM(K419))</f>
        <v>Electronics</v>
      </c>
      <c r="AG419" t="str">
        <f>PROPER(TRIM(J419))</f>
        <v>North</v>
      </c>
      <c r="AH419" t="str">
        <f t="shared" si="12"/>
        <v>Electronics</v>
      </c>
      <c r="AI419" t="str">
        <f t="shared" si="13"/>
        <v>Electronics</v>
      </c>
      <c r="AK419">
        <f>IF(COUNTIF($A$2:A419,A419)=1,1,0)</f>
        <v>1</v>
      </c>
    </row>
    <row r="420" spans="1:37">
      <c r="A420" s="4" t="s">
        <v>1062</v>
      </c>
      <c r="B420" s="5" t="s">
        <v>392</v>
      </c>
      <c r="C420" s="5" t="s">
        <v>250</v>
      </c>
      <c r="D420" s="5" t="s">
        <v>193</v>
      </c>
      <c r="E420" s="5" t="s">
        <v>882</v>
      </c>
      <c r="F420" s="5" t="s">
        <v>323</v>
      </c>
      <c r="G420" s="5" t="s">
        <v>269</v>
      </c>
      <c r="H420" s="5" t="s">
        <v>1063</v>
      </c>
      <c r="I420" s="5" t="s">
        <v>342</v>
      </c>
      <c r="J420" s="5" t="s">
        <v>261</v>
      </c>
      <c r="K420" s="5" t="s">
        <v>15</v>
      </c>
      <c r="L420" s="5" t="s">
        <v>253</v>
      </c>
      <c r="M420" s="5">
        <v>9</v>
      </c>
      <c r="N420" s="5">
        <v>2200</v>
      </c>
      <c r="O420" s="5">
        <v>20</v>
      </c>
      <c r="P420" s="5">
        <v>15840</v>
      </c>
      <c r="Q420" s="5">
        <v>1</v>
      </c>
      <c r="R420" s="5" t="s">
        <v>245</v>
      </c>
      <c r="S420" s="5" t="s">
        <v>292</v>
      </c>
      <c r="T420" s="5" t="s">
        <v>395</v>
      </c>
      <c r="U420" s="5">
        <v>9281127052</v>
      </c>
      <c r="V420" s="8" t="s">
        <v>257</v>
      </c>
      <c r="W420" t="str">
        <f>IF(OR(Q420&lt;=2,V420="Cancelled"),"Blacklisted",IF(AND(P420&gt;100000,Q420&gt;=4,O420&lt;=10%,V420="Completed"),"Platinum",IF(AND(P420&gt;=50000,Q420&gt;=3,V420="Completed"),"Gold",IF(AND(P420&lt;50000,V420="Completed"),"Silver",""))))</f>
        <v>Blacklisted</v>
      </c>
      <c r="X420" t="str">
        <f>PROPER(TRIM(F420))</f>
        <v>Amit Sharma</v>
      </c>
      <c r="Y420" t="str">
        <f>LEFT(F420,3)&amp;MID(B420,2,3)&amp;LEFT(I420,2)</f>
        <v>Ami001Ja</v>
      </c>
      <c r="Z420" t="str">
        <f>IF(ISNUMBER(SEARCH("@",T420)),LOWER(TRIM(T420)),"invalid email")</f>
        <v>amit.sharma@company.com</v>
      </c>
      <c r="AA420" t="str">
        <f ca="1">IF(H419="","",IFERROR(DATEDIF(IF(ISNUMBER(H419),H419,DATE(VALUE(RIGHT(H419,4)),VALUE(MID(H419,3,2)),VALUE(LEFT(H419,2)))),TODAY(),"Y"),""))</f>
        <v/>
      </c>
      <c r="AB420">
        <f>IF(OR(D420="",E420=""),"",IFERROR(DATE(MID(E420,7,4),MID(E420,4,2),LEFT(E420,2))-DATE(MID(D420,7,4),MID(D420,4,2),LEFT(D420,2)),""))</f>
        <v>1</v>
      </c>
      <c r="AC420" t="str">
        <f>IF(E420="","Pending",IF(AB420&lt;=5,"On time","Delayed"))</f>
        <v>On time</v>
      </c>
      <c r="AD420" s="29" t="str">
        <f>IF(TRIM(S420)="","Not Assigned",S420)</f>
        <v>Neha</v>
      </c>
      <c r="AE420" t="str">
        <f>PROPER(TRIM(F420))</f>
        <v>Amit Sharma</v>
      </c>
      <c r="AF420" t="str">
        <f>PROPER(TRIM(K420))</f>
        <v>Home Appliances</v>
      </c>
      <c r="AG420" t="str">
        <f>PROPER(TRIM(J420))</f>
        <v>North</v>
      </c>
      <c r="AH420" t="str">
        <f t="shared" si="12"/>
        <v>Home Appliances</v>
      </c>
      <c r="AI420" t="str">
        <f t="shared" si="13"/>
        <v>Home Appliances</v>
      </c>
      <c r="AK420">
        <f>IF(COUNTIF($A$2:A420,A420)=1,1,0)</f>
        <v>1</v>
      </c>
    </row>
    <row r="421" spans="1:37">
      <c r="A421" s="9" t="s">
        <v>1064</v>
      </c>
      <c r="B421" s="10" t="s">
        <v>299</v>
      </c>
      <c r="C421" s="10" t="s">
        <v>347</v>
      </c>
      <c r="D421" s="11">
        <v>45992</v>
      </c>
      <c r="E421" s="10" t="s">
        <v>40</v>
      </c>
      <c r="F421" s="10" t="s">
        <v>301</v>
      </c>
      <c r="G421" s="10" t="s">
        <v>269</v>
      </c>
      <c r="H421" s="10" t="s">
        <v>1065</v>
      </c>
      <c r="I421" s="10" t="s">
        <v>379</v>
      </c>
      <c r="J421" s="10" t="s">
        <v>21</v>
      </c>
      <c r="K421" s="10" t="s">
        <v>295</v>
      </c>
      <c r="L421" s="10" t="s">
        <v>349</v>
      </c>
      <c r="M421" s="10">
        <v>8</v>
      </c>
      <c r="N421" s="10">
        <v>20</v>
      </c>
      <c r="O421" s="10">
        <v>20</v>
      </c>
      <c r="P421" s="10">
        <v>128</v>
      </c>
      <c r="Q421" s="10">
        <v>4</v>
      </c>
      <c r="R421" s="10" t="s">
        <v>254</v>
      </c>
      <c r="S421" s="10" t="s">
        <v>255</v>
      </c>
      <c r="T421" s="10" t="s">
        <v>302</v>
      </c>
      <c r="U421" s="10">
        <v>9346312555</v>
      </c>
      <c r="V421" s="12" t="s">
        <v>265</v>
      </c>
      <c r="W421" t="str">
        <f>IF(OR(Q421&lt;=2,V421="Cancelled"),"Blacklisted",IF(AND(P421&gt;100000,Q421&gt;=4,O421&lt;=10%,V421="Completed"),"Platinum",IF(AND(P421&gt;=50000,Q421&gt;=3,V421="Completed"),"Gold",IF(AND(P421&lt;50000,V421="Completed"),"Silver",""))))</f>
        <v>Blacklisted</v>
      </c>
      <c r="X421" t="str">
        <f>PROPER(TRIM(F421))</f>
        <v>Rohit Singh</v>
      </c>
      <c r="Y421" t="str">
        <f>LEFT(F421,3)&amp;MID(B421,2,3)&amp;LEFT(I421,2)</f>
        <v>Roh003Ko</v>
      </c>
      <c r="Z421" t="str">
        <f>IF(ISNUMBER(SEARCH("@",T421)),LOWER(TRIM(T421)),"invalid email")</f>
        <v>rohit.singh@company.com</v>
      </c>
      <c r="AA421" t="str">
        <f ca="1">IF(H420="","",IFERROR(DATEDIF(IF(ISNUMBER(H420),H420,DATE(VALUE(RIGHT(H420,4)),VALUE(MID(H420,3,2)),VALUE(LEFT(H420,2)))),TODAY(),"Y"),""))</f>
        <v/>
      </c>
      <c r="AB421" t="str">
        <f>IF(OR(D421="",E421=""),"",IFERROR(DATE(MID(E421,7,4),MID(E421,4,2),LEFT(E421,2))-DATE(MID(D421,7,4),MID(D421,4,2),LEFT(D421,2)),""))</f>
        <v/>
      </c>
      <c r="AC421" t="str">
        <f>IF(E421="","Pending",IF(AB421&lt;=5,"On time","Delayed"))</f>
        <v>Delayed</v>
      </c>
      <c r="AD421" s="29" t="str">
        <f>IF(TRIM(S421)="","Not Assigned",S421)</f>
        <v>Ritika</v>
      </c>
      <c r="AE421" t="str">
        <f>PROPER(TRIM(F421))</f>
        <v>Rohit Singh</v>
      </c>
      <c r="AF421" t="str">
        <f>PROPER(TRIM(K421))</f>
        <v>Stationery</v>
      </c>
      <c r="AG421" t="str">
        <f>PROPER(TRIM(J421))</f>
        <v>East</v>
      </c>
      <c r="AH421" t="str">
        <f t="shared" si="12"/>
        <v>Stationery</v>
      </c>
      <c r="AI421" t="str">
        <f t="shared" si="13"/>
        <v>Stationery</v>
      </c>
      <c r="AK421">
        <f>IF(COUNTIF($A$2:A421,A421)=1,1,0)</f>
        <v>1</v>
      </c>
    </row>
    <row r="422" spans="1:37">
      <c r="A422" s="4" t="s">
        <v>1066</v>
      </c>
      <c r="B422" s="5" t="s">
        <v>346</v>
      </c>
      <c r="C422" s="5" t="s">
        <v>236</v>
      </c>
      <c r="D422" s="5" t="s">
        <v>6</v>
      </c>
      <c r="E422" s="5" t="s">
        <v>1067</v>
      </c>
      <c r="F422" s="5" t="s">
        <v>348</v>
      </c>
      <c r="G422" s="5" t="s">
        <v>269</v>
      </c>
      <c r="H422" s="5" t="s">
        <v>683</v>
      </c>
      <c r="I422" s="5" t="s">
        <v>291</v>
      </c>
      <c r="J422" s="5" t="s">
        <v>287</v>
      </c>
      <c r="K422" s="5" t="s">
        <v>243</v>
      </c>
      <c r="L422" s="5" t="s">
        <v>244</v>
      </c>
      <c r="M422" s="5">
        <v>5</v>
      </c>
      <c r="N422" s="5">
        <v>55000</v>
      </c>
      <c r="O422" s="5">
        <v>0</v>
      </c>
      <c r="P422" s="5">
        <v>275000</v>
      </c>
      <c r="Q422" s="5">
        <v>1</v>
      </c>
      <c r="R422" s="5" t="s">
        <v>272</v>
      </c>
      <c r="S422" s="5" t="s">
        <v>292</v>
      </c>
      <c r="T422" s="5" t="s">
        <v>350</v>
      </c>
      <c r="U422" s="5">
        <v>9443786067</v>
      </c>
      <c r="V422" s="8" t="s">
        <v>257</v>
      </c>
      <c r="W422" t="str">
        <f>IF(OR(Q422&lt;=2,V422="Cancelled"),"Blacklisted",IF(AND(P422&gt;100000,Q422&gt;=4,O422&lt;=10%,V422="Completed"),"Platinum",IF(AND(P422&gt;=50000,Q422&gt;=3,V422="Completed"),"Gold",IF(AND(P422&lt;50000,V422="Completed"),"Silver",""))))</f>
        <v>Blacklisted</v>
      </c>
      <c r="X422" t="str">
        <f>PROPER(TRIM(F422))</f>
        <v>Vikas Mehta</v>
      </c>
      <c r="Y422" t="str">
        <f>LEFT(F422,3)&amp;MID(B422,2,3)&amp;LEFT(I422,2)</f>
        <v>Vik005Pu</v>
      </c>
      <c r="Z422" t="str">
        <f>IF(ISNUMBER(SEARCH("@",T422)),LOWER(TRIM(T422)),"invalid email")</f>
        <v>vikas.mehta@company.com</v>
      </c>
      <c r="AA422" t="str">
        <f ca="1">IF(H421="","",IFERROR(DATEDIF(IF(ISNUMBER(H421),H421,DATE(VALUE(RIGHT(H421,4)),VALUE(MID(H421,3,2)),VALUE(LEFT(H421,2)))),TODAY(),"Y"),""))</f>
        <v/>
      </c>
      <c r="AB422">
        <f>IF(OR(D422="",E422=""),"",IFERROR(DATE(MID(E422,7,4),MID(E422,4,2),LEFT(E422,2))-DATE(MID(D422,7,4),MID(D422,4,2),LEFT(D422,2)),""))</f>
        <v>9</v>
      </c>
      <c r="AC422" t="str">
        <f>IF(E422="","Pending",IF(AB422&lt;=5,"On time","Delayed"))</f>
        <v>Delayed</v>
      </c>
      <c r="AD422" s="29" t="str">
        <f>IF(TRIM(S422)="","Not Assigned",S422)</f>
        <v>Neha</v>
      </c>
      <c r="AE422" t="str">
        <f>PROPER(TRIM(F422))</f>
        <v>Vikas Mehta</v>
      </c>
      <c r="AF422" t="str">
        <f>PROPER(TRIM(K422))</f>
        <v>Electronics</v>
      </c>
      <c r="AG422" t="str">
        <f>PROPER(TRIM(J422))</f>
        <v>West</v>
      </c>
      <c r="AH422" t="str">
        <f t="shared" si="12"/>
        <v>Electronics</v>
      </c>
      <c r="AI422" t="str">
        <f t="shared" si="13"/>
        <v>Electronics</v>
      </c>
      <c r="AK422">
        <f>IF(COUNTIF($A$2:A422,A422)=1,1,0)</f>
        <v>1</v>
      </c>
    </row>
    <row r="423" spans="1:37">
      <c r="A423" s="9" t="s">
        <v>1068</v>
      </c>
      <c r="B423" s="10" t="s">
        <v>284</v>
      </c>
      <c r="C423" s="10" t="s">
        <v>267</v>
      </c>
      <c r="D423" s="10" t="s">
        <v>32</v>
      </c>
      <c r="E423" s="10" t="s">
        <v>525</v>
      </c>
      <c r="F423" s="10" t="s">
        <v>285</v>
      </c>
      <c r="G423" s="10" t="s">
        <v>239</v>
      </c>
      <c r="H423" s="10" t="s">
        <v>1069</v>
      </c>
      <c r="I423" s="10" t="s">
        <v>286</v>
      </c>
      <c r="J423" s="10" t="s">
        <v>287</v>
      </c>
      <c r="K423" s="10" t="s">
        <v>243</v>
      </c>
      <c r="L423" s="10" t="s">
        <v>271</v>
      </c>
      <c r="M423" s="10">
        <v>13</v>
      </c>
      <c r="N423" s="10">
        <v>1200</v>
      </c>
      <c r="O423" s="10">
        <v>5</v>
      </c>
      <c r="P423" s="10">
        <v>14820</v>
      </c>
      <c r="Q423" s="10">
        <v>2</v>
      </c>
      <c r="R423" s="10" t="s">
        <v>272</v>
      </c>
      <c r="S423" s="10" t="s">
        <v>255</v>
      </c>
      <c r="T423" s="10" t="s">
        <v>308</v>
      </c>
      <c r="U423" s="10">
        <v>9452540528</v>
      </c>
      <c r="V423" s="12" t="s">
        <v>265</v>
      </c>
      <c r="W423" t="str">
        <f>IF(OR(Q423&lt;=2,V423="Cancelled"),"Blacklisted",IF(AND(P423&gt;100000,Q423&gt;=4,O423&lt;=10%,V423="Completed"),"Platinum",IF(AND(P423&gt;=50000,Q423&gt;=3,V423="Completed"),"Gold",IF(AND(P423&lt;50000,V423="Completed"),"Silver",""))))</f>
        <v>Blacklisted</v>
      </c>
      <c r="X423" t="str">
        <f>PROPER(TRIM(F423))</f>
        <v>Priya Patel</v>
      </c>
      <c r="Y423" t="str">
        <f>LEFT(F423,3)&amp;MID(B423,2,3)&amp;LEFT(I423,2)</f>
        <v>Pri002Mu</v>
      </c>
      <c r="Z423" t="str">
        <f>IF(ISNUMBER(SEARCH("@",T423)),LOWER(TRIM(T423)),"invalid email")</f>
        <v>priya.patel@company.com</v>
      </c>
      <c r="AA423" t="str">
        <f ca="1">IF(H422="","",IFERROR(DATEDIF(IF(ISNUMBER(H422),H422,DATE(VALUE(RIGHT(H422,4)),VALUE(MID(H422,3,2)),VALUE(LEFT(H422,2)))),TODAY(),"Y"),""))</f>
        <v/>
      </c>
      <c r="AB423">
        <f>IF(OR(D423="",E423=""),"",IFERROR(DATE(MID(E423,7,4),MID(E423,4,2),LEFT(E423,2))-DATE(MID(D423,7,4),MID(D423,4,2),LEFT(D423,2)),""))</f>
        <v>3</v>
      </c>
      <c r="AC423" t="str">
        <f>IF(E423="","Pending",IF(AB423&lt;=5,"On time","Delayed"))</f>
        <v>On time</v>
      </c>
      <c r="AD423" s="29" t="str">
        <f>IF(TRIM(S423)="","Not Assigned",S423)</f>
        <v>Ritika</v>
      </c>
      <c r="AE423" t="str">
        <f>PROPER(TRIM(F423))</f>
        <v>Priya Patel</v>
      </c>
      <c r="AF423" t="str">
        <f>PROPER(TRIM(K423))</f>
        <v>Electronics</v>
      </c>
      <c r="AG423" t="str">
        <f>PROPER(TRIM(J423))</f>
        <v>West</v>
      </c>
      <c r="AH423" t="str">
        <f t="shared" si="12"/>
        <v>Electronics</v>
      </c>
      <c r="AI423" t="str">
        <f t="shared" si="13"/>
        <v>Electronics</v>
      </c>
      <c r="AK423">
        <f>IF(COUNTIF($A$2:A423,A423)=1,1,0)</f>
        <v>1</v>
      </c>
    </row>
    <row r="424" spans="1:37">
      <c r="A424" s="4" t="s">
        <v>1070</v>
      </c>
      <c r="B424" s="5" t="s">
        <v>275</v>
      </c>
      <c r="C424" s="5" t="s">
        <v>322</v>
      </c>
      <c r="D424" s="5" t="s">
        <v>147</v>
      </c>
      <c r="E424" s="5" t="s">
        <v>1071</v>
      </c>
      <c r="F424" s="5" t="s">
        <v>328</v>
      </c>
      <c r="G424" s="5" t="s">
        <v>269</v>
      </c>
      <c r="H424" s="6">
        <v>37602</v>
      </c>
      <c r="I424" s="5" t="s">
        <v>342</v>
      </c>
      <c r="J424" s="5" t="s">
        <v>261</v>
      </c>
      <c r="K424" s="5" t="s">
        <v>15</v>
      </c>
      <c r="L424" s="5" t="s">
        <v>325</v>
      </c>
      <c r="M424" s="5">
        <v>13</v>
      </c>
      <c r="N424" s="5">
        <v>8500</v>
      </c>
      <c r="O424" s="5">
        <v>20</v>
      </c>
      <c r="P424" s="5">
        <v>88400</v>
      </c>
      <c r="Q424" s="5">
        <v>5</v>
      </c>
      <c r="R424" s="5" t="s">
        <v>254</v>
      </c>
      <c r="S424" s="5" t="s">
        <v>263</v>
      </c>
      <c r="T424" s="5" t="s">
        <v>278</v>
      </c>
      <c r="U424" s="5">
        <v>9750918728</v>
      </c>
      <c r="V424" s="8" t="s">
        <v>248</v>
      </c>
      <c r="W424" t="str">
        <f>IF(OR(Q424&lt;=2,V424="Cancelled"),"Blacklisted",IF(AND(P424&gt;100000,Q424&gt;=4,O424&lt;=10%,V424="Completed"),"Platinum",IF(AND(P424&gt;=50000,Q424&gt;=3,V424="Completed"),"Gold",IF(AND(P424&lt;50000,V424="Completed"),"Silver",""))))</f>
        <v/>
      </c>
      <c r="X424" t="str">
        <f>PROPER(TRIM(F424))</f>
        <v>Arjun Rao</v>
      </c>
      <c r="Y424" t="str">
        <f>LEFT(F424,3)&amp;MID(B424,2,3)&amp;LEFT(I424,2)</f>
        <v>Arj007Ja</v>
      </c>
      <c r="Z424" t="str">
        <f>IF(ISNUMBER(SEARCH("@",T424)),LOWER(TRIM(T424)),"invalid email")</f>
        <v>arjun.rao@company.com</v>
      </c>
      <c r="AA424" t="str">
        <f ca="1">IF(H423="","",IFERROR(DATEDIF(IF(ISNUMBER(H423),H423,DATE(VALUE(RIGHT(H423,4)),VALUE(MID(H423,3,2)),VALUE(LEFT(H423,2)))),TODAY(),"Y"),""))</f>
        <v/>
      </c>
      <c r="AB424">
        <f>IF(OR(D424="",E424=""),"",IFERROR(DATE(MID(E424,7,4),MID(E424,4,2),LEFT(E424,2))-DATE(MID(D424,7,4),MID(D424,4,2),LEFT(D424,2)),""))</f>
        <v>5</v>
      </c>
      <c r="AC424" t="str">
        <f>IF(E424="","Pending",IF(AB424&lt;=5,"On time","Delayed"))</f>
        <v>On time</v>
      </c>
      <c r="AD424" s="29" t="str">
        <f>IF(TRIM(S424)="","Not Assigned",S424)</f>
        <v>Rahul</v>
      </c>
      <c r="AE424" t="str">
        <f>PROPER(TRIM(F424))</f>
        <v>Arjun Rao</v>
      </c>
      <c r="AF424" t="str">
        <f>PROPER(TRIM(K424))</f>
        <v>Home Appliances</v>
      </c>
      <c r="AG424" t="str">
        <f>PROPER(TRIM(J424))</f>
        <v>North</v>
      </c>
      <c r="AH424" t="str">
        <f t="shared" si="12"/>
        <v>Home Appliances</v>
      </c>
      <c r="AI424" t="str">
        <f t="shared" si="13"/>
        <v>Home Appliances</v>
      </c>
      <c r="AK424">
        <f>IF(COUNTIF($A$2:A424,A424)=1,1,0)</f>
        <v>1</v>
      </c>
    </row>
    <row r="425" spans="1:37">
      <c r="A425" s="9" t="s">
        <v>1072</v>
      </c>
      <c r="B425" s="10" t="s">
        <v>266</v>
      </c>
      <c r="C425" s="10" t="s">
        <v>294</v>
      </c>
      <c r="D425" s="11">
        <v>45749</v>
      </c>
      <c r="E425" s="10" t="s">
        <v>1073</v>
      </c>
      <c r="F425" s="10" t="s">
        <v>268</v>
      </c>
      <c r="G425" s="10" t="s">
        <v>269</v>
      </c>
      <c r="H425" s="10" t="s">
        <v>1074</v>
      </c>
      <c r="I425" s="10" t="s">
        <v>291</v>
      </c>
      <c r="J425" s="10" t="s">
        <v>287</v>
      </c>
      <c r="K425" s="10" t="s">
        <v>295</v>
      </c>
      <c r="L425" s="10" t="s">
        <v>296</v>
      </c>
      <c r="M425" s="10">
        <v>14</v>
      </c>
      <c r="N425" s="10">
        <v>60</v>
      </c>
      <c r="O425" s="10">
        <v>10</v>
      </c>
      <c r="P425" s="10">
        <v>756</v>
      </c>
      <c r="Q425" s="10">
        <v>1</v>
      </c>
      <c r="R425" s="10" t="s">
        <v>254</v>
      </c>
      <c r="S425" s="10" t="s">
        <v>246</v>
      </c>
      <c r="T425" s="10" t="s">
        <v>273</v>
      </c>
      <c r="U425" s="10">
        <v>9375975834</v>
      </c>
      <c r="V425" s="12" t="s">
        <v>265</v>
      </c>
      <c r="W425" t="str">
        <f>IF(OR(Q425&lt;=2,V425="Cancelled"),"Blacklisted",IF(AND(P425&gt;100000,Q425&gt;=4,O425&lt;=10%,V425="Completed"),"Platinum",IF(AND(P425&gt;=50000,Q425&gt;=3,V425="Completed"),"Gold",IF(AND(P425&lt;50000,V425="Completed"),"Silver",""))))</f>
        <v>Blacklisted</v>
      </c>
      <c r="X425" t="str">
        <f>PROPER(TRIM(F425))</f>
        <v>Mohit Verma</v>
      </c>
      <c r="Y425" t="str">
        <f>LEFT(F425,3)&amp;MID(B425,2,3)&amp;LEFT(I425,2)</f>
        <v>Moh009Pu</v>
      </c>
      <c r="Z425" t="str">
        <f>IF(ISNUMBER(SEARCH("@",T425)),LOWER(TRIM(T425)),"invalid email")</f>
        <v>mohit.verma@company.com</v>
      </c>
      <c r="AA425">
        <f ca="1">IF(H424="","",IFERROR(DATEDIF(IF(ISNUMBER(H424),H424,DATE(VALUE(RIGHT(H424,4)),VALUE(MID(H424,3,2)),VALUE(LEFT(H424,2)))),TODAY(),"Y"),""))</f>
        <v>23</v>
      </c>
      <c r="AB425" t="str">
        <f>IF(OR(D425="",E425=""),"",IFERROR(DATE(MID(E425,7,4),MID(E425,4,2),LEFT(E425,2))-DATE(MID(D425,7,4),MID(D425,4,2),LEFT(D425,2)),""))</f>
        <v/>
      </c>
      <c r="AC425" t="str">
        <f>IF(E425="","Pending",IF(AB425&lt;=5,"On time","Delayed"))</f>
        <v>Delayed</v>
      </c>
      <c r="AD425" s="29" t="str">
        <f>IF(TRIM(S425)="","Not Assigned",S425)</f>
        <v>Aisha</v>
      </c>
      <c r="AE425" t="str">
        <f>PROPER(TRIM(F425))</f>
        <v>Mohit Verma</v>
      </c>
      <c r="AF425" t="str">
        <f>PROPER(TRIM(K425))</f>
        <v>Stationery</v>
      </c>
      <c r="AG425" t="str">
        <f>PROPER(TRIM(J425))</f>
        <v>West</v>
      </c>
      <c r="AH425" t="str">
        <f t="shared" si="12"/>
        <v>Stationery</v>
      </c>
      <c r="AI425" t="str">
        <f t="shared" si="13"/>
        <v>Stationery</v>
      </c>
      <c r="AK425">
        <f>IF(COUNTIF($A$2:A425,A425)=1,1,0)</f>
        <v>1</v>
      </c>
    </row>
    <row r="426" spans="1:37">
      <c r="A426" s="4" t="s">
        <v>1075</v>
      </c>
      <c r="B426" s="5" t="s">
        <v>358</v>
      </c>
      <c r="C426" s="5" t="s">
        <v>250</v>
      </c>
      <c r="D426" s="5" t="s">
        <v>178</v>
      </c>
      <c r="E426" s="5" t="s">
        <v>511</v>
      </c>
      <c r="F426" s="5" t="s">
        <v>359</v>
      </c>
      <c r="G426" s="5" t="s">
        <v>239</v>
      </c>
      <c r="H426" s="5" t="s">
        <v>1076</v>
      </c>
      <c r="I426" s="5" t="s">
        <v>241</v>
      </c>
      <c r="J426" s="5" t="s">
        <v>242</v>
      </c>
      <c r="K426" s="5" t="s">
        <v>15</v>
      </c>
      <c r="L426" s="5" t="s">
        <v>253</v>
      </c>
      <c r="M426" s="5">
        <v>15</v>
      </c>
      <c r="N426" s="5">
        <v>2200</v>
      </c>
      <c r="O426" s="5">
        <v>0</v>
      </c>
      <c r="P426" s="5">
        <v>33000</v>
      </c>
      <c r="Q426" s="5">
        <v>1</v>
      </c>
      <c r="R426" s="5" t="s">
        <v>254</v>
      </c>
      <c r="S426" s="5" t="s">
        <v>246</v>
      </c>
      <c r="T426" s="5" t="s">
        <v>360</v>
      </c>
      <c r="U426" s="5">
        <v>9497321112</v>
      </c>
      <c r="V426" s="8" t="s">
        <v>257</v>
      </c>
      <c r="W426" t="str">
        <f>IF(OR(Q426&lt;=2,V426="Cancelled"),"Blacklisted",IF(AND(P426&gt;100000,Q426&gt;=4,O426&lt;=10%,V426="Completed"),"Platinum",IF(AND(P426&gt;=50000,Q426&gt;=3,V426="Completed"),"Gold",IF(AND(P426&lt;50000,V426="Completed"),"Silver",""))))</f>
        <v>Blacklisted</v>
      </c>
      <c r="X426" t="str">
        <f>PROPER(TRIM(F426))</f>
        <v>Sneha Joshi</v>
      </c>
      <c r="Y426" t="str">
        <f>LEFT(F426,3)&amp;MID(B426,2,3)&amp;LEFT(I426,2)</f>
        <v>Sne006Be</v>
      </c>
      <c r="Z426" t="str">
        <f>IF(ISNUMBER(SEARCH("@",T426)),LOWER(TRIM(T426)),"invalid email")</f>
        <v>sneha.joshi@company.com</v>
      </c>
      <c r="AA426" t="str">
        <f ca="1">IF(H425="","",IFERROR(DATEDIF(IF(ISNUMBER(H425),H425,DATE(VALUE(RIGHT(H425,4)),VALUE(MID(H425,3,2)),VALUE(LEFT(H425,2)))),TODAY(),"Y"),""))</f>
        <v/>
      </c>
      <c r="AB426">
        <f>IF(OR(D426="",E426=""),"",IFERROR(DATE(MID(E426,7,4),MID(E426,4,2),LEFT(E426,2))-DATE(MID(D426,7,4),MID(D426,4,2),LEFT(D426,2)),""))</f>
        <v>1</v>
      </c>
      <c r="AC426" t="str">
        <f>IF(E426="","Pending",IF(AB426&lt;=5,"On time","Delayed"))</f>
        <v>On time</v>
      </c>
      <c r="AD426" s="29" t="str">
        <f>IF(TRIM(S426)="","Not Assigned",S426)</f>
        <v>Aisha</v>
      </c>
      <c r="AE426" t="str">
        <f>PROPER(TRIM(F426))</f>
        <v>Sneha Joshi</v>
      </c>
      <c r="AF426" t="str">
        <f>PROPER(TRIM(K426))</f>
        <v>Home Appliances</v>
      </c>
      <c r="AG426" t="str">
        <f>PROPER(TRIM(J426))</f>
        <v>South</v>
      </c>
      <c r="AH426" t="str">
        <f t="shared" si="12"/>
        <v>Home Appliances</v>
      </c>
      <c r="AI426" t="str">
        <f t="shared" si="13"/>
        <v>Home Appliances</v>
      </c>
      <c r="AK426">
        <f>IF(COUNTIF($A$2:A426,A426)=1,1,0)</f>
        <v>1</v>
      </c>
    </row>
    <row r="427" spans="1:37">
      <c r="A427" s="9" t="s">
        <v>1077</v>
      </c>
      <c r="B427" s="10" t="s">
        <v>275</v>
      </c>
      <c r="C427" s="10" t="s">
        <v>294</v>
      </c>
      <c r="D427" s="10" t="s">
        <v>169</v>
      </c>
      <c r="E427" s="10" t="s">
        <v>1078</v>
      </c>
      <c r="F427" s="10" t="s">
        <v>328</v>
      </c>
      <c r="G427" s="10" t="s">
        <v>269</v>
      </c>
      <c r="H427" s="10" t="s">
        <v>1079</v>
      </c>
      <c r="I427" s="10" t="s">
        <v>342</v>
      </c>
      <c r="J427" s="10" t="s">
        <v>261</v>
      </c>
      <c r="K427" s="10" t="s">
        <v>295</v>
      </c>
      <c r="L427" s="10" t="s">
        <v>296</v>
      </c>
      <c r="M427" s="10">
        <v>19</v>
      </c>
      <c r="N427" s="10">
        <v>60</v>
      </c>
      <c r="O427" s="10">
        <v>20</v>
      </c>
      <c r="P427" s="10">
        <v>912</v>
      </c>
      <c r="Q427" s="10">
        <v>3</v>
      </c>
      <c r="R427" s="10" t="s">
        <v>254</v>
      </c>
      <c r="S427" s="10" t="s">
        <v>312</v>
      </c>
      <c r="T427" s="10" t="s">
        <v>278</v>
      </c>
      <c r="U427" s="10">
        <v>9828749888</v>
      </c>
      <c r="V427" s="12" t="s">
        <v>248</v>
      </c>
      <c r="W427" t="str">
        <f>IF(OR(Q427&lt;=2,V427="Cancelled"),"Blacklisted",IF(AND(P427&gt;100000,Q427&gt;=4,O427&lt;=10%,V427="Completed"),"Platinum",IF(AND(P427&gt;=50000,Q427&gt;=3,V427="Completed"),"Gold",IF(AND(P427&lt;50000,V427="Completed"),"Silver",""))))</f>
        <v/>
      </c>
      <c r="X427" t="str">
        <f>PROPER(TRIM(F427))</f>
        <v>Arjun Rao</v>
      </c>
      <c r="Y427" t="str">
        <f>LEFT(F427,3)&amp;MID(B427,2,3)&amp;LEFT(I427,2)</f>
        <v>Arj007Ja</v>
      </c>
      <c r="Z427" t="str">
        <f>IF(ISNUMBER(SEARCH("@",T427)),LOWER(TRIM(T427)),"invalid email")</f>
        <v>arjun.rao@company.com</v>
      </c>
      <c r="AA427" t="str">
        <f ca="1">IF(H426="","",IFERROR(DATEDIF(IF(ISNUMBER(H426),H426,DATE(VALUE(RIGHT(H426,4)),VALUE(MID(H426,3,2)),VALUE(LEFT(H426,2)))),TODAY(),"Y"),""))</f>
        <v/>
      </c>
      <c r="AB427">
        <f>IF(OR(D427="",E427=""),"",IFERROR(DATE(MID(E427,7,4),MID(E427,4,2),LEFT(E427,2))-DATE(MID(D427,7,4),MID(D427,4,2),LEFT(D427,2)),""))</f>
        <v>2</v>
      </c>
      <c r="AC427" t="str">
        <f>IF(E427="","Pending",IF(AB427&lt;=5,"On time","Delayed"))</f>
        <v>On time</v>
      </c>
      <c r="AD427" s="29" t="str">
        <f>IF(TRIM(S427)="","Not Assigned",S427)</f>
        <v>Karan</v>
      </c>
      <c r="AE427" t="str">
        <f>PROPER(TRIM(F427))</f>
        <v>Arjun Rao</v>
      </c>
      <c r="AF427" t="str">
        <f>PROPER(TRIM(K427))</f>
        <v>Stationery</v>
      </c>
      <c r="AG427" t="str">
        <f>PROPER(TRIM(J427))</f>
        <v>North</v>
      </c>
      <c r="AH427" t="str">
        <f t="shared" si="12"/>
        <v>Stationery</v>
      </c>
      <c r="AI427" t="str">
        <f t="shared" si="13"/>
        <v>Stationery</v>
      </c>
      <c r="AK427">
        <f>IF(COUNTIF($A$2:A427,A427)=1,1,0)</f>
        <v>1</v>
      </c>
    </row>
    <row r="428" spans="1:37">
      <c r="A428" s="4" t="s">
        <v>1080</v>
      </c>
      <c r="B428" s="5" t="s">
        <v>235</v>
      </c>
      <c r="C428" s="5" t="s">
        <v>362</v>
      </c>
      <c r="D428" s="6">
        <v>46001</v>
      </c>
      <c r="E428" s="5" t="s">
        <v>126</v>
      </c>
      <c r="F428" s="5" t="s">
        <v>318</v>
      </c>
      <c r="G428" s="5" t="s">
        <v>239</v>
      </c>
      <c r="H428" s="5" t="s">
        <v>1081</v>
      </c>
      <c r="I428" s="5" t="s">
        <v>342</v>
      </c>
      <c r="J428" s="5" t="s">
        <v>261</v>
      </c>
      <c r="K428" s="5" t="s">
        <v>295</v>
      </c>
      <c r="L428" s="5" t="s">
        <v>363</v>
      </c>
      <c r="M428" s="5">
        <v>13</v>
      </c>
      <c r="N428" s="5">
        <v>45</v>
      </c>
      <c r="O428" s="5">
        <v>15</v>
      </c>
      <c r="P428" s="5">
        <v>497.25</v>
      </c>
      <c r="Q428" s="5">
        <v>2</v>
      </c>
      <c r="R428" s="5" t="s">
        <v>254</v>
      </c>
      <c r="S428" s="5" t="s">
        <v>263</v>
      </c>
      <c r="T428" s="5" t="s">
        <v>247</v>
      </c>
      <c r="U428" s="5">
        <v>9814267382</v>
      </c>
      <c r="V428" s="8" t="s">
        <v>257</v>
      </c>
      <c r="W428" t="str">
        <f>IF(OR(Q428&lt;=2,V428="Cancelled"),"Blacklisted",IF(AND(P428&gt;100000,Q428&gt;=4,O428&lt;=10%,V428="Completed"),"Platinum",IF(AND(P428&gt;=50000,Q428&gt;=3,V428="Completed"),"Gold",IF(AND(P428&lt;50000,V428="Completed"),"Silver",""))))</f>
        <v>Blacklisted</v>
      </c>
      <c r="X428" t="str">
        <f>PROPER(TRIM(F428))</f>
        <v>Pooja Shah</v>
      </c>
      <c r="Y428" t="str">
        <f>LEFT(F428,3)&amp;MID(B428,2,3)&amp;LEFT(I428,2)</f>
        <v>Poo010Ja</v>
      </c>
      <c r="Z428" t="str">
        <f>IF(ISNUMBER(SEARCH("@",T428)),LOWER(TRIM(T428)),"invalid email")</f>
        <v>pooja.shah@company.com</v>
      </c>
      <c r="AA428" t="str">
        <f ca="1">IF(H427="","",IFERROR(DATEDIF(IF(ISNUMBER(H427),H427,DATE(VALUE(RIGHT(H427,4)),VALUE(MID(H427,3,2)),VALUE(LEFT(H427,2)))),TODAY(),"Y"),""))</f>
        <v/>
      </c>
      <c r="AB428" t="str">
        <f>IF(OR(D428="",E428=""),"",IFERROR(DATE(MID(E428,7,4),MID(E428,4,2),LEFT(E428,2))-DATE(MID(D428,7,4),MID(D428,4,2),LEFT(D428,2)),""))</f>
        <v/>
      </c>
      <c r="AC428" t="str">
        <f>IF(E428="","Pending",IF(AB428&lt;=5,"On time","Delayed"))</f>
        <v>Delayed</v>
      </c>
      <c r="AD428" s="29" t="str">
        <f>IF(TRIM(S428)="","Not Assigned",S428)</f>
        <v>Rahul</v>
      </c>
      <c r="AE428" t="str">
        <f>PROPER(TRIM(F428))</f>
        <v>Pooja Shah</v>
      </c>
      <c r="AF428" t="str">
        <f>PROPER(TRIM(K428))</f>
        <v>Stationery</v>
      </c>
      <c r="AG428" t="str">
        <f>PROPER(TRIM(J428))</f>
        <v>North</v>
      </c>
      <c r="AH428" t="str">
        <f t="shared" si="12"/>
        <v>Stationery</v>
      </c>
      <c r="AI428" t="str">
        <f t="shared" si="13"/>
        <v>Stationery</v>
      </c>
      <c r="AK428">
        <f>IF(COUNTIF($A$2:A428,A428)=1,1,0)</f>
        <v>1</v>
      </c>
    </row>
    <row r="429" spans="1:37">
      <c r="A429" s="9" t="s">
        <v>1082</v>
      </c>
      <c r="B429" s="10" t="s">
        <v>358</v>
      </c>
      <c r="C429" s="10" t="s">
        <v>258</v>
      </c>
      <c r="D429" s="10" t="s">
        <v>23</v>
      </c>
      <c r="E429" s="10" t="s">
        <v>129</v>
      </c>
      <c r="F429" s="10" t="s">
        <v>359</v>
      </c>
      <c r="G429" s="10" t="s">
        <v>239</v>
      </c>
      <c r="H429" s="11">
        <v>27520</v>
      </c>
      <c r="I429" s="10" t="s">
        <v>286</v>
      </c>
      <c r="J429" s="10" t="s">
        <v>287</v>
      </c>
      <c r="K429" s="10" t="s">
        <v>243</v>
      </c>
      <c r="L429" s="10" t="s">
        <v>262</v>
      </c>
      <c r="M429" s="10">
        <v>7</v>
      </c>
      <c r="N429" s="10">
        <v>12000</v>
      </c>
      <c r="O429" s="10">
        <v>5</v>
      </c>
      <c r="P429" s="10">
        <v>79800</v>
      </c>
      <c r="Q429" s="10">
        <v>4</v>
      </c>
      <c r="R429" s="10" t="s">
        <v>272</v>
      </c>
      <c r="S429" s="10" t="s">
        <v>312</v>
      </c>
      <c r="T429" s="10" t="s">
        <v>360</v>
      </c>
      <c r="U429" s="10">
        <v>9937007439</v>
      </c>
      <c r="V429" s="12" t="s">
        <v>265</v>
      </c>
      <c r="W429" t="str">
        <f>IF(OR(Q429&lt;=2,V429="Cancelled"),"Blacklisted",IF(AND(P429&gt;100000,Q429&gt;=4,O429&lt;=10%,V429="Completed"),"Platinum",IF(AND(P429&gt;=50000,Q429&gt;=3,V429="Completed"),"Gold",IF(AND(P429&lt;50000,V429="Completed"),"Silver",""))))</f>
        <v>Blacklisted</v>
      </c>
      <c r="X429" t="str">
        <f>PROPER(TRIM(F429))</f>
        <v>Sneha Joshi</v>
      </c>
      <c r="Y429" t="str">
        <f>LEFT(F429,3)&amp;MID(B429,2,3)&amp;LEFT(I429,2)</f>
        <v>Sne006Mu</v>
      </c>
      <c r="Z429" t="str">
        <f>IF(ISNUMBER(SEARCH("@",T429)),LOWER(TRIM(T429)),"invalid email")</f>
        <v>sneha.joshi@company.com</v>
      </c>
      <c r="AA429" t="str">
        <f ca="1">IF(H428="","",IFERROR(DATEDIF(IF(ISNUMBER(H428),H428,DATE(VALUE(RIGHT(H428,4)),VALUE(MID(H428,3,2)),VALUE(LEFT(H428,2)))),TODAY(),"Y"),""))</f>
        <v/>
      </c>
      <c r="AB429">
        <f>IF(OR(D429="",E429=""),"",IFERROR(DATE(MID(E429,7,4),MID(E429,4,2),LEFT(E429,2))-DATE(MID(D429,7,4),MID(D429,4,2),LEFT(D429,2)),""))</f>
        <v>10</v>
      </c>
      <c r="AC429" t="str">
        <f>IF(E429="","Pending",IF(AB429&lt;=5,"On time","Delayed"))</f>
        <v>Delayed</v>
      </c>
      <c r="AD429" s="29" t="str">
        <f>IF(TRIM(S429)="","Not Assigned",S429)</f>
        <v>Karan</v>
      </c>
      <c r="AE429" t="str">
        <f>PROPER(TRIM(F429))</f>
        <v>Sneha Joshi</v>
      </c>
      <c r="AF429" t="str">
        <f>PROPER(TRIM(K429))</f>
        <v>Electronics</v>
      </c>
      <c r="AG429" t="str">
        <f>PROPER(TRIM(J429))</f>
        <v>West</v>
      </c>
      <c r="AH429" t="str">
        <f t="shared" si="12"/>
        <v>Electronics</v>
      </c>
      <c r="AI429" t="str">
        <f t="shared" si="13"/>
        <v>Electronics</v>
      </c>
      <c r="AK429">
        <f>IF(COUNTIF($A$2:A429,A429)=1,1,0)</f>
        <v>1</v>
      </c>
    </row>
    <row r="430" spans="1:37">
      <c r="A430" s="4" t="s">
        <v>1083</v>
      </c>
      <c r="B430" s="5" t="s">
        <v>392</v>
      </c>
      <c r="C430" s="5" t="s">
        <v>347</v>
      </c>
      <c r="D430" s="6">
        <v>46300</v>
      </c>
      <c r="E430" s="5" t="s">
        <v>248</v>
      </c>
      <c r="F430" s="5" t="s">
        <v>323</v>
      </c>
      <c r="G430" s="5" t="s">
        <v>269</v>
      </c>
      <c r="H430" s="5" t="s">
        <v>1084</v>
      </c>
      <c r="I430" s="5" t="s">
        <v>379</v>
      </c>
      <c r="J430" s="5" t="s">
        <v>21</v>
      </c>
      <c r="K430" s="5" t="s">
        <v>295</v>
      </c>
      <c r="L430" s="5" t="s">
        <v>349</v>
      </c>
      <c r="M430" s="5">
        <v>8</v>
      </c>
      <c r="N430" s="5">
        <v>20</v>
      </c>
      <c r="O430" s="5">
        <v>0</v>
      </c>
      <c r="P430" s="5">
        <v>160</v>
      </c>
      <c r="Q430" s="5">
        <v>4</v>
      </c>
      <c r="R430" s="5" t="s">
        <v>272</v>
      </c>
      <c r="S430" s="5" t="s">
        <v>246</v>
      </c>
      <c r="T430" s="5" t="s">
        <v>395</v>
      </c>
      <c r="U430" s="5">
        <v>9657513435</v>
      </c>
      <c r="V430" s="8" t="s">
        <v>248</v>
      </c>
      <c r="W430" t="str">
        <f>IF(OR(Q430&lt;=2,V430="Cancelled"),"Blacklisted",IF(AND(P430&gt;100000,Q430&gt;=4,O430&lt;=10%,V430="Completed"),"Platinum",IF(AND(P430&gt;=50000,Q430&gt;=3,V430="Completed"),"Gold",IF(AND(P430&lt;50000,V430="Completed"),"Silver",""))))</f>
        <v/>
      </c>
      <c r="X430" t="str">
        <f>PROPER(TRIM(F430))</f>
        <v>Amit Sharma</v>
      </c>
      <c r="Y430" t="str">
        <f>LEFT(F430,3)&amp;MID(B430,2,3)&amp;LEFT(I430,2)</f>
        <v>Ami001Ko</v>
      </c>
      <c r="Z430" t="str">
        <f>IF(ISNUMBER(SEARCH("@",T430)),LOWER(TRIM(T430)),"invalid email")</f>
        <v>amit.sharma@company.com</v>
      </c>
      <c r="AA430">
        <f ca="1">IF(H429="","",IFERROR(DATEDIF(IF(ISNUMBER(H429),H429,DATE(VALUE(RIGHT(H429,4)),VALUE(MID(H429,3,2)),VALUE(LEFT(H429,2)))),TODAY(),"Y"),""))</f>
        <v>51</v>
      </c>
      <c r="AB430" t="str">
        <f>IF(OR(D430="",E430=""),"",IFERROR(DATE(MID(E430,7,4),MID(E430,4,2),LEFT(E430,2))-DATE(MID(D430,7,4),MID(D430,4,2),LEFT(D430,2)),""))</f>
        <v/>
      </c>
      <c r="AC430" t="str">
        <f>IF(E430="","Pending",IF(AB430&lt;=5,"On time","Delayed"))</f>
        <v>Delayed</v>
      </c>
      <c r="AD430" s="29" t="str">
        <f>IF(TRIM(S430)="","Not Assigned",S430)</f>
        <v>Aisha</v>
      </c>
      <c r="AE430" t="str">
        <f>PROPER(TRIM(F430))</f>
        <v>Amit Sharma</v>
      </c>
      <c r="AF430" t="str">
        <f>PROPER(TRIM(K430))</f>
        <v>Stationery</v>
      </c>
      <c r="AG430" t="str">
        <f>PROPER(TRIM(J430))</f>
        <v>East</v>
      </c>
      <c r="AH430" t="str">
        <f t="shared" si="12"/>
        <v>Stationery</v>
      </c>
      <c r="AI430" t="str">
        <f t="shared" si="13"/>
        <v>Stationery</v>
      </c>
      <c r="AK430">
        <f>IF(COUNTIF($A$2:A430,A430)=1,1,0)</f>
        <v>1</v>
      </c>
    </row>
    <row r="431" spans="1:37">
      <c r="A431" s="9" t="s">
        <v>1085</v>
      </c>
      <c r="B431" s="10" t="s">
        <v>249</v>
      </c>
      <c r="C431" s="10" t="s">
        <v>280</v>
      </c>
      <c r="D431" s="11">
        <v>45659</v>
      </c>
      <c r="E431" s="11">
        <v>45810</v>
      </c>
      <c r="F431" s="10" t="s">
        <v>251</v>
      </c>
      <c r="G431" s="10" t="s">
        <v>239</v>
      </c>
      <c r="H431" s="10" t="s">
        <v>1086</v>
      </c>
      <c r="I431" s="10" t="s">
        <v>379</v>
      </c>
      <c r="J431" s="10" t="s">
        <v>21</v>
      </c>
      <c r="K431" s="10" t="s">
        <v>15</v>
      </c>
      <c r="L431" s="10" t="s">
        <v>282</v>
      </c>
      <c r="M431" s="10">
        <v>16</v>
      </c>
      <c r="N431" s="10">
        <v>3500</v>
      </c>
      <c r="O431" s="10">
        <v>5</v>
      </c>
      <c r="P431" s="10">
        <v>53200</v>
      </c>
      <c r="Q431" s="10">
        <v>1</v>
      </c>
      <c r="R431" s="10" t="s">
        <v>272</v>
      </c>
      <c r="S431" s="10" t="s">
        <v>246</v>
      </c>
      <c r="T431" s="10" t="s">
        <v>264</v>
      </c>
      <c r="U431" s="10">
        <v>9999406260</v>
      </c>
      <c r="V431" s="12" t="s">
        <v>265</v>
      </c>
      <c r="W431" t="str">
        <f>IF(OR(Q431&lt;=2,V431="Cancelled"),"Blacklisted",IF(AND(P431&gt;100000,Q431&gt;=4,O431&lt;=10%,V431="Completed"),"Platinum",IF(AND(P431&gt;=50000,Q431&gt;=3,V431="Completed"),"Gold",IF(AND(P431&lt;50000,V431="Completed"),"Silver",""))))</f>
        <v>Blacklisted</v>
      </c>
      <c r="X431" t="str">
        <f>PROPER(TRIM(F431))</f>
        <v>Kavya Nair</v>
      </c>
      <c r="Y431" t="str">
        <f>LEFT(F431,3)&amp;MID(B431,2,3)&amp;LEFT(I431,2)</f>
        <v>Kav008Ko</v>
      </c>
      <c r="Z431" t="str">
        <f>IF(ISNUMBER(SEARCH("@",T431)),LOWER(TRIM(T431)),"invalid email")</f>
        <v>kavya.nair@company.com</v>
      </c>
      <c r="AA431" t="str">
        <f ca="1">IF(H430="","",IFERROR(DATEDIF(IF(ISNUMBER(H430),H430,DATE(VALUE(RIGHT(H430,4)),VALUE(MID(H430,3,2)),VALUE(LEFT(H430,2)))),TODAY(),"Y"),""))</f>
        <v/>
      </c>
      <c r="AB431" t="str">
        <f>IF(OR(D431="",E431=""),"",IFERROR(DATE(MID(E431,7,4),MID(E431,4,2),LEFT(E431,2))-DATE(MID(D431,7,4),MID(D431,4,2),LEFT(D431,2)),""))</f>
        <v/>
      </c>
      <c r="AC431" t="str">
        <f>IF(E431="","Pending",IF(AB431&lt;=5,"On time","Delayed"))</f>
        <v>Delayed</v>
      </c>
      <c r="AD431" s="29" t="str">
        <f>IF(TRIM(S431)="","Not Assigned",S431)</f>
        <v>Aisha</v>
      </c>
      <c r="AE431" t="str">
        <f>PROPER(TRIM(F431))</f>
        <v>Kavya Nair</v>
      </c>
      <c r="AF431" t="str">
        <f>PROPER(TRIM(K431))</f>
        <v>Home Appliances</v>
      </c>
      <c r="AG431" t="str">
        <f>PROPER(TRIM(J431))</f>
        <v>East</v>
      </c>
      <c r="AH431" t="str">
        <f t="shared" si="12"/>
        <v>Home Appliances</v>
      </c>
      <c r="AI431" t="str">
        <f t="shared" si="13"/>
        <v>Home Appliances</v>
      </c>
      <c r="AK431">
        <f>IF(COUNTIF($A$2:A431,A431)=1,1,0)</f>
        <v>1</v>
      </c>
    </row>
    <row r="432" spans="1:37">
      <c r="A432" s="4" t="s">
        <v>1087</v>
      </c>
      <c r="B432" s="5" t="s">
        <v>392</v>
      </c>
      <c r="C432" s="5" t="s">
        <v>322</v>
      </c>
      <c r="D432" s="5" t="s">
        <v>107</v>
      </c>
      <c r="E432" s="6">
        <v>45750</v>
      </c>
      <c r="F432" s="5" t="s">
        <v>323</v>
      </c>
      <c r="G432" s="5" t="s">
        <v>269</v>
      </c>
      <c r="H432" s="5" t="s">
        <v>1088</v>
      </c>
      <c r="I432" s="5" t="s">
        <v>286</v>
      </c>
      <c r="J432" s="5" t="s">
        <v>287</v>
      </c>
      <c r="K432" s="5" t="s">
        <v>15</v>
      </c>
      <c r="L432" s="5" t="s">
        <v>325</v>
      </c>
      <c r="M432" s="5">
        <v>12</v>
      </c>
      <c r="N432" s="5">
        <v>8500</v>
      </c>
      <c r="O432" s="5">
        <v>10</v>
      </c>
      <c r="P432" s="5">
        <v>91800</v>
      </c>
      <c r="Q432" s="5">
        <v>3</v>
      </c>
      <c r="R432" s="5" t="s">
        <v>272</v>
      </c>
      <c r="S432" s="5" t="s">
        <v>255</v>
      </c>
      <c r="T432" s="5" t="s">
        <v>395</v>
      </c>
      <c r="U432" s="5">
        <v>9233727886</v>
      </c>
      <c r="V432" s="8" t="s">
        <v>257</v>
      </c>
      <c r="W432" t="str">
        <f>IF(OR(Q432&lt;=2,V432="Cancelled"),"Blacklisted",IF(AND(P432&gt;100000,Q432&gt;=4,O432&lt;=10%,V432="Completed"),"Platinum",IF(AND(P432&gt;=50000,Q432&gt;=3,V432="Completed"),"Gold",IF(AND(P432&lt;50000,V432="Completed"),"Silver",""))))</f>
        <v>Gold</v>
      </c>
      <c r="X432" t="str">
        <f>PROPER(TRIM(F432))</f>
        <v>Amit Sharma</v>
      </c>
      <c r="Y432" t="str">
        <f>LEFT(F432,3)&amp;MID(B432,2,3)&amp;LEFT(I432,2)</f>
        <v>Ami001Mu</v>
      </c>
      <c r="Z432" t="str">
        <f>IF(ISNUMBER(SEARCH("@",T432)),LOWER(TRIM(T432)),"invalid email")</f>
        <v>amit.sharma@company.com</v>
      </c>
      <c r="AA432" t="str">
        <f ca="1">IF(H431="","",IFERROR(DATEDIF(IF(ISNUMBER(H431),H431,DATE(VALUE(RIGHT(H431,4)),VALUE(MID(H431,3,2)),VALUE(LEFT(H431,2)))),TODAY(),"Y"),""))</f>
        <v/>
      </c>
      <c r="AB432" t="str">
        <f>IF(OR(D432="",E432=""),"",IFERROR(DATE(MID(E432,7,4),MID(E432,4,2),LEFT(E432,2))-DATE(MID(D432,7,4),MID(D432,4,2),LEFT(D432,2)),""))</f>
        <v/>
      </c>
      <c r="AC432" t="str">
        <f>IF(E432="","Pending",IF(AB432&lt;=5,"On time","Delayed"))</f>
        <v>Delayed</v>
      </c>
      <c r="AD432" s="29" t="str">
        <f>IF(TRIM(S432)="","Not Assigned",S432)</f>
        <v>Ritika</v>
      </c>
      <c r="AE432" t="str">
        <f>PROPER(TRIM(F432))</f>
        <v>Amit Sharma</v>
      </c>
      <c r="AF432" t="str">
        <f>PROPER(TRIM(K432))</f>
        <v>Home Appliances</v>
      </c>
      <c r="AG432" t="str">
        <f>PROPER(TRIM(J432))</f>
        <v>West</v>
      </c>
      <c r="AH432" t="str">
        <f t="shared" si="12"/>
        <v>Home Appliances</v>
      </c>
      <c r="AI432" t="str">
        <f t="shared" si="13"/>
        <v>Home Appliances</v>
      </c>
      <c r="AK432">
        <f>IF(COUNTIF($A$2:A432,A432)=1,1,0)</f>
        <v>1</v>
      </c>
    </row>
    <row r="433" spans="1:37">
      <c r="A433" s="9" t="s">
        <v>1089</v>
      </c>
      <c r="B433" s="10" t="s">
        <v>249</v>
      </c>
      <c r="C433" s="10" t="s">
        <v>294</v>
      </c>
      <c r="D433" s="10" t="s">
        <v>67</v>
      </c>
      <c r="E433" s="10" t="s">
        <v>89</v>
      </c>
      <c r="F433" s="10" t="s">
        <v>251</v>
      </c>
      <c r="G433" s="10" t="s">
        <v>239</v>
      </c>
      <c r="H433" s="10" t="s">
        <v>1090</v>
      </c>
      <c r="I433" s="10" t="s">
        <v>306</v>
      </c>
      <c r="J433" s="10" t="s">
        <v>287</v>
      </c>
      <c r="K433" s="10" t="s">
        <v>295</v>
      </c>
      <c r="L433" s="10" t="s">
        <v>296</v>
      </c>
      <c r="M433" s="10">
        <v>1</v>
      </c>
      <c r="N433" s="10">
        <v>60</v>
      </c>
      <c r="O433" s="10">
        <v>20</v>
      </c>
      <c r="P433" s="10">
        <v>48</v>
      </c>
      <c r="Q433" s="10">
        <v>2</v>
      </c>
      <c r="R433" s="10" t="s">
        <v>272</v>
      </c>
      <c r="S433" s="10" t="s">
        <v>312</v>
      </c>
      <c r="T433" s="10" t="s">
        <v>264</v>
      </c>
      <c r="U433" s="10">
        <v>9831688801</v>
      </c>
      <c r="V433" s="12" t="s">
        <v>257</v>
      </c>
      <c r="W433" t="str">
        <f>IF(OR(Q433&lt;=2,V433="Cancelled"),"Blacklisted",IF(AND(P433&gt;100000,Q433&gt;=4,O433&lt;=10%,V433="Completed"),"Platinum",IF(AND(P433&gt;=50000,Q433&gt;=3,V433="Completed"),"Gold",IF(AND(P433&lt;50000,V433="Completed"),"Silver",""))))</f>
        <v>Blacklisted</v>
      </c>
      <c r="X433" t="str">
        <f>PROPER(TRIM(F433))</f>
        <v>Kavya Nair</v>
      </c>
      <c r="Y433" t="str">
        <f>LEFT(F433,3)&amp;MID(B433,2,3)&amp;LEFT(I433,2)</f>
        <v>Kav008Ah</v>
      </c>
      <c r="Z433" t="str">
        <f>IF(ISNUMBER(SEARCH("@",T433)),LOWER(TRIM(T433)),"invalid email")</f>
        <v>kavya.nair@company.com</v>
      </c>
      <c r="AA433" t="str">
        <f ca="1">IF(H432="","",IFERROR(DATEDIF(IF(ISNUMBER(H432),H432,DATE(VALUE(RIGHT(H432,4)),VALUE(MID(H432,3,2)),VALUE(LEFT(H432,2)))),TODAY(),"Y"),""))</f>
        <v/>
      </c>
      <c r="AB433">
        <f>IF(OR(D433="",E433=""),"",IFERROR(DATE(MID(E433,7,4),MID(E433,4,2),LEFT(E433,2))-DATE(MID(D433,7,4),MID(D433,4,2),LEFT(D433,2)),""))</f>
        <v>2</v>
      </c>
      <c r="AC433" t="str">
        <f>IF(E433="","Pending",IF(AB433&lt;=5,"On time","Delayed"))</f>
        <v>On time</v>
      </c>
      <c r="AD433" s="29" t="str">
        <f>IF(TRIM(S433)="","Not Assigned",S433)</f>
        <v>Karan</v>
      </c>
      <c r="AE433" t="str">
        <f>PROPER(TRIM(F433))</f>
        <v>Kavya Nair</v>
      </c>
      <c r="AF433" t="str">
        <f>PROPER(TRIM(K433))</f>
        <v>Stationery</v>
      </c>
      <c r="AG433" t="str">
        <f>PROPER(TRIM(J433))</f>
        <v>West</v>
      </c>
      <c r="AH433" t="str">
        <f t="shared" si="12"/>
        <v>Stationery</v>
      </c>
      <c r="AI433" t="str">
        <f t="shared" si="13"/>
        <v>Stationery</v>
      </c>
      <c r="AK433">
        <f>IF(COUNTIF($A$2:A433,A433)=1,1,0)</f>
        <v>1</v>
      </c>
    </row>
    <row r="434" spans="1:37">
      <c r="A434" s="4" t="s">
        <v>1091</v>
      </c>
      <c r="B434" s="5" t="s">
        <v>299</v>
      </c>
      <c r="C434" s="5" t="s">
        <v>294</v>
      </c>
      <c r="D434" s="16">
        <v>45819</v>
      </c>
      <c r="E434" s="6">
        <v>45972</v>
      </c>
      <c r="F434" s="5" t="s">
        <v>301</v>
      </c>
      <c r="G434" s="5" t="s">
        <v>269</v>
      </c>
      <c r="H434" s="5" t="s">
        <v>1092</v>
      </c>
      <c r="I434" s="5" t="s">
        <v>252</v>
      </c>
      <c r="J434" s="5" t="s">
        <v>242</v>
      </c>
      <c r="K434" s="5" t="s">
        <v>295</v>
      </c>
      <c r="L434" s="5" t="s">
        <v>296</v>
      </c>
      <c r="M434" s="5">
        <v>3</v>
      </c>
      <c r="N434" s="5">
        <v>60</v>
      </c>
      <c r="O434" s="5">
        <v>15</v>
      </c>
      <c r="P434" s="5">
        <v>153</v>
      </c>
      <c r="Q434" s="5">
        <v>4</v>
      </c>
      <c r="R434" s="5" t="s">
        <v>272</v>
      </c>
      <c r="S434" s="5" t="s">
        <v>255</v>
      </c>
      <c r="T434" s="5" t="s">
        <v>302</v>
      </c>
      <c r="U434" s="5">
        <v>9982849508</v>
      </c>
      <c r="V434" s="8" t="s">
        <v>257</v>
      </c>
      <c r="W434" t="str">
        <f>IF(OR(Q434&lt;=2,V434="Cancelled"),"Blacklisted",IF(AND(P434&gt;100000,Q434&gt;=4,O434&lt;=10%,V434="Completed"),"Platinum",IF(AND(P434&gt;=50000,Q434&gt;=3,V434="Completed"),"Gold",IF(AND(P434&lt;50000,V434="Completed"),"Silver",""))))</f>
        <v>Silver</v>
      </c>
      <c r="X434" t="str">
        <f>PROPER(TRIM(F434))</f>
        <v>Rohit Singh</v>
      </c>
      <c r="Y434" t="str">
        <f>LEFT(F434,3)&amp;MID(B434,2,3)&amp;LEFT(I434,2)</f>
        <v>Roh003Hy</v>
      </c>
      <c r="Z434" t="str">
        <f>IF(ISNUMBER(SEARCH("@",T434)),LOWER(TRIM(T434)),"invalid email")</f>
        <v>rohit.singh@company.com</v>
      </c>
      <c r="AA434" t="str">
        <f ca="1">IF(H433="","",IFERROR(DATEDIF(IF(ISNUMBER(H433),H433,DATE(VALUE(RIGHT(H433,4)),VALUE(MID(H433,3,2)),VALUE(LEFT(H433,2)))),TODAY(),"Y"),""))</f>
        <v/>
      </c>
      <c r="AB434" t="str">
        <f>IF(OR(D434="",E434=""),"",IFERROR(DATE(MID(E434,7,4),MID(E434,4,2),LEFT(E434,2))-DATE(MID(D434,7,4),MID(D434,4,2),LEFT(D434,2)),""))</f>
        <v/>
      </c>
      <c r="AC434" t="str">
        <f>IF(E434="","Pending",IF(AB434&lt;=5,"On time","Delayed"))</f>
        <v>Delayed</v>
      </c>
      <c r="AD434" s="29" t="str">
        <f>IF(TRIM(S434)="","Not Assigned",S434)</f>
        <v>Ritika</v>
      </c>
      <c r="AE434" t="str">
        <f>PROPER(TRIM(F434))</f>
        <v>Rohit Singh</v>
      </c>
      <c r="AF434" t="str">
        <f>PROPER(TRIM(K434))</f>
        <v>Stationery</v>
      </c>
      <c r="AG434" t="str">
        <f>PROPER(TRIM(J434))</f>
        <v>South</v>
      </c>
      <c r="AH434" t="str">
        <f t="shared" si="12"/>
        <v>Stationery</v>
      </c>
      <c r="AI434" t="str">
        <f t="shared" si="13"/>
        <v>Stationery</v>
      </c>
      <c r="AK434">
        <f>IF(COUNTIF($A$2:A434,A434)=1,1,0)</f>
        <v>1</v>
      </c>
    </row>
    <row r="435" spans="1:37">
      <c r="A435" s="9" t="s">
        <v>1093</v>
      </c>
      <c r="B435" s="10" t="s">
        <v>284</v>
      </c>
      <c r="C435" s="10" t="s">
        <v>330</v>
      </c>
      <c r="D435" s="10" t="s">
        <v>88</v>
      </c>
      <c r="E435" s="10" t="s">
        <v>140</v>
      </c>
      <c r="F435" s="10" t="s">
        <v>285</v>
      </c>
      <c r="G435" s="10" t="s">
        <v>239</v>
      </c>
      <c r="H435" s="11">
        <v>28917</v>
      </c>
      <c r="I435" s="10" t="s">
        <v>379</v>
      </c>
      <c r="J435" s="10" t="s">
        <v>21</v>
      </c>
      <c r="K435" s="10" t="s">
        <v>243</v>
      </c>
      <c r="L435" s="10" t="s">
        <v>333</v>
      </c>
      <c r="M435" s="10">
        <v>10</v>
      </c>
      <c r="N435" s="10">
        <v>700</v>
      </c>
      <c r="O435" s="10">
        <v>15</v>
      </c>
      <c r="P435" s="10">
        <v>5950</v>
      </c>
      <c r="Q435" s="10">
        <v>3</v>
      </c>
      <c r="R435" s="10" t="s">
        <v>245</v>
      </c>
      <c r="S435" s="10" t="s">
        <v>255</v>
      </c>
      <c r="T435" s="10" t="s">
        <v>308</v>
      </c>
      <c r="U435" s="10">
        <v>9288309246</v>
      </c>
      <c r="V435" s="12" t="s">
        <v>248</v>
      </c>
      <c r="W435" t="str">
        <f>IF(OR(Q435&lt;=2,V435="Cancelled"),"Blacklisted",IF(AND(P435&gt;100000,Q435&gt;=4,O435&lt;=10%,V435="Completed"),"Platinum",IF(AND(P435&gt;=50000,Q435&gt;=3,V435="Completed"),"Gold",IF(AND(P435&lt;50000,V435="Completed"),"Silver",""))))</f>
        <v/>
      </c>
      <c r="X435" t="str">
        <f>PROPER(TRIM(F435))</f>
        <v>Priya Patel</v>
      </c>
      <c r="Y435" t="str">
        <f>LEFT(F435,3)&amp;MID(B435,2,3)&amp;LEFT(I435,2)</f>
        <v>Pri002Ko</v>
      </c>
      <c r="Z435" t="str">
        <f>IF(ISNUMBER(SEARCH("@",T435)),LOWER(TRIM(T435)),"invalid email")</f>
        <v>priya.patel@company.com</v>
      </c>
      <c r="AA435" t="str">
        <f ca="1">IF(H434="","",IFERROR(DATEDIF(IF(ISNUMBER(H434),H434,DATE(VALUE(RIGHT(H434,4)),VALUE(MID(H434,3,2)),VALUE(LEFT(H434,2)))),TODAY(),"Y"),""))</f>
        <v/>
      </c>
      <c r="AB435">
        <f>IF(OR(D435="",E435=""),"",IFERROR(DATE(MID(E435,7,4),MID(E435,4,2),LEFT(E435,2))-DATE(MID(D435,7,4),MID(D435,4,2),LEFT(D435,2)),""))</f>
        <v>5</v>
      </c>
      <c r="AC435" t="str">
        <f>IF(E435="","Pending",IF(AB435&lt;=5,"On time","Delayed"))</f>
        <v>On time</v>
      </c>
      <c r="AD435" s="29" t="str">
        <f>IF(TRIM(S435)="","Not Assigned",S435)</f>
        <v>Ritika</v>
      </c>
      <c r="AE435" t="str">
        <f>PROPER(TRIM(F435))</f>
        <v>Priya Patel</v>
      </c>
      <c r="AF435" t="str">
        <f>PROPER(TRIM(K435))</f>
        <v>Electronics</v>
      </c>
      <c r="AG435" t="str">
        <f>PROPER(TRIM(J435))</f>
        <v>East</v>
      </c>
      <c r="AH435" t="str">
        <f t="shared" si="12"/>
        <v>Electronics</v>
      </c>
      <c r="AI435" t="str">
        <f t="shared" si="13"/>
        <v>Electronics</v>
      </c>
      <c r="AK435">
        <f>IF(COUNTIF($A$2:A435,A435)=1,1,0)</f>
        <v>1</v>
      </c>
    </row>
    <row r="436" spans="1:37">
      <c r="A436" s="4" t="s">
        <v>1094</v>
      </c>
      <c r="B436" s="5" t="s">
        <v>275</v>
      </c>
      <c r="C436" s="5" t="s">
        <v>347</v>
      </c>
      <c r="D436" s="5" t="s">
        <v>116</v>
      </c>
      <c r="E436" s="5" t="s">
        <v>1095</v>
      </c>
      <c r="F436" s="5" t="s">
        <v>328</v>
      </c>
      <c r="G436" s="5" t="s">
        <v>269</v>
      </c>
      <c r="H436" s="5" t="s">
        <v>1096</v>
      </c>
      <c r="I436" s="5" t="s">
        <v>306</v>
      </c>
      <c r="J436" s="5" t="s">
        <v>287</v>
      </c>
      <c r="K436" s="5" t="s">
        <v>295</v>
      </c>
      <c r="L436" s="5" t="s">
        <v>349</v>
      </c>
      <c r="M436" s="5">
        <v>2</v>
      </c>
      <c r="N436" s="5">
        <v>20</v>
      </c>
      <c r="O436" s="5">
        <v>10</v>
      </c>
      <c r="P436" s="5">
        <v>36</v>
      </c>
      <c r="Q436" s="5">
        <v>2</v>
      </c>
      <c r="R436" s="5" t="s">
        <v>277</v>
      </c>
      <c r="S436" s="5" t="s">
        <v>246</v>
      </c>
      <c r="T436" s="5" t="s">
        <v>278</v>
      </c>
      <c r="U436" s="5">
        <v>9808476235</v>
      </c>
      <c r="V436" s="8" t="s">
        <v>257</v>
      </c>
      <c r="W436" t="str">
        <f>IF(OR(Q436&lt;=2,V436="Cancelled"),"Blacklisted",IF(AND(P436&gt;100000,Q436&gt;=4,O436&lt;=10%,V436="Completed"),"Platinum",IF(AND(P436&gt;=50000,Q436&gt;=3,V436="Completed"),"Gold",IF(AND(P436&lt;50000,V436="Completed"),"Silver",""))))</f>
        <v>Blacklisted</v>
      </c>
      <c r="X436" t="str">
        <f>PROPER(TRIM(F436))</f>
        <v>Arjun Rao</v>
      </c>
      <c r="Y436" t="str">
        <f>LEFT(F436,3)&amp;MID(B436,2,3)&amp;LEFT(I436,2)</f>
        <v>Arj007Ah</v>
      </c>
      <c r="Z436" t="str">
        <f>IF(ISNUMBER(SEARCH("@",T436)),LOWER(TRIM(T436)),"invalid email")</f>
        <v>arjun.rao@company.com</v>
      </c>
      <c r="AA436">
        <f ca="1">IF(H435="","",IFERROR(DATEDIF(IF(ISNUMBER(H435),H435,DATE(VALUE(RIGHT(H435,4)),VALUE(MID(H435,3,2)),VALUE(LEFT(H435,2)))),TODAY(),"Y"),""))</f>
        <v>47</v>
      </c>
      <c r="AB436">
        <f>IF(OR(D436="",E436=""),"",IFERROR(DATE(MID(E436,7,4),MID(E436,4,2),LEFT(E436,2))-DATE(MID(D436,7,4),MID(D436,4,2),LEFT(D436,2)),""))</f>
        <v>3</v>
      </c>
      <c r="AC436" t="str">
        <f>IF(E436="","Pending",IF(AB436&lt;=5,"On time","Delayed"))</f>
        <v>On time</v>
      </c>
      <c r="AD436" s="29" t="str">
        <f>IF(TRIM(S436)="","Not Assigned",S436)</f>
        <v>Aisha</v>
      </c>
      <c r="AE436" t="str">
        <f>PROPER(TRIM(F436))</f>
        <v>Arjun Rao</v>
      </c>
      <c r="AF436" t="str">
        <f>PROPER(TRIM(K436))</f>
        <v>Stationery</v>
      </c>
      <c r="AG436" t="str">
        <f>PROPER(TRIM(J436))</f>
        <v>West</v>
      </c>
      <c r="AH436" t="str">
        <f t="shared" si="12"/>
        <v>Stationery</v>
      </c>
      <c r="AI436" t="str">
        <f t="shared" si="13"/>
        <v>Stationery</v>
      </c>
      <c r="AK436">
        <f>IF(COUNTIF($A$2:A436,A436)=1,1,0)</f>
        <v>1</v>
      </c>
    </row>
    <row r="437" spans="1:37">
      <c r="A437" s="9" t="s">
        <v>1097</v>
      </c>
      <c r="B437" s="10" t="s">
        <v>275</v>
      </c>
      <c r="C437" s="10" t="s">
        <v>347</v>
      </c>
      <c r="D437" s="10" t="s">
        <v>206</v>
      </c>
      <c r="E437" s="11">
        <v>46143</v>
      </c>
      <c r="F437" s="10" t="s">
        <v>328</v>
      </c>
      <c r="G437" s="10" t="s">
        <v>269</v>
      </c>
      <c r="H437" s="10" t="s">
        <v>1098</v>
      </c>
      <c r="I437" s="10" t="s">
        <v>260</v>
      </c>
      <c r="J437" s="10" t="s">
        <v>261</v>
      </c>
      <c r="K437" s="10" t="s">
        <v>295</v>
      </c>
      <c r="L437" s="10" t="s">
        <v>349</v>
      </c>
      <c r="M437" s="10">
        <v>14</v>
      </c>
      <c r="N437" s="10">
        <v>20</v>
      </c>
      <c r="O437" s="10">
        <v>20</v>
      </c>
      <c r="P437" s="10">
        <v>224</v>
      </c>
      <c r="Q437" s="10">
        <v>5</v>
      </c>
      <c r="R437" s="10" t="s">
        <v>254</v>
      </c>
      <c r="S437" s="10" t="s">
        <v>312</v>
      </c>
      <c r="T437" s="10" t="s">
        <v>278</v>
      </c>
      <c r="U437" s="10">
        <v>9869056117</v>
      </c>
      <c r="V437" s="12" t="s">
        <v>248</v>
      </c>
      <c r="W437" t="str">
        <f>IF(OR(Q437&lt;=2,V437="Cancelled"),"Blacklisted",IF(AND(P437&gt;100000,Q437&gt;=4,O437&lt;=10%,V437="Completed"),"Platinum",IF(AND(P437&gt;=50000,Q437&gt;=3,V437="Completed"),"Gold",IF(AND(P437&lt;50000,V437="Completed"),"Silver",""))))</f>
        <v/>
      </c>
      <c r="X437" t="str">
        <f>PROPER(TRIM(F437))</f>
        <v>Arjun Rao</v>
      </c>
      <c r="Y437" t="str">
        <f>LEFT(F437,3)&amp;MID(B437,2,3)&amp;LEFT(I437,2)</f>
        <v>Arj007De</v>
      </c>
      <c r="Z437" t="str">
        <f>IF(ISNUMBER(SEARCH("@",T437)),LOWER(TRIM(T437)),"invalid email")</f>
        <v>arjun.rao@company.com</v>
      </c>
      <c r="AA437" t="str">
        <f ca="1">IF(H436="","",IFERROR(DATEDIF(IF(ISNUMBER(H436),H436,DATE(VALUE(RIGHT(H436,4)),VALUE(MID(H436,3,2)),VALUE(LEFT(H436,2)))),TODAY(),"Y"),""))</f>
        <v/>
      </c>
      <c r="AB437" t="str">
        <f>IF(OR(D437="",E437=""),"",IFERROR(DATE(MID(E437,7,4),MID(E437,4,2),LEFT(E437,2))-DATE(MID(D437,7,4),MID(D437,4,2),LEFT(D437,2)),""))</f>
        <v/>
      </c>
      <c r="AC437" t="str">
        <f>IF(E437="","Pending",IF(AB437&lt;=5,"On time","Delayed"))</f>
        <v>Delayed</v>
      </c>
      <c r="AD437" s="29" t="str">
        <f>IF(TRIM(S437)="","Not Assigned",S437)</f>
        <v>Karan</v>
      </c>
      <c r="AE437" t="str">
        <f>PROPER(TRIM(F437))</f>
        <v>Arjun Rao</v>
      </c>
      <c r="AF437" t="str">
        <f>PROPER(TRIM(K437))</f>
        <v>Stationery</v>
      </c>
      <c r="AG437" t="str">
        <f>PROPER(TRIM(J437))</f>
        <v>North</v>
      </c>
      <c r="AH437" t="str">
        <f t="shared" si="12"/>
        <v>Stationery</v>
      </c>
      <c r="AI437" t="str">
        <f t="shared" si="13"/>
        <v>Stationery</v>
      </c>
      <c r="AK437">
        <f>IF(COUNTIF($A$2:A437,A437)=1,1,0)</f>
        <v>1</v>
      </c>
    </row>
    <row r="438" spans="1:37">
      <c r="A438" s="4" t="s">
        <v>1099</v>
      </c>
      <c r="B438" s="5" t="s">
        <v>392</v>
      </c>
      <c r="C438" s="5" t="s">
        <v>280</v>
      </c>
      <c r="D438" s="5" t="s">
        <v>102</v>
      </c>
      <c r="E438" s="5" t="s">
        <v>144</v>
      </c>
      <c r="F438" s="5" t="s">
        <v>323</v>
      </c>
      <c r="G438" s="5" t="s">
        <v>269</v>
      </c>
      <c r="H438" s="5" t="s">
        <v>1100</v>
      </c>
      <c r="I438" s="5" t="s">
        <v>306</v>
      </c>
      <c r="J438" s="5" t="s">
        <v>287</v>
      </c>
      <c r="K438" s="5" t="s">
        <v>15</v>
      </c>
      <c r="L438" s="5" t="s">
        <v>282</v>
      </c>
      <c r="M438" s="5">
        <v>4</v>
      </c>
      <c r="N438" s="5">
        <v>3500</v>
      </c>
      <c r="O438" s="5">
        <v>0</v>
      </c>
      <c r="P438" s="5">
        <v>14000</v>
      </c>
      <c r="Q438" s="5">
        <v>2</v>
      </c>
      <c r="R438" s="5" t="s">
        <v>277</v>
      </c>
      <c r="S438" s="5" t="s">
        <v>255</v>
      </c>
      <c r="T438" s="5" t="s">
        <v>395</v>
      </c>
      <c r="U438" s="5">
        <v>9734229772</v>
      </c>
      <c r="V438" s="8" t="s">
        <v>265</v>
      </c>
      <c r="W438" t="str">
        <f>IF(OR(Q438&lt;=2,V438="Cancelled"),"Blacklisted",IF(AND(P438&gt;100000,Q438&gt;=4,O438&lt;=10%,V438="Completed"),"Platinum",IF(AND(P438&gt;=50000,Q438&gt;=3,V438="Completed"),"Gold",IF(AND(P438&lt;50000,V438="Completed"),"Silver",""))))</f>
        <v>Blacklisted</v>
      </c>
      <c r="X438" t="str">
        <f>PROPER(TRIM(F438))</f>
        <v>Amit Sharma</v>
      </c>
      <c r="Y438" t="str">
        <f>LEFT(F438,3)&amp;MID(B438,2,3)&amp;LEFT(I438,2)</f>
        <v>Ami001Ah</v>
      </c>
      <c r="Z438" t="str">
        <f>IF(ISNUMBER(SEARCH("@",T438)),LOWER(TRIM(T438)),"invalid email")</f>
        <v>amit.sharma@company.com</v>
      </c>
      <c r="AA438" t="str">
        <f ca="1">IF(H437="","",IFERROR(DATEDIF(IF(ISNUMBER(H437),H437,DATE(VALUE(RIGHT(H437,4)),VALUE(MID(H437,3,2)),VALUE(LEFT(H437,2)))),TODAY(),"Y"),""))</f>
        <v/>
      </c>
      <c r="AB438">
        <f>IF(OR(D438="",E438=""),"",IFERROR(DATE(MID(E438,7,4),MID(E438,4,2),LEFT(E438,2))-DATE(MID(D438,7,4),MID(D438,4,2),LEFT(D438,2)),""))</f>
        <v>4</v>
      </c>
      <c r="AC438" t="str">
        <f>IF(E438="","Pending",IF(AB438&lt;=5,"On time","Delayed"))</f>
        <v>On time</v>
      </c>
      <c r="AD438" s="29" t="str">
        <f>IF(TRIM(S438)="","Not Assigned",S438)</f>
        <v>Ritika</v>
      </c>
      <c r="AE438" t="str">
        <f>PROPER(TRIM(F438))</f>
        <v>Amit Sharma</v>
      </c>
      <c r="AF438" t="str">
        <f>PROPER(TRIM(K438))</f>
        <v>Home Appliances</v>
      </c>
      <c r="AG438" t="str">
        <f>PROPER(TRIM(J438))</f>
        <v>West</v>
      </c>
      <c r="AH438" t="str">
        <f t="shared" si="12"/>
        <v>Home Appliances</v>
      </c>
      <c r="AI438" t="str">
        <f t="shared" si="13"/>
        <v>Home Appliances</v>
      </c>
      <c r="AK438">
        <f>IF(COUNTIF($A$2:A438,A438)=1,1,0)</f>
        <v>1</v>
      </c>
    </row>
    <row r="439" spans="1:37">
      <c r="A439" s="9" t="s">
        <v>1101</v>
      </c>
      <c r="B439" s="10" t="s">
        <v>275</v>
      </c>
      <c r="C439" s="10" t="s">
        <v>280</v>
      </c>
      <c r="D439" s="11">
        <v>45753</v>
      </c>
      <c r="E439" s="11">
        <v>45783</v>
      </c>
      <c r="F439" s="10" t="s">
        <v>328</v>
      </c>
      <c r="G439" s="10" t="s">
        <v>269</v>
      </c>
      <c r="H439" s="11">
        <v>30570</v>
      </c>
      <c r="I439" s="10" t="s">
        <v>342</v>
      </c>
      <c r="J439" s="10" t="s">
        <v>261</v>
      </c>
      <c r="K439" s="10" t="s">
        <v>15</v>
      </c>
      <c r="L439" s="10" t="s">
        <v>282</v>
      </c>
      <c r="M439" s="10">
        <v>9</v>
      </c>
      <c r="N439" s="10">
        <v>3500</v>
      </c>
      <c r="O439" s="10">
        <v>5</v>
      </c>
      <c r="P439" s="10">
        <v>29925</v>
      </c>
      <c r="Q439" s="10">
        <v>3</v>
      </c>
      <c r="R439" s="10" t="s">
        <v>272</v>
      </c>
      <c r="S439" s="10" t="s">
        <v>246</v>
      </c>
      <c r="T439" s="10" t="s">
        <v>278</v>
      </c>
      <c r="U439" s="10">
        <v>9791617906</v>
      </c>
      <c r="V439" s="12" t="s">
        <v>257</v>
      </c>
      <c r="W439" t="str">
        <f>IF(OR(Q439&lt;=2,V439="Cancelled"),"Blacklisted",IF(AND(P439&gt;100000,Q439&gt;=4,O439&lt;=10%,V439="Completed"),"Platinum",IF(AND(P439&gt;=50000,Q439&gt;=3,V439="Completed"),"Gold",IF(AND(P439&lt;50000,V439="Completed"),"Silver",""))))</f>
        <v>Silver</v>
      </c>
      <c r="X439" t="str">
        <f>PROPER(TRIM(F439))</f>
        <v>Arjun Rao</v>
      </c>
      <c r="Y439" t="str">
        <f>LEFT(F439,3)&amp;MID(B439,2,3)&amp;LEFT(I439,2)</f>
        <v>Arj007Ja</v>
      </c>
      <c r="Z439" t="str">
        <f>IF(ISNUMBER(SEARCH("@",T439)),LOWER(TRIM(T439)),"invalid email")</f>
        <v>arjun.rao@company.com</v>
      </c>
      <c r="AA439" t="str">
        <f ca="1">IF(H438="","",IFERROR(DATEDIF(IF(ISNUMBER(H438),H438,DATE(VALUE(RIGHT(H438,4)),VALUE(MID(H438,3,2)),VALUE(LEFT(H438,2)))),TODAY(),"Y"),""))</f>
        <v/>
      </c>
      <c r="AB439" t="str">
        <f>IF(OR(D439="",E439=""),"",IFERROR(DATE(MID(E439,7,4),MID(E439,4,2),LEFT(E439,2))-DATE(MID(D439,7,4),MID(D439,4,2),LEFT(D439,2)),""))</f>
        <v/>
      </c>
      <c r="AC439" t="str">
        <f>IF(E439="","Pending",IF(AB439&lt;=5,"On time","Delayed"))</f>
        <v>Delayed</v>
      </c>
      <c r="AD439" s="29" t="str">
        <f>IF(TRIM(S439)="","Not Assigned",S439)</f>
        <v>Aisha</v>
      </c>
      <c r="AE439" t="str">
        <f>PROPER(TRIM(F439))</f>
        <v>Arjun Rao</v>
      </c>
      <c r="AF439" t="str">
        <f>PROPER(TRIM(K439))</f>
        <v>Home Appliances</v>
      </c>
      <c r="AG439" t="str">
        <f>PROPER(TRIM(J439))</f>
        <v>North</v>
      </c>
      <c r="AH439" t="str">
        <f t="shared" si="12"/>
        <v>Home Appliances</v>
      </c>
      <c r="AI439" t="str">
        <f t="shared" si="13"/>
        <v>Home Appliances</v>
      </c>
      <c r="AK439">
        <f>IF(COUNTIF($A$2:A439,A439)=1,1,0)</f>
        <v>1</v>
      </c>
    </row>
    <row r="440" spans="1:37">
      <c r="A440" s="4" t="s">
        <v>1102</v>
      </c>
      <c r="B440" s="5" t="s">
        <v>299</v>
      </c>
      <c r="C440" s="5" t="s">
        <v>294</v>
      </c>
      <c r="D440" s="5" t="s">
        <v>197</v>
      </c>
      <c r="E440" s="6">
        <v>45722</v>
      </c>
      <c r="F440" s="5" t="s">
        <v>301</v>
      </c>
      <c r="G440" s="5" t="s">
        <v>269</v>
      </c>
      <c r="H440" s="5" t="s">
        <v>1103</v>
      </c>
      <c r="I440" s="5" t="s">
        <v>286</v>
      </c>
      <c r="J440" s="5" t="s">
        <v>287</v>
      </c>
      <c r="K440" s="5" t="s">
        <v>295</v>
      </c>
      <c r="L440" s="5" t="s">
        <v>296</v>
      </c>
      <c r="M440" s="5">
        <v>9</v>
      </c>
      <c r="N440" s="5">
        <v>60</v>
      </c>
      <c r="O440" s="5">
        <v>0</v>
      </c>
      <c r="P440" s="5">
        <v>540</v>
      </c>
      <c r="Q440" s="5">
        <v>3</v>
      </c>
      <c r="R440" s="5" t="s">
        <v>277</v>
      </c>
      <c r="S440" s="5" t="s">
        <v>255</v>
      </c>
      <c r="T440" s="5" t="s">
        <v>302</v>
      </c>
      <c r="U440" s="5">
        <v>9286316823</v>
      </c>
      <c r="V440" s="8" t="s">
        <v>248</v>
      </c>
      <c r="W440" t="str">
        <f>IF(OR(Q440&lt;=2,V440="Cancelled"),"Blacklisted",IF(AND(P440&gt;100000,Q440&gt;=4,O440&lt;=10%,V440="Completed"),"Platinum",IF(AND(P440&gt;=50000,Q440&gt;=3,V440="Completed"),"Gold",IF(AND(P440&lt;50000,V440="Completed"),"Silver",""))))</f>
        <v/>
      </c>
      <c r="X440" t="str">
        <f>PROPER(TRIM(F440))</f>
        <v>Rohit Singh</v>
      </c>
      <c r="Y440" t="str">
        <f>LEFT(F440,3)&amp;MID(B440,2,3)&amp;LEFT(I440,2)</f>
        <v>Roh003Mu</v>
      </c>
      <c r="Z440" t="str">
        <f>IF(ISNUMBER(SEARCH("@",T440)),LOWER(TRIM(T440)),"invalid email")</f>
        <v>rohit.singh@company.com</v>
      </c>
      <c r="AA440">
        <f ca="1">IF(H439="","",IFERROR(DATEDIF(IF(ISNUMBER(H439),H439,DATE(VALUE(RIGHT(H439,4)),VALUE(MID(H439,3,2)),VALUE(LEFT(H439,2)))),TODAY(),"Y"),""))</f>
        <v>43</v>
      </c>
      <c r="AB440" t="str">
        <f>IF(OR(D440="",E440=""),"",IFERROR(DATE(MID(E440,7,4),MID(E440,4,2),LEFT(E440,2))-DATE(MID(D440,7,4),MID(D440,4,2),LEFT(D440,2)),""))</f>
        <v/>
      </c>
      <c r="AC440" t="str">
        <f>IF(E440="","Pending",IF(AB440&lt;=5,"On time","Delayed"))</f>
        <v>Delayed</v>
      </c>
      <c r="AD440" s="29" t="str">
        <f>IF(TRIM(S440)="","Not Assigned",S440)</f>
        <v>Ritika</v>
      </c>
      <c r="AE440" t="str">
        <f>PROPER(TRIM(F440))</f>
        <v>Rohit Singh</v>
      </c>
      <c r="AF440" t="str">
        <f>PROPER(TRIM(K440))</f>
        <v>Stationery</v>
      </c>
      <c r="AG440" t="str">
        <f>PROPER(TRIM(J440))</f>
        <v>West</v>
      </c>
      <c r="AH440" t="str">
        <f t="shared" si="12"/>
        <v>Stationery</v>
      </c>
      <c r="AI440" t="str">
        <f t="shared" si="13"/>
        <v>Stationery</v>
      </c>
      <c r="AK440">
        <f>IF(COUNTIF($A$2:A440,A440)=1,1,0)</f>
        <v>1</v>
      </c>
    </row>
    <row r="441" spans="1:37">
      <c r="A441" s="9" t="s">
        <v>1104</v>
      </c>
      <c r="B441" s="10" t="s">
        <v>321</v>
      </c>
      <c r="C441" s="10" t="s">
        <v>267</v>
      </c>
      <c r="D441" s="11">
        <v>45693</v>
      </c>
      <c r="E441" s="11">
        <v>45721</v>
      </c>
      <c r="F441" s="10" t="s">
        <v>408</v>
      </c>
      <c r="G441" s="10" t="s">
        <v>239</v>
      </c>
      <c r="H441" s="10" t="s">
        <v>1105</v>
      </c>
      <c r="I441" s="10" t="s">
        <v>306</v>
      </c>
      <c r="J441" s="10" t="s">
        <v>287</v>
      </c>
      <c r="K441" s="10" t="s">
        <v>243</v>
      </c>
      <c r="L441" s="10" t="s">
        <v>271</v>
      </c>
      <c r="M441" s="10">
        <v>4</v>
      </c>
      <c r="N441" s="10">
        <v>1200</v>
      </c>
      <c r="O441" s="10">
        <v>0</v>
      </c>
      <c r="P441" s="10">
        <v>4800</v>
      </c>
      <c r="Q441" s="10">
        <v>1</v>
      </c>
      <c r="R441" s="10" t="s">
        <v>245</v>
      </c>
      <c r="S441" s="10" t="s">
        <v>246</v>
      </c>
      <c r="T441" s="10" t="s">
        <v>326</v>
      </c>
      <c r="U441" s="10">
        <v>9810569252</v>
      </c>
      <c r="V441" s="12" t="s">
        <v>257</v>
      </c>
      <c r="W441" t="str">
        <f>IF(OR(Q441&lt;=2,V441="Cancelled"),"Blacklisted",IF(AND(P441&gt;100000,Q441&gt;=4,O441&lt;=10%,V441="Completed"),"Platinum",IF(AND(P441&gt;=50000,Q441&gt;=3,V441="Completed"),"Gold",IF(AND(P441&lt;50000,V441="Completed"),"Silver",""))))</f>
        <v>Blacklisted</v>
      </c>
      <c r="X441" t="str">
        <f>PROPER(TRIM(F441))</f>
        <v>Anita Gupta</v>
      </c>
      <c r="Y441" t="str">
        <f>LEFT(F441,3)&amp;MID(B441,2,3)&amp;LEFT(I441,2)</f>
        <v>Ani004Ah</v>
      </c>
      <c r="Z441" t="str">
        <f>IF(ISNUMBER(SEARCH("@",T441)),LOWER(TRIM(T441)),"invalid email")</f>
        <v>anita.gupta@company.com</v>
      </c>
      <c r="AA441" t="str">
        <f ca="1">IF(H440="","",IFERROR(DATEDIF(IF(ISNUMBER(H440),H440,DATE(VALUE(RIGHT(H440,4)),VALUE(MID(H440,3,2)),VALUE(LEFT(H440,2)))),TODAY(),"Y"),""))</f>
        <v/>
      </c>
      <c r="AB441" t="str">
        <f>IF(OR(D441="",E441=""),"",IFERROR(DATE(MID(E441,7,4),MID(E441,4,2),LEFT(E441,2))-DATE(MID(D441,7,4),MID(D441,4,2),LEFT(D441,2)),""))</f>
        <v/>
      </c>
      <c r="AC441" t="str">
        <f>IF(E441="","Pending",IF(AB441&lt;=5,"On time","Delayed"))</f>
        <v>Delayed</v>
      </c>
      <c r="AD441" s="29" t="str">
        <f>IF(TRIM(S441)="","Not Assigned",S441)</f>
        <v>Aisha</v>
      </c>
      <c r="AE441" t="str">
        <f>PROPER(TRIM(F441))</f>
        <v>Anita Gupta</v>
      </c>
      <c r="AF441" t="str">
        <f>PROPER(TRIM(K441))</f>
        <v>Electronics</v>
      </c>
      <c r="AG441" t="str">
        <f>PROPER(TRIM(J441))</f>
        <v>West</v>
      </c>
      <c r="AH441" t="str">
        <f t="shared" si="12"/>
        <v>Electronics</v>
      </c>
      <c r="AI441" t="str">
        <f t="shared" si="13"/>
        <v>Electronics</v>
      </c>
      <c r="AK441">
        <f>IF(COUNTIF($A$2:A441,A441)=1,1,0)</f>
        <v>1</v>
      </c>
    </row>
    <row r="442" spans="1:37">
      <c r="A442" s="4" t="s">
        <v>1106</v>
      </c>
      <c r="B442" s="5" t="s">
        <v>235</v>
      </c>
      <c r="C442" s="5" t="s">
        <v>236</v>
      </c>
      <c r="D442" s="6">
        <v>45718</v>
      </c>
      <c r="E442" s="5" t="s">
        <v>7</v>
      </c>
      <c r="F442" s="5" t="s">
        <v>318</v>
      </c>
      <c r="G442" s="5" t="s">
        <v>239</v>
      </c>
      <c r="H442" s="6">
        <v>36411</v>
      </c>
      <c r="I442" s="5" t="s">
        <v>252</v>
      </c>
      <c r="J442" s="5" t="s">
        <v>242</v>
      </c>
      <c r="K442" s="5" t="s">
        <v>243</v>
      </c>
      <c r="L442" s="5" t="s">
        <v>244</v>
      </c>
      <c r="M442" s="5">
        <v>10</v>
      </c>
      <c r="N442" s="5">
        <v>55000</v>
      </c>
      <c r="O442" s="5">
        <v>5</v>
      </c>
      <c r="P442" s="5">
        <v>522500</v>
      </c>
      <c r="Q442" s="5">
        <v>5</v>
      </c>
      <c r="R442" s="5" t="s">
        <v>277</v>
      </c>
      <c r="S442" s="5" t="s">
        <v>292</v>
      </c>
      <c r="T442" s="5" t="s">
        <v>247</v>
      </c>
      <c r="U442" s="5">
        <v>9771745925</v>
      </c>
      <c r="V442" s="8" t="s">
        <v>257</v>
      </c>
      <c r="W442" t="str">
        <f>IF(OR(Q442&lt;=2,V442="Cancelled"),"Blacklisted",IF(AND(P442&gt;100000,Q442&gt;=4,O442&lt;=10%,V442="Completed"),"Platinum",IF(AND(P442&gt;=50000,Q442&gt;=3,V442="Completed"),"Gold",IF(AND(P442&lt;50000,V442="Completed"),"Silver",""))))</f>
        <v>Gold</v>
      </c>
      <c r="X442" t="str">
        <f>PROPER(TRIM(F442))</f>
        <v>Pooja Shah</v>
      </c>
      <c r="Y442" t="str">
        <f>LEFT(F442,3)&amp;MID(B442,2,3)&amp;LEFT(I442,2)</f>
        <v>Poo010Hy</v>
      </c>
      <c r="Z442" t="str">
        <f>IF(ISNUMBER(SEARCH("@",T442)),LOWER(TRIM(T442)),"invalid email")</f>
        <v>pooja.shah@company.com</v>
      </c>
      <c r="AA442" t="str">
        <f ca="1">IF(H441="","",IFERROR(DATEDIF(IF(ISNUMBER(H441),H441,DATE(VALUE(RIGHT(H441,4)),VALUE(MID(H441,3,2)),VALUE(LEFT(H441,2)))),TODAY(),"Y"),""))</f>
        <v/>
      </c>
      <c r="AB442" t="str">
        <f>IF(OR(D442="",E442=""),"",IFERROR(DATE(MID(E442,7,4),MID(E442,4,2),LEFT(E442,2))-DATE(MID(D442,7,4),MID(D442,4,2),LEFT(D442,2)),""))</f>
        <v/>
      </c>
      <c r="AC442" t="str">
        <f>IF(E442="","Pending",IF(AB442&lt;=5,"On time","Delayed"))</f>
        <v>Delayed</v>
      </c>
      <c r="AD442" s="29" t="str">
        <f>IF(TRIM(S442)="","Not Assigned",S442)</f>
        <v>Neha</v>
      </c>
      <c r="AE442" t="str">
        <f>PROPER(TRIM(F442))</f>
        <v>Pooja Shah</v>
      </c>
      <c r="AF442" t="str">
        <f>PROPER(TRIM(K442))</f>
        <v>Electronics</v>
      </c>
      <c r="AG442" t="str">
        <f>PROPER(TRIM(J442))</f>
        <v>South</v>
      </c>
      <c r="AH442" t="str">
        <f t="shared" si="12"/>
        <v>Electronics</v>
      </c>
      <c r="AI442" t="str">
        <f t="shared" si="13"/>
        <v>Electronics</v>
      </c>
      <c r="AK442">
        <f>IF(COUNTIF($A$2:A442,A442)=1,1,0)</f>
        <v>1</v>
      </c>
    </row>
    <row r="443" spans="1:37">
      <c r="A443" s="9" t="s">
        <v>1107</v>
      </c>
      <c r="B443" s="10" t="s">
        <v>346</v>
      </c>
      <c r="C443" s="10" t="s">
        <v>362</v>
      </c>
      <c r="D443" s="10" t="s">
        <v>188</v>
      </c>
      <c r="E443" s="11">
        <v>45815</v>
      </c>
      <c r="F443" s="10" t="s">
        <v>348</v>
      </c>
      <c r="G443" s="10" t="s">
        <v>269</v>
      </c>
      <c r="H443" s="10" t="s">
        <v>1108</v>
      </c>
      <c r="I443" s="10" t="s">
        <v>252</v>
      </c>
      <c r="J443" s="10" t="s">
        <v>242</v>
      </c>
      <c r="K443" s="10" t="s">
        <v>295</v>
      </c>
      <c r="L443" s="10" t="s">
        <v>363</v>
      </c>
      <c r="M443" s="10">
        <v>20</v>
      </c>
      <c r="N443" s="10">
        <v>45</v>
      </c>
      <c r="O443" s="10">
        <v>15</v>
      </c>
      <c r="P443" s="10">
        <v>765</v>
      </c>
      <c r="Q443" s="10">
        <v>2</v>
      </c>
      <c r="R443" s="10" t="s">
        <v>272</v>
      </c>
      <c r="S443" s="10" t="s">
        <v>255</v>
      </c>
      <c r="T443" s="10" t="s">
        <v>350</v>
      </c>
      <c r="U443" s="10">
        <v>9820683063</v>
      </c>
      <c r="V443" s="12" t="s">
        <v>265</v>
      </c>
      <c r="W443" t="str">
        <f>IF(OR(Q443&lt;=2,V443="Cancelled"),"Blacklisted",IF(AND(P443&gt;100000,Q443&gt;=4,O443&lt;=10%,V443="Completed"),"Platinum",IF(AND(P443&gt;=50000,Q443&gt;=3,V443="Completed"),"Gold",IF(AND(P443&lt;50000,V443="Completed"),"Silver",""))))</f>
        <v>Blacklisted</v>
      </c>
      <c r="X443" t="str">
        <f>PROPER(TRIM(F443))</f>
        <v>Vikas Mehta</v>
      </c>
      <c r="Y443" t="str">
        <f>LEFT(F443,3)&amp;MID(B443,2,3)&amp;LEFT(I443,2)</f>
        <v>Vik005Hy</v>
      </c>
      <c r="Z443" t="str">
        <f>IF(ISNUMBER(SEARCH("@",T443)),LOWER(TRIM(T443)),"invalid email")</f>
        <v>vikas.mehta@company.com</v>
      </c>
      <c r="AA443">
        <f ca="1">IF(H442="","",IFERROR(DATEDIF(IF(ISNUMBER(H442),H442,DATE(VALUE(RIGHT(H442,4)),VALUE(MID(H442,3,2)),VALUE(LEFT(H442,2)))),TODAY(),"Y"),""))</f>
        <v>27</v>
      </c>
      <c r="AB443" t="str">
        <f>IF(OR(D443="",E443=""),"",IFERROR(DATE(MID(E443,7,4),MID(E443,4,2),LEFT(E443,2))-DATE(MID(D443,7,4),MID(D443,4,2),LEFT(D443,2)),""))</f>
        <v/>
      </c>
      <c r="AC443" t="str">
        <f>IF(E443="","Pending",IF(AB443&lt;=5,"On time","Delayed"))</f>
        <v>Delayed</v>
      </c>
      <c r="AD443" s="29" t="str">
        <f>IF(TRIM(S443)="","Not Assigned",S443)</f>
        <v>Ritika</v>
      </c>
      <c r="AE443" t="str">
        <f>PROPER(TRIM(F443))</f>
        <v>Vikas Mehta</v>
      </c>
      <c r="AF443" t="str">
        <f>PROPER(TRIM(K443))</f>
        <v>Stationery</v>
      </c>
      <c r="AG443" t="str">
        <f>PROPER(TRIM(J443))</f>
        <v>South</v>
      </c>
      <c r="AH443" t="str">
        <f t="shared" si="12"/>
        <v>Stationery</v>
      </c>
      <c r="AI443" t="str">
        <f t="shared" si="13"/>
        <v>Stationery</v>
      </c>
      <c r="AK443">
        <f>IF(COUNTIF($A$2:A443,A443)=1,1,0)</f>
        <v>1</v>
      </c>
    </row>
    <row r="444" spans="1:37">
      <c r="A444" s="4" t="s">
        <v>1109</v>
      </c>
      <c r="B444" s="5" t="s">
        <v>249</v>
      </c>
      <c r="C444" s="5" t="s">
        <v>347</v>
      </c>
      <c r="D444" s="6">
        <v>46358</v>
      </c>
      <c r="E444" s="5" t="s">
        <v>108</v>
      </c>
      <c r="F444" s="5" t="s">
        <v>251</v>
      </c>
      <c r="G444" s="5" t="s">
        <v>239</v>
      </c>
      <c r="H444" s="5" t="s">
        <v>1110</v>
      </c>
      <c r="I444" s="5" t="s">
        <v>286</v>
      </c>
      <c r="J444" s="5" t="s">
        <v>287</v>
      </c>
      <c r="K444" s="5" t="s">
        <v>295</v>
      </c>
      <c r="L444" s="5" t="s">
        <v>349</v>
      </c>
      <c r="M444" s="5">
        <v>9</v>
      </c>
      <c r="N444" s="5">
        <v>20</v>
      </c>
      <c r="O444" s="5">
        <v>20</v>
      </c>
      <c r="P444" s="5">
        <v>144</v>
      </c>
      <c r="Q444" s="5">
        <v>3</v>
      </c>
      <c r="R444" s="5" t="s">
        <v>272</v>
      </c>
      <c r="S444" s="5" t="s">
        <v>246</v>
      </c>
      <c r="T444" s="5" t="s">
        <v>264</v>
      </c>
      <c r="U444" s="5">
        <v>9292891941</v>
      </c>
      <c r="V444" s="8" t="s">
        <v>257</v>
      </c>
      <c r="W444" t="str">
        <f>IF(OR(Q444&lt;=2,V444="Cancelled"),"Blacklisted",IF(AND(P444&gt;100000,Q444&gt;=4,O444&lt;=10%,V444="Completed"),"Platinum",IF(AND(P444&gt;=50000,Q444&gt;=3,V444="Completed"),"Gold",IF(AND(P444&lt;50000,V444="Completed"),"Silver",""))))</f>
        <v>Silver</v>
      </c>
      <c r="X444" t="str">
        <f>PROPER(TRIM(F444))</f>
        <v>Kavya Nair</v>
      </c>
      <c r="Y444" t="str">
        <f>LEFT(F444,3)&amp;MID(B444,2,3)&amp;LEFT(I444,2)</f>
        <v>Kav008Mu</v>
      </c>
      <c r="Z444" t="str">
        <f>IF(ISNUMBER(SEARCH("@",T444)),LOWER(TRIM(T444)),"invalid email")</f>
        <v>kavya.nair@company.com</v>
      </c>
      <c r="AA444" t="str">
        <f ca="1">IF(H443="","",IFERROR(DATEDIF(IF(ISNUMBER(H443),H443,DATE(VALUE(RIGHT(H443,4)),VALUE(MID(H443,3,2)),VALUE(LEFT(H443,2)))),TODAY(),"Y"),""))</f>
        <v/>
      </c>
      <c r="AB444" t="str">
        <f>IF(OR(D444="",E444=""),"",IFERROR(DATE(MID(E444,7,4),MID(E444,4,2),LEFT(E444,2))-DATE(MID(D444,7,4),MID(D444,4,2),LEFT(D444,2)),""))</f>
        <v/>
      </c>
      <c r="AC444" t="str">
        <f>IF(E444="","Pending",IF(AB444&lt;=5,"On time","Delayed"))</f>
        <v>Delayed</v>
      </c>
      <c r="AD444" s="29" t="str">
        <f>IF(TRIM(S444)="","Not Assigned",S444)</f>
        <v>Aisha</v>
      </c>
      <c r="AE444" t="str">
        <f>PROPER(TRIM(F444))</f>
        <v>Kavya Nair</v>
      </c>
      <c r="AF444" t="str">
        <f>PROPER(TRIM(K444))</f>
        <v>Stationery</v>
      </c>
      <c r="AG444" t="str">
        <f>PROPER(TRIM(J444))</f>
        <v>West</v>
      </c>
      <c r="AH444" t="str">
        <f t="shared" si="12"/>
        <v>Stationery</v>
      </c>
      <c r="AI444" t="str">
        <f t="shared" si="13"/>
        <v>Stationery</v>
      </c>
      <c r="AK444">
        <f>IF(COUNTIF($A$2:A444,A444)=1,1,0)</f>
        <v>1</v>
      </c>
    </row>
    <row r="445" spans="1:37">
      <c r="A445" s="9" t="s">
        <v>1111</v>
      </c>
      <c r="B445" s="10" t="s">
        <v>249</v>
      </c>
      <c r="C445" s="10" t="s">
        <v>236</v>
      </c>
      <c r="D445" s="11">
        <v>45719</v>
      </c>
      <c r="E445" s="10" t="s">
        <v>25</v>
      </c>
      <c r="F445" s="10" t="s">
        <v>251</v>
      </c>
      <c r="G445" s="10" t="s">
        <v>239</v>
      </c>
      <c r="H445" s="11">
        <v>29531</v>
      </c>
      <c r="I445" s="10" t="s">
        <v>291</v>
      </c>
      <c r="J445" s="10" t="s">
        <v>287</v>
      </c>
      <c r="K445" s="10" t="s">
        <v>243</v>
      </c>
      <c r="L445" s="10" t="s">
        <v>244</v>
      </c>
      <c r="M445" s="10">
        <v>8</v>
      </c>
      <c r="N445" s="10">
        <v>55000</v>
      </c>
      <c r="O445" s="10">
        <v>0</v>
      </c>
      <c r="P445" s="10">
        <v>440000</v>
      </c>
      <c r="Q445" s="10">
        <v>4</v>
      </c>
      <c r="R445" s="10" t="s">
        <v>254</v>
      </c>
      <c r="S445" s="10" t="s">
        <v>292</v>
      </c>
      <c r="T445" s="10" t="s">
        <v>264</v>
      </c>
      <c r="U445" s="10">
        <v>9413789556</v>
      </c>
      <c r="V445" s="12" t="s">
        <v>257</v>
      </c>
      <c r="W445" t="str">
        <f>IF(OR(Q445&lt;=2,V445="Cancelled"),"Blacklisted",IF(AND(P445&gt;100000,Q445&gt;=4,O445&lt;=10%,V445="Completed"),"Platinum",IF(AND(P445&gt;=50000,Q445&gt;=3,V445="Completed"),"Gold",IF(AND(P445&lt;50000,V445="Completed"),"Silver",""))))</f>
        <v>Platinum</v>
      </c>
      <c r="X445" t="str">
        <f>PROPER(TRIM(F445))</f>
        <v>Kavya Nair</v>
      </c>
      <c r="Y445" t="str">
        <f>LEFT(F445,3)&amp;MID(B445,2,3)&amp;LEFT(I445,2)</f>
        <v>Kav008Pu</v>
      </c>
      <c r="Z445" t="str">
        <f>IF(ISNUMBER(SEARCH("@",T445)),LOWER(TRIM(T445)),"invalid email")</f>
        <v>kavya.nair@company.com</v>
      </c>
      <c r="AA445" t="str">
        <f ca="1">IF(H444="","",IFERROR(DATEDIF(IF(ISNUMBER(H444),H444,DATE(VALUE(RIGHT(H444,4)),VALUE(MID(H444,3,2)),VALUE(LEFT(H444,2)))),TODAY(),"Y"),""))</f>
        <v/>
      </c>
      <c r="AB445" t="str">
        <f>IF(OR(D445="",E445=""),"",IFERROR(DATE(MID(E445,7,4),MID(E445,4,2),LEFT(E445,2))-DATE(MID(D445,7,4),MID(D445,4,2),LEFT(D445,2)),""))</f>
        <v/>
      </c>
      <c r="AC445" t="str">
        <f>IF(E445="","Pending",IF(AB445&lt;=5,"On time","Delayed"))</f>
        <v>Delayed</v>
      </c>
      <c r="AD445" s="29" t="str">
        <f>IF(TRIM(S445)="","Not Assigned",S445)</f>
        <v>Neha</v>
      </c>
      <c r="AE445" t="str">
        <f>PROPER(TRIM(F445))</f>
        <v>Kavya Nair</v>
      </c>
      <c r="AF445" t="str">
        <f>PROPER(TRIM(K445))</f>
        <v>Electronics</v>
      </c>
      <c r="AG445" t="str">
        <f>PROPER(TRIM(J445))</f>
        <v>West</v>
      </c>
      <c r="AH445" t="str">
        <f t="shared" si="12"/>
        <v>Electronics</v>
      </c>
      <c r="AI445" t="str">
        <f t="shared" si="13"/>
        <v>Electronics</v>
      </c>
      <c r="AK445">
        <f>IF(COUNTIF($A$2:A445,A445)=1,1,0)</f>
        <v>1</v>
      </c>
    </row>
    <row r="446" spans="1:37">
      <c r="A446" s="4" t="s">
        <v>1112</v>
      </c>
      <c r="B446" s="5" t="s">
        <v>392</v>
      </c>
      <c r="C446" s="5" t="s">
        <v>267</v>
      </c>
      <c r="D446" s="5" t="s">
        <v>132</v>
      </c>
      <c r="E446" s="5" t="s">
        <v>874</v>
      </c>
      <c r="F446" s="5" t="s">
        <v>323</v>
      </c>
      <c r="G446" s="5" t="s">
        <v>269</v>
      </c>
      <c r="H446" s="6">
        <v>36805</v>
      </c>
      <c r="I446" s="5" t="s">
        <v>306</v>
      </c>
      <c r="J446" s="5" t="s">
        <v>287</v>
      </c>
      <c r="K446" s="5" t="s">
        <v>243</v>
      </c>
      <c r="L446" s="5" t="s">
        <v>271</v>
      </c>
      <c r="M446" s="5">
        <v>4</v>
      </c>
      <c r="N446" s="5">
        <v>1200</v>
      </c>
      <c r="O446" s="5">
        <v>10</v>
      </c>
      <c r="P446" s="5">
        <v>4320</v>
      </c>
      <c r="Q446" s="5">
        <v>4</v>
      </c>
      <c r="R446" s="5" t="s">
        <v>277</v>
      </c>
      <c r="S446" s="5" t="s">
        <v>255</v>
      </c>
      <c r="T446" s="7" t="s">
        <v>1113</v>
      </c>
      <c r="U446" s="5">
        <v>98765</v>
      </c>
      <c r="V446" s="8" t="s">
        <v>265</v>
      </c>
      <c r="W446" t="str">
        <f>IF(OR(Q446&lt;=2,V446="Cancelled"),"Blacklisted",IF(AND(P446&gt;100000,Q446&gt;=4,O446&lt;=10%,V446="Completed"),"Platinum",IF(AND(P446&gt;=50000,Q446&gt;=3,V446="Completed"),"Gold",IF(AND(P446&lt;50000,V446="Completed"),"Silver",""))))</f>
        <v>Blacklisted</v>
      </c>
      <c r="X446" t="str">
        <f>PROPER(TRIM(F446))</f>
        <v>Amit Sharma</v>
      </c>
      <c r="Y446" t="str">
        <f>LEFT(F446,3)&amp;MID(B446,2,3)&amp;LEFT(I446,2)</f>
        <v>Ami001Ah</v>
      </c>
      <c r="Z446" t="str">
        <f>IF(ISNUMBER(SEARCH("@",T446)),LOWER(TRIM(T446)),"invalid email")</f>
        <v>amit.sharma@company.com</v>
      </c>
      <c r="AA446">
        <f ca="1">IF(H445="","",IFERROR(DATEDIF(IF(ISNUMBER(H445),H445,DATE(VALUE(RIGHT(H445,4)),VALUE(MID(H445,3,2)),VALUE(LEFT(H445,2)))),TODAY(),"Y"),""))</f>
        <v>45</v>
      </c>
      <c r="AB446">
        <f>IF(OR(D446="",E446=""),"",IFERROR(DATE(MID(E446,7,4),MID(E446,4,2),LEFT(E446,2))-DATE(MID(D446,7,4),MID(D446,4,2),LEFT(D446,2)),""))</f>
        <v>4</v>
      </c>
      <c r="AC446" t="str">
        <f>IF(E446="","Pending",IF(AB446&lt;=5,"On time","Delayed"))</f>
        <v>On time</v>
      </c>
      <c r="AD446" s="29" t="str">
        <f>IF(TRIM(S446)="","Not Assigned",S446)</f>
        <v>Ritika</v>
      </c>
      <c r="AE446" t="str">
        <f>PROPER(TRIM(F446))</f>
        <v>Amit Sharma</v>
      </c>
      <c r="AF446" t="str">
        <f>PROPER(TRIM(K446))</f>
        <v>Electronics</v>
      </c>
      <c r="AG446" t="str">
        <f>PROPER(TRIM(J446))</f>
        <v>West</v>
      </c>
      <c r="AH446" t="str">
        <f t="shared" si="12"/>
        <v>Electronics</v>
      </c>
      <c r="AI446" t="str">
        <f t="shared" si="13"/>
        <v>Electronics</v>
      </c>
      <c r="AK446">
        <f>IF(COUNTIF($A$2:A446,A446)=1,1,0)</f>
        <v>1</v>
      </c>
    </row>
    <row r="447" spans="1:37">
      <c r="A447" s="9" t="s">
        <v>1114</v>
      </c>
      <c r="B447" s="10" t="s">
        <v>392</v>
      </c>
      <c r="C447" s="10" t="s">
        <v>322</v>
      </c>
      <c r="D447" s="11">
        <v>46086</v>
      </c>
      <c r="E447" s="10" t="s">
        <v>16</v>
      </c>
      <c r="F447" s="10" t="s">
        <v>323</v>
      </c>
      <c r="G447" s="10" t="s">
        <v>269</v>
      </c>
      <c r="H447" s="10" t="s">
        <v>1115</v>
      </c>
      <c r="I447" s="10" t="s">
        <v>379</v>
      </c>
      <c r="J447" s="10" t="s">
        <v>21</v>
      </c>
      <c r="K447" s="10" t="s">
        <v>15</v>
      </c>
      <c r="L447" s="10" t="s">
        <v>325</v>
      </c>
      <c r="M447" s="10">
        <v>14</v>
      </c>
      <c r="N447" s="10">
        <v>8500</v>
      </c>
      <c r="O447" s="10">
        <v>10</v>
      </c>
      <c r="P447" s="10">
        <v>107100</v>
      </c>
      <c r="Q447" s="10">
        <v>4</v>
      </c>
      <c r="R447" s="10" t="s">
        <v>254</v>
      </c>
      <c r="S447" s="10" t="s">
        <v>255</v>
      </c>
      <c r="T447" s="10" t="s">
        <v>395</v>
      </c>
      <c r="U447" s="10">
        <v>9211936331</v>
      </c>
      <c r="V447" s="12" t="s">
        <v>257</v>
      </c>
      <c r="W447" t="str">
        <f>IF(OR(Q447&lt;=2,V447="Cancelled"),"Blacklisted",IF(AND(P447&gt;100000,Q447&gt;=4,O447&lt;=10%,V447="Completed"),"Platinum",IF(AND(P447&gt;=50000,Q447&gt;=3,V447="Completed"),"Gold",IF(AND(P447&lt;50000,V447="Completed"),"Silver",""))))</f>
        <v>Gold</v>
      </c>
      <c r="X447" t="str">
        <f>PROPER(TRIM(F447))</f>
        <v>Amit Sharma</v>
      </c>
      <c r="Y447" t="str">
        <f>LEFT(F447,3)&amp;MID(B447,2,3)&amp;LEFT(I447,2)</f>
        <v>Ami001Ko</v>
      </c>
      <c r="Z447" t="str">
        <f>IF(ISNUMBER(SEARCH("@",T447)),LOWER(TRIM(T447)),"invalid email")</f>
        <v>amit.sharma@company.com</v>
      </c>
      <c r="AA447">
        <f ca="1">IF(H446="","",IFERROR(DATEDIF(IF(ISNUMBER(H446),H446,DATE(VALUE(RIGHT(H446,4)),VALUE(MID(H446,3,2)),VALUE(LEFT(H446,2)))),TODAY(),"Y"),""))</f>
        <v>26</v>
      </c>
      <c r="AB447" t="str">
        <f>IF(OR(D447="",E447=""),"",IFERROR(DATE(MID(E447,7,4),MID(E447,4,2),LEFT(E447,2))-DATE(MID(D447,7,4),MID(D447,4,2),LEFT(D447,2)),""))</f>
        <v/>
      </c>
      <c r="AC447" t="str">
        <f>IF(E447="","Pending",IF(AB447&lt;=5,"On time","Delayed"))</f>
        <v>Delayed</v>
      </c>
      <c r="AD447" s="29" t="str">
        <f>IF(TRIM(S447)="","Not Assigned",S447)</f>
        <v>Ritika</v>
      </c>
      <c r="AE447" t="str">
        <f>PROPER(TRIM(F447))</f>
        <v>Amit Sharma</v>
      </c>
      <c r="AF447" t="str">
        <f>PROPER(TRIM(K447))</f>
        <v>Home Appliances</v>
      </c>
      <c r="AG447" t="str">
        <f>PROPER(TRIM(J447))</f>
        <v>East</v>
      </c>
      <c r="AH447" t="str">
        <f t="shared" si="12"/>
        <v>Home Appliances</v>
      </c>
      <c r="AI447" t="str">
        <f t="shared" si="13"/>
        <v>Home Appliances</v>
      </c>
      <c r="AK447">
        <f>IF(COUNTIF($A$2:A447,A447)=1,1,0)</f>
        <v>1</v>
      </c>
    </row>
    <row r="448" spans="1:37">
      <c r="A448" s="4" t="s">
        <v>1116</v>
      </c>
      <c r="B448" s="5" t="s">
        <v>266</v>
      </c>
      <c r="C448" s="5" t="s">
        <v>362</v>
      </c>
      <c r="D448" s="5" t="s">
        <v>197</v>
      </c>
      <c r="E448" s="6">
        <v>45844</v>
      </c>
      <c r="F448" s="5" t="s">
        <v>268</v>
      </c>
      <c r="G448" s="5" t="s">
        <v>269</v>
      </c>
      <c r="H448" s="6">
        <v>30960</v>
      </c>
      <c r="I448" s="5" t="s">
        <v>252</v>
      </c>
      <c r="J448" s="5" t="s">
        <v>242</v>
      </c>
      <c r="K448" s="5" t="s">
        <v>295</v>
      </c>
      <c r="L448" s="5" t="s">
        <v>363</v>
      </c>
      <c r="M448" s="5">
        <v>1</v>
      </c>
      <c r="N448" s="5">
        <v>45</v>
      </c>
      <c r="O448" s="5">
        <v>0</v>
      </c>
      <c r="P448" s="5">
        <v>45</v>
      </c>
      <c r="Q448" s="5">
        <v>3</v>
      </c>
      <c r="R448" s="5" t="s">
        <v>277</v>
      </c>
      <c r="S448" s="5" t="s">
        <v>312</v>
      </c>
      <c r="T448" s="5" t="s">
        <v>273</v>
      </c>
      <c r="U448" s="5">
        <v>9167291747</v>
      </c>
      <c r="V448" s="8" t="s">
        <v>265</v>
      </c>
      <c r="W448" t="str">
        <f>IF(OR(Q448&lt;=2,V448="Cancelled"),"Blacklisted",IF(AND(P448&gt;100000,Q448&gt;=4,O448&lt;=10%,V448="Completed"),"Platinum",IF(AND(P448&gt;=50000,Q448&gt;=3,V448="Completed"),"Gold",IF(AND(P448&lt;50000,V448="Completed"),"Silver",""))))</f>
        <v>Blacklisted</v>
      </c>
      <c r="X448" t="str">
        <f>PROPER(TRIM(F448))</f>
        <v>Mohit Verma</v>
      </c>
      <c r="Y448" t="str">
        <f>LEFT(F448,3)&amp;MID(B448,2,3)&amp;LEFT(I448,2)</f>
        <v>Moh009Hy</v>
      </c>
      <c r="Z448" t="str">
        <f>IF(ISNUMBER(SEARCH("@",T448)),LOWER(TRIM(T448)),"invalid email")</f>
        <v>mohit.verma@company.com</v>
      </c>
      <c r="AA448" t="str">
        <f ca="1">IF(H447="","",IFERROR(DATEDIF(IF(ISNUMBER(H447),H447,DATE(VALUE(RIGHT(H447,4)),VALUE(MID(H447,3,2)),VALUE(LEFT(H447,2)))),TODAY(),"Y"),""))</f>
        <v/>
      </c>
      <c r="AB448" t="str">
        <f>IF(OR(D448="",E448=""),"",IFERROR(DATE(MID(E448,7,4),MID(E448,4,2),LEFT(E448,2))-DATE(MID(D448,7,4),MID(D448,4,2),LEFT(D448,2)),""))</f>
        <v/>
      </c>
      <c r="AC448" t="str">
        <f>IF(E448="","Pending",IF(AB448&lt;=5,"On time","Delayed"))</f>
        <v>Delayed</v>
      </c>
      <c r="AD448" s="29" t="str">
        <f>IF(TRIM(S448)="","Not Assigned",S448)</f>
        <v>Karan</v>
      </c>
      <c r="AE448" t="str">
        <f>PROPER(TRIM(F448))</f>
        <v>Mohit Verma</v>
      </c>
      <c r="AF448" t="str">
        <f>PROPER(TRIM(K448))</f>
        <v>Stationery</v>
      </c>
      <c r="AG448" t="str">
        <f>PROPER(TRIM(J448))</f>
        <v>South</v>
      </c>
      <c r="AH448" t="str">
        <f t="shared" si="12"/>
        <v>Stationery</v>
      </c>
      <c r="AI448" t="str">
        <f t="shared" si="13"/>
        <v>Stationery</v>
      </c>
      <c r="AK448">
        <f>IF(COUNTIF($A$2:A448,A448)=1,1,0)</f>
        <v>1</v>
      </c>
    </row>
    <row r="449" spans="1:37">
      <c r="A449" s="9" t="s">
        <v>1117</v>
      </c>
      <c r="B449" s="10" t="s">
        <v>266</v>
      </c>
      <c r="C449" s="10" t="s">
        <v>236</v>
      </c>
      <c r="D449" s="10" t="s">
        <v>55</v>
      </c>
      <c r="E449" s="10" t="s">
        <v>175</v>
      </c>
      <c r="F449" s="10" t="s">
        <v>268</v>
      </c>
      <c r="G449" s="10" t="s">
        <v>269</v>
      </c>
      <c r="H449" s="11">
        <v>31603</v>
      </c>
      <c r="I449" s="10" t="s">
        <v>260</v>
      </c>
      <c r="J449" s="10" t="s">
        <v>261</v>
      </c>
      <c r="K449" s="10" t="s">
        <v>243</v>
      </c>
      <c r="L449" s="10" t="s">
        <v>244</v>
      </c>
      <c r="M449" s="10">
        <v>16</v>
      </c>
      <c r="N449" s="10">
        <v>55000</v>
      </c>
      <c r="O449" s="10">
        <v>15</v>
      </c>
      <c r="P449" s="10">
        <v>748000</v>
      </c>
      <c r="Q449" s="10">
        <v>1</v>
      </c>
      <c r="R449" s="10" t="s">
        <v>272</v>
      </c>
      <c r="S449" s="10" t="s">
        <v>312</v>
      </c>
      <c r="T449" s="10" t="s">
        <v>273</v>
      </c>
      <c r="U449" s="10">
        <v>9637283597</v>
      </c>
      <c r="V449" s="12" t="s">
        <v>265</v>
      </c>
      <c r="W449" t="str">
        <f>IF(OR(Q449&lt;=2,V449="Cancelled"),"Blacklisted",IF(AND(P449&gt;100000,Q449&gt;=4,O449&lt;=10%,V449="Completed"),"Platinum",IF(AND(P449&gt;=50000,Q449&gt;=3,V449="Completed"),"Gold",IF(AND(P449&lt;50000,V449="Completed"),"Silver",""))))</f>
        <v>Blacklisted</v>
      </c>
      <c r="X449" t="str">
        <f>PROPER(TRIM(F449))</f>
        <v>Mohit Verma</v>
      </c>
      <c r="Y449" t="str">
        <f>LEFT(F449,3)&amp;MID(B449,2,3)&amp;LEFT(I449,2)</f>
        <v>Moh009De</v>
      </c>
      <c r="Z449" t="str">
        <f>IF(ISNUMBER(SEARCH("@",T449)),LOWER(TRIM(T449)),"invalid email")</f>
        <v>mohit.verma@company.com</v>
      </c>
      <c r="AA449">
        <f ca="1">IF(H448="","",IFERROR(DATEDIF(IF(ISNUMBER(H448),H448,DATE(VALUE(RIGHT(H448,4)),VALUE(MID(H448,3,2)),VALUE(LEFT(H448,2)))),TODAY(),"Y"),""))</f>
        <v>42</v>
      </c>
      <c r="AB449">
        <f>IF(OR(D449="",E449=""),"",IFERROR(DATE(MID(E449,7,4),MID(E449,4,2),LEFT(E449,2))-DATE(MID(D449,7,4),MID(D449,4,2),LEFT(D449,2)),""))</f>
        <v>11</v>
      </c>
      <c r="AC449" t="str">
        <f>IF(E449="","Pending",IF(AB449&lt;=5,"On time","Delayed"))</f>
        <v>Delayed</v>
      </c>
      <c r="AD449" s="29" t="str">
        <f>IF(TRIM(S449)="","Not Assigned",S449)</f>
        <v>Karan</v>
      </c>
      <c r="AE449" t="str">
        <f>PROPER(TRIM(F449))</f>
        <v>Mohit Verma</v>
      </c>
      <c r="AF449" t="str">
        <f>PROPER(TRIM(K449))</f>
        <v>Electronics</v>
      </c>
      <c r="AG449" t="str">
        <f>PROPER(TRIM(J449))</f>
        <v>North</v>
      </c>
      <c r="AH449" t="str">
        <f t="shared" si="12"/>
        <v>Electronics</v>
      </c>
      <c r="AI449" t="str">
        <f t="shared" si="13"/>
        <v>Electronics</v>
      </c>
      <c r="AK449">
        <f>IF(COUNTIF($A$2:A449,A449)=1,1,0)</f>
        <v>1</v>
      </c>
    </row>
    <row r="450" spans="1:37">
      <c r="A450" s="4" t="s">
        <v>1118</v>
      </c>
      <c r="B450" s="5" t="s">
        <v>235</v>
      </c>
      <c r="C450" s="5" t="s">
        <v>330</v>
      </c>
      <c r="D450" s="5" t="s">
        <v>109</v>
      </c>
      <c r="E450" s="5" t="s">
        <v>185</v>
      </c>
      <c r="F450" s="5" t="s">
        <v>318</v>
      </c>
      <c r="G450" s="5" t="s">
        <v>239</v>
      </c>
      <c r="H450" s="6">
        <v>37632</v>
      </c>
      <c r="I450" s="5" t="s">
        <v>306</v>
      </c>
      <c r="J450" s="5" t="s">
        <v>287</v>
      </c>
      <c r="K450" s="5" t="s">
        <v>243</v>
      </c>
      <c r="L450" s="5" t="s">
        <v>333</v>
      </c>
      <c r="M450" s="5">
        <v>8</v>
      </c>
      <c r="N450" s="5">
        <v>700</v>
      </c>
      <c r="O450" s="5">
        <v>0</v>
      </c>
      <c r="P450" s="5">
        <v>5600</v>
      </c>
      <c r="Q450" s="5">
        <v>3</v>
      </c>
      <c r="R450" s="5" t="s">
        <v>254</v>
      </c>
      <c r="S450" s="5" t="s">
        <v>263</v>
      </c>
      <c r="T450" s="5" t="s">
        <v>247</v>
      </c>
      <c r="U450" s="5">
        <v>9514269002</v>
      </c>
      <c r="V450" s="8" t="s">
        <v>257</v>
      </c>
      <c r="W450" t="str">
        <f>IF(OR(Q450&lt;=2,V450="Cancelled"),"Blacklisted",IF(AND(P450&gt;100000,Q450&gt;=4,O450&lt;=10%,V450="Completed"),"Platinum",IF(AND(P450&gt;=50000,Q450&gt;=3,V450="Completed"),"Gold",IF(AND(P450&lt;50000,V450="Completed"),"Silver",""))))</f>
        <v>Silver</v>
      </c>
      <c r="X450" t="str">
        <f>PROPER(TRIM(F450))</f>
        <v>Pooja Shah</v>
      </c>
      <c r="Y450" t="str">
        <f>LEFT(F450,3)&amp;MID(B450,2,3)&amp;LEFT(I450,2)</f>
        <v>Poo010Ah</v>
      </c>
      <c r="Z450" t="str">
        <f>IF(ISNUMBER(SEARCH("@",T450)),LOWER(TRIM(T450)),"invalid email")</f>
        <v>pooja.shah@company.com</v>
      </c>
      <c r="AA450">
        <f ca="1">IF(H449="","",IFERROR(DATEDIF(IF(ISNUMBER(H449),H449,DATE(VALUE(RIGHT(H449,4)),VALUE(MID(H449,3,2)),VALUE(LEFT(H449,2)))),TODAY(),"Y"),""))</f>
        <v>40</v>
      </c>
      <c r="AB450">
        <f>IF(OR(D450="",E450=""),"",IFERROR(DATE(MID(E450,7,4),MID(E450,4,2),LEFT(E450,2))-DATE(MID(D450,7,4),MID(D450,4,2),LEFT(D450,2)),""))</f>
        <v>7</v>
      </c>
      <c r="AC450" t="str">
        <f>IF(E450="","Pending",IF(AB450&lt;=5,"On time","Delayed"))</f>
        <v>Delayed</v>
      </c>
      <c r="AD450" s="29" t="str">
        <f>IF(TRIM(S450)="","Not Assigned",S450)</f>
        <v>Rahul</v>
      </c>
      <c r="AE450" t="str">
        <f>PROPER(TRIM(F450))</f>
        <v>Pooja Shah</v>
      </c>
      <c r="AF450" t="str">
        <f>PROPER(TRIM(K450))</f>
        <v>Electronics</v>
      </c>
      <c r="AG450" t="str">
        <f>PROPER(TRIM(J450))</f>
        <v>West</v>
      </c>
      <c r="AH450" t="str">
        <f t="shared" si="12"/>
        <v>Electronics</v>
      </c>
      <c r="AI450" t="str">
        <f t="shared" si="13"/>
        <v>Electronics</v>
      </c>
      <c r="AK450">
        <f>IF(COUNTIF($A$2:A450,A450)=1,1,0)</f>
        <v>1</v>
      </c>
    </row>
    <row r="451" spans="1:37">
      <c r="A451" s="9" t="s">
        <v>1119</v>
      </c>
      <c r="B451" s="10" t="s">
        <v>358</v>
      </c>
      <c r="C451" s="10" t="s">
        <v>267</v>
      </c>
      <c r="D451" s="11">
        <v>46057</v>
      </c>
      <c r="E451" s="10" t="s">
        <v>1120</v>
      </c>
      <c r="F451" s="10" t="s">
        <v>359</v>
      </c>
      <c r="G451" s="10" t="s">
        <v>239</v>
      </c>
      <c r="H451" s="11">
        <v>37900</v>
      </c>
      <c r="I451" s="10" t="s">
        <v>306</v>
      </c>
      <c r="J451" s="10" t="s">
        <v>287</v>
      </c>
      <c r="K451" s="10" t="s">
        <v>243</v>
      </c>
      <c r="L451" s="10" t="s">
        <v>271</v>
      </c>
      <c r="M451" s="10">
        <v>3</v>
      </c>
      <c r="N451" s="10">
        <v>1200</v>
      </c>
      <c r="O451" s="10">
        <v>0</v>
      </c>
      <c r="P451" s="10">
        <v>3600</v>
      </c>
      <c r="Q451" s="10">
        <v>1</v>
      </c>
      <c r="R451" s="10" t="s">
        <v>272</v>
      </c>
      <c r="S451" s="10" t="s">
        <v>263</v>
      </c>
      <c r="T451" s="10" t="s">
        <v>360</v>
      </c>
      <c r="U451" s="10">
        <v>9778908233</v>
      </c>
      <c r="V451" s="12" t="s">
        <v>265</v>
      </c>
      <c r="W451" t="str">
        <f>IF(OR(Q451&lt;=2,V451="Cancelled"),"Blacklisted",IF(AND(P451&gt;100000,Q451&gt;=4,O451&lt;=10%,V451="Completed"),"Platinum",IF(AND(P451&gt;=50000,Q451&gt;=3,V451="Completed"),"Gold",IF(AND(P451&lt;50000,V451="Completed"),"Silver",""))))</f>
        <v>Blacklisted</v>
      </c>
      <c r="X451" t="str">
        <f>PROPER(TRIM(F451))</f>
        <v>Sneha Joshi</v>
      </c>
      <c r="Y451" t="str">
        <f>LEFT(F451,3)&amp;MID(B451,2,3)&amp;LEFT(I451,2)</f>
        <v>Sne006Ah</v>
      </c>
      <c r="Z451" t="str">
        <f>IF(ISNUMBER(SEARCH("@",T451)),LOWER(TRIM(T451)),"invalid email")</f>
        <v>sneha.joshi@company.com</v>
      </c>
      <c r="AA451">
        <f ca="1">IF(H450="","",IFERROR(DATEDIF(IF(ISNUMBER(H450),H450,DATE(VALUE(RIGHT(H450,4)),VALUE(MID(H450,3,2)),VALUE(LEFT(H450,2)))),TODAY(),"Y"),""))</f>
        <v>23</v>
      </c>
      <c r="AB451" t="str">
        <f>IF(OR(D451="",E451=""),"",IFERROR(DATE(MID(E451,7,4),MID(E451,4,2),LEFT(E451,2))-DATE(MID(D451,7,4),MID(D451,4,2),LEFT(D451,2)),""))</f>
        <v/>
      </c>
      <c r="AC451" t="str">
        <f>IF(E451="","Pending",IF(AB451&lt;=5,"On time","Delayed"))</f>
        <v>Delayed</v>
      </c>
      <c r="AD451" s="29" t="str">
        <f>IF(TRIM(S451)="","Not Assigned",S451)</f>
        <v>Rahul</v>
      </c>
      <c r="AE451" t="str">
        <f>PROPER(TRIM(F451))</f>
        <v>Sneha Joshi</v>
      </c>
      <c r="AF451" t="str">
        <f>PROPER(TRIM(K451))</f>
        <v>Electronics</v>
      </c>
      <c r="AG451" t="str">
        <f>PROPER(TRIM(J451))</f>
        <v>West</v>
      </c>
      <c r="AH451" t="str">
        <f t="shared" ref="AH451:AH497" si="14">PROPER(TRIM(K451))</f>
        <v>Electronics</v>
      </c>
      <c r="AI451" t="str">
        <f t="shared" ref="AI451:AI497" si="15">IF(OR(LOWER(TRIM(K451))="electronic",LOWER(TRIM(K451))="electronics"),"Electronics",PROPER(TRIM(K451)))</f>
        <v>Electronics</v>
      </c>
      <c r="AK451">
        <f>IF(COUNTIF($A$2:A451,A451)=1,1,0)</f>
        <v>1</v>
      </c>
    </row>
    <row r="452" spans="1:37">
      <c r="A452" s="4" t="s">
        <v>1121</v>
      </c>
      <c r="B452" s="5" t="s">
        <v>266</v>
      </c>
      <c r="C452" s="5" t="s">
        <v>280</v>
      </c>
      <c r="D452" s="5" t="s">
        <v>64</v>
      </c>
      <c r="E452" s="5" t="s">
        <v>150</v>
      </c>
      <c r="F452" s="5" t="s">
        <v>268</v>
      </c>
      <c r="G452" s="5" t="s">
        <v>269</v>
      </c>
      <c r="H452" s="5" t="s">
        <v>1122</v>
      </c>
      <c r="I452" s="5" t="s">
        <v>379</v>
      </c>
      <c r="J452" s="5" t="s">
        <v>21</v>
      </c>
      <c r="K452" s="5" t="s">
        <v>15</v>
      </c>
      <c r="L452" s="5" t="s">
        <v>282</v>
      </c>
      <c r="M452" s="5">
        <v>7</v>
      </c>
      <c r="N452" s="5">
        <v>3500</v>
      </c>
      <c r="O452" s="5">
        <v>15</v>
      </c>
      <c r="P452" s="5">
        <v>20825</v>
      </c>
      <c r="Q452" s="5">
        <v>4</v>
      </c>
      <c r="R452" s="5" t="s">
        <v>272</v>
      </c>
      <c r="S452" s="5" t="s">
        <v>246</v>
      </c>
      <c r="T452" s="5" t="s">
        <v>273</v>
      </c>
      <c r="U452" s="5">
        <v>9981118755</v>
      </c>
      <c r="V452" s="8" t="s">
        <v>248</v>
      </c>
      <c r="W452" t="str">
        <f>IF(OR(Q452&lt;=2,V452="Cancelled"),"Blacklisted",IF(AND(P452&gt;100000,Q452&gt;=4,O452&lt;=10%,V452="Completed"),"Platinum",IF(AND(P452&gt;=50000,Q452&gt;=3,V452="Completed"),"Gold",IF(AND(P452&lt;50000,V452="Completed"),"Silver",""))))</f>
        <v/>
      </c>
      <c r="X452" t="str">
        <f>PROPER(TRIM(F452))</f>
        <v>Mohit Verma</v>
      </c>
      <c r="Y452" t="str">
        <f>LEFT(F452,3)&amp;MID(B452,2,3)&amp;LEFT(I452,2)</f>
        <v>Moh009Ko</v>
      </c>
      <c r="Z452" t="str">
        <f>IF(ISNUMBER(SEARCH("@",T452)),LOWER(TRIM(T452)),"invalid email")</f>
        <v>mohit.verma@company.com</v>
      </c>
      <c r="AA452">
        <f ca="1">IF(H451="","",IFERROR(DATEDIF(IF(ISNUMBER(H451),H451,DATE(VALUE(RIGHT(H451,4)),VALUE(MID(H451,3,2)),VALUE(LEFT(H451,2)))),TODAY(),"Y"),""))</f>
        <v>23</v>
      </c>
      <c r="AB452">
        <f>IF(OR(D452="",E452=""),"",IFERROR(DATE(MID(E452,7,4),MID(E452,4,2),LEFT(E452,2))-DATE(MID(D452,7,4),MID(D452,4,2),LEFT(D452,2)),""))</f>
        <v>8</v>
      </c>
      <c r="AC452" t="str">
        <f>IF(E452="","Pending",IF(AB452&lt;=5,"On time","Delayed"))</f>
        <v>Delayed</v>
      </c>
      <c r="AD452" s="29" t="str">
        <f>IF(TRIM(S452)="","Not Assigned",S452)</f>
        <v>Aisha</v>
      </c>
      <c r="AE452" t="str">
        <f>PROPER(TRIM(F452))</f>
        <v>Mohit Verma</v>
      </c>
      <c r="AF452" t="str">
        <f>PROPER(TRIM(K452))</f>
        <v>Home Appliances</v>
      </c>
      <c r="AG452" t="str">
        <f>PROPER(TRIM(J452))</f>
        <v>East</v>
      </c>
      <c r="AH452" t="str">
        <f t="shared" si="14"/>
        <v>Home Appliances</v>
      </c>
      <c r="AI452" t="str">
        <f t="shared" si="15"/>
        <v>Home Appliances</v>
      </c>
      <c r="AK452">
        <f>IF(COUNTIF($A$2:A452,A452)=1,1,0)</f>
        <v>1</v>
      </c>
    </row>
    <row r="453" spans="1:37">
      <c r="A453" s="9" t="s">
        <v>1123</v>
      </c>
      <c r="B453" s="10" t="s">
        <v>235</v>
      </c>
      <c r="C453" s="10" t="s">
        <v>236</v>
      </c>
      <c r="D453" s="10" t="s">
        <v>185</v>
      </c>
      <c r="E453" s="11">
        <v>46116</v>
      </c>
      <c r="F453" s="10" t="s">
        <v>318</v>
      </c>
      <c r="G453" s="10" t="s">
        <v>239</v>
      </c>
      <c r="H453" s="10" t="s">
        <v>1124</v>
      </c>
      <c r="I453" s="10" t="s">
        <v>291</v>
      </c>
      <c r="J453" s="10" t="s">
        <v>287</v>
      </c>
      <c r="K453" s="10" t="s">
        <v>243</v>
      </c>
      <c r="L453" s="10" t="s">
        <v>244</v>
      </c>
      <c r="M453" s="10">
        <v>9</v>
      </c>
      <c r="N453" s="10">
        <v>55000</v>
      </c>
      <c r="O453" s="10">
        <v>15</v>
      </c>
      <c r="P453" s="10">
        <v>420750</v>
      </c>
      <c r="Q453" s="10">
        <v>3</v>
      </c>
      <c r="R453" s="10" t="s">
        <v>277</v>
      </c>
      <c r="S453" s="10" t="s">
        <v>255</v>
      </c>
      <c r="T453" s="10" t="s">
        <v>247</v>
      </c>
      <c r="U453" s="10">
        <v>9887896743</v>
      </c>
      <c r="V453" s="12" t="s">
        <v>265</v>
      </c>
      <c r="W453" t="str">
        <f>IF(OR(Q453&lt;=2,V453="Cancelled"),"Blacklisted",IF(AND(P453&gt;100000,Q453&gt;=4,O453&lt;=10%,V453="Completed"),"Platinum",IF(AND(P453&gt;=50000,Q453&gt;=3,V453="Completed"),"Gold",IF(AND(P453&lt;50000,V453="Completed"),"Silver",""))))</f>
        <v>Blacklisted</v>
      </c>
      <c r="X453" t="str">
        <f>PROPER(TRIM(F453))</f>
        <v>Pooja Shah</v>
      </c>
      <c r="Y453" t="str">
        <f>LEFT(F453,3)&amp;MID(B453,2,3)&amp;LEFT(I453,2)</f>
        <v>Poo010Pu</v>
      </c>
      <c r="Z453" t="str">
        <f>IF(ISNUMBER(SEARCH("@",T453)),LOWER(TRIM(T453)),"invalid email")</f>
        <v>pooja.shah@company.com</v>
      </c>
      <c r="AA453" t="str">
        <f ca="1">IF(H452="","",IFERROR(DATEDIF(IF(ISNUMBER(H452),H452,DATE(VALUE(RIGHT(H452,4)),VALUE(MID(H452,3,2)),VALUE(LEFT(H452,2)))),TODAY(),"Y"),""))</f>
        <v/>
      </c>
      <c r="AB453" t="str">
        <f>IF(OR(D453="",E453=""),"",IFERROR(DATE(MID(E453,7,4),MID(E453,4,2),LEFT(E453,2))-DATE(MID(D453,7,4),MID(D453,4,2),LEFT(D453,2)),""))</f>
        <v/>
      </c>
      <c r="AC453" t="str">
        <f>IF(E453="","Pending",IF(AB453&lt;=5,"On time","Delayed"))</f>
        <v>Delayed</v>
      </c>
      <c r="AD453" s="29" t="str">
        <f>IF(TRIM(S453)="","Not Assigned",S453)</f>
        <v>Ritika</v>
      </c>
      <c r="AE453" t="str">
        <f>PROPER(TRIM(F453))</f>
        <v>Pooja Shah</v>
      </c>
      <c r="AF453" t="str">
        <f>PROPER(TRIM(K453))</f>
        <v>Electronics</v>
      </c>
      <c r="AG453" t="str">
        <f>PROPER(TRIM(J453))</f>
        <v>West</v>
      </c>
      <c r="AH453" t="str">
        <f t="shared" si="14"/>
        <v>Electronics</v>
      </c>
      <c r="AI453" t="str">
        <f t="shared" si="15"/>
        <v>Electronics</v>
      </c>
      <c r="AK453">
        <f>IF(COUNTIF($A$2:A453,A453)=1,1,0)</f>
        <v>1</v>
      </c>
    </row>
    <row r="454" spans="1:37">
      <c r="A454" s="4" t="s">
        <v>1125</v>
      </c>
      <c r="B454" s="5" t="s">
        <v>392</v>
      </c>
      <c r="C454" s="5" t="s">
        <v>258</v>
      </c>
      <c r="D454" s="6">
        <v>45669</v>
      </c>
      <c r="E454" s="6">
        <v>45700</v>
      </c>
      <c r="F454" s="5" t="s">
        <v>323</v>
      </c>
      <c r="G454" s="5" t="s">
        <v>269</v>
      </c>
      <c r="H454" s="6">
        <v>34122</v>
      </c>
      <c r="I454" s="5" t="s">
        <v>241</v>
      </c>
      <c r="J454" s="5" t="s">
        <v>242</v>
      </c>
      <c r="K454" s="5" t="s">
        <v>243</v>
      </c>
      <c r="L454" s="5" t="s">
        <v>262</v>
      </c>
      <c r="M454" s="5">
        <v>12</v>
      </c>
      <c r="N454" s="5">
        <v>12000</v>
      </c>
      <c r="O454" s="5">
        <v>0</v>
      </c>
      <c r="P454" s="5">
        <v>144000</v>
      </c>
      <c r="Q454" s="5">
        <v>3</v>
      </c>
      <c r="R454" s="5" t="s">
        <v>272</v>
      </c>
      <c r="S454" s="5" t="s">
        <v>312</v>
      </c>
      <c r="T454" s="5" t="s">
        <v>395</v>
      </c>
      <c r="U454" s="5">
        <v>9585330043</v>
      </c>
      <c r="V454" s="8" t="s">
        <v>265</v>
      </c>
      <c r="W454" t="str">
        <f>IF(OR(Q454&lt;=2,V454="Cancelled"),"Blacklisted",IF(AND(P454&gt;100000,Q454&gt;=4,O454&lt;=10%,V454="Completed"),"Platinum",IF(AND(P454&gt;=50000,Q454&gt;=3,V454="Completed"),"Gold",IF(AND(P454&lt;50000,V454="Completed"),"Silver",""))))</f>
        <v>Blacklisted</v>
      </c>
      <c r="X454" t="str">
        <f>PROPER(TRIM(F454))</f>
        <v>Amit Sharma</v>
      </c>
      <c r="Y454" t="str">
        <f>LEFT(F454,3)&amp;MID(B454,2,3)&amp;LEFT(I454,2)</f>
        <v>Ami001Be</v>
      </c>
      <c r="Z454" t="str">
        <f>IF(ISNUMBER(SEARCH("@",T454)),LOWER(TRIM(T454)),"invalid email")</f>
        <v>amit.sharma@company.com</v>
      </c>
      <c r="AA454" t="str">
        <f ca="1">IF(H453="","",IFERROR(DATEDIF(IF(ISNUMBER(H453),H453,DATE(VALUE(RIGHT(H453,4)),VALUE(MID(H453,3,2)),VALUE(LEFT(H453,2)))),TODAY(),"Y"),""))</f>
        <v/>
      </c>
      <c r="AB454" t="str">
        <f>IF(OR(D454="",E454=""),"",IFERROR(DATE(MID(E454,7,4),MID(E454,4,2),LEFT(E454,2))-DATE(MID(D454,7,4),MID(D454,4,2),LEFT(D454,2)),""))</f>
        <v/>
      </c>
      <c r="AC454" t="str">
        <f>IF(E454="","Pending",IF(AB454&lt;=5,"On time","Delayed"))</f>
        <v>Delayed</v>
      </c>
      <c r="AD454" s="29" t="str">
        <f>IF(TRIM(S454)="","Not Assigned",S454)</f>
        <v>Karan</v>
      </c>
      <c r="AE454" t="str">
        <f>PROPER(TRIM(F454))</f>
        <v>Amit Sharma</v>
      </c>
      <c r="AF454" t="str">
        <f>PROPER(TRIM(K454))</f>
        <v>Electronics</v>
      </c>
      <c r="AG454" t="str">
        <f>PROPER(TRIM(J454))</f>
        <v>South</v>
      </c>
      <c r="AH454" t="str">
        <f t="shared" si="14"/>
        <v>Electronics</v>
      </c>
      <c r="AI454" t="str">
        <f t="shared" si="15"/>
        <v>Electronics</v>
      </c>
      <c r="AK454">
        <f>IF(COUNTIF($A$2:A454,A454)=1,1,0)</f>
        <v>1</v>
      </c>
    </row>
    <row r="455" spans="1:37">
      <c r="A455" s="9" t="s">
        <v>1126</v>
      </c>
      <c r="B455" s="10" t="s">
        <v>284</v>
      </c>
      <c r="C455" s="10" t="s">
        <v>294</v>
      </c>
      <c r="D455" s="11">
        <v>45752</v>
      </c>
      <c r="E455" s="11">
        <v>45966</v>
      </c>
      <c r="F455" s="10" t="s">
        <v>285</v>
      </c>
      <c r="G455" s="10" t="s">
        <v>239</v>
      </c>
      <c r="H455" s="11">
        <v>27434</v>
      </c>
      <c r="I455" s="10" t="s">
        <v>306</v>
      </c>
      <c r="J455" s="10" t="s">
        <v>287</v>
      </c>
      <c r="K455" s="10" t="s">
        <v>295</v>
      </c>
      <c r="L455" s="10" t="s">
        <v>296</v>
      </c>
      <c r="M455" s="10">
        <v>7</v>
      </c>
      <c r="N455" s="10">
        <v>60</v>
      </c>
      <c r="O455" s="10">
        <v>10</v>
      </c>
      <c r="P455" s="10">
        <v>378</v>
      </c>
      <c r="Q455" s="10">
        <v>4</v>
      </c>
      <c r="R455" s="10" t="s">
        <v>254</v>
      </c>
      <c r="S455" s="10" t="s">
        <v>263</v>
      </c>
      <c r="T455" s="10" t="s">
        <v>308</v>
      </c>
      <c r="U455" s="10">
        <v>9423719975</v>
      </c>
      <c r="V455" s="12" t="s">
        <v>265</v>
      </c>
      <c r="W455" t="str">
        <f>IF(OR(Q455&lt;=2,V455="Cancelled"),"Blacklisted",IF(AND(P455&gt;100000,Q455&gt;=4,O455&lt;=10%,V455="Completed"),"Platinum",IF(AND(P455&gt;=50000,Q455&gt;=3,V455="Completed"),"Gold",IF(AND(P455&lt;50000,V455="Completed"),"Silver",""))))</f>
        <v>Blacklisted</v>
      </c>
      <c r="X455" t="str">
        <f>PROPER(TRIM(F455))</f>
        <v>Priya Patel</v>
      </c>
      <c r="Y455" t="str">
        <f>LEFT(F455,3)&amp;MID(B455,2,3)&amp;LEFT(I455,2)</f>
        <v>Pri002Ah</v>
      </c>
      <c r="Z455" t="str">
        <f>IF(ISNUMBER(SEARCH("@",T455)),LOWER(TRIM(T455)),"invalid email")</f>
        <v>priya.patel@company.com</v>
      </c>
      <c r="AA455">
        <f ca="1">IF(H454="","",IFERROR(DATEDIF(IF(ISNUMBER(H454),H454,DATE(VALUE(RIGHT(H454,4)),VALUE(MID(H454,3,2)),VALUE(LEFT(H454,2)))),TODAY(),"Y"),""))</f>
        <v>33</v>
      </c>
      <c r="AB455" t="str">
        <f>IF(OR(D455="",E455=""),"",IFERROR(DATE(MID(E455,7,4),MID(E455,4,2),LEFT(E455,2))-DATE(MID(D455,7,4),MID(D455,4,2),LEFT(D455,2)),""))</f>
        <v/>
      </c>
      <c r="AC455" t="str">
        <f>IF(E455="","Pending",IF(AB455&lt;=5,"On time","Delayed"))</f>
        <v>Delayed</v>
      </c>
      <c r="AD455" s="29" t="str">
        <f>IF(TRIM(S455)="","Not Assigned",S455)</f>
        <v>Rahul</v>
      </c>
      <c r="AE455" t="str">
        <f>PROPER(TRIM(F455))</f>
        <v>Priya Patel</v>
      </c>
      <c r="AF455" t="str">
        <f>PROPER(TRIM(K455))</f>
        <v>Stationery</v>
      </c>
      <c r="AG455" t="str">
        <f>PROPER(TRIM(J455))</f>
        <v>West</v>
      </c>
      <c r="AH455" t="str">
        <f t="shared" si="14"/>
        <v>Stationery</v>
      </c>
      <c r="AI455" t="str">
        <f t="shared" si="15"/>
        <v>Stationery</v>
      </c>
      <c r="AK455">
        <f>IF(COUNTIF($A$2:A455,A455)=1,1,0)</f>
        <v>1</v>
      </c>
    </row>
    <row r="456" spans="1:37">
      <c r="A456" s="4" t="s">
        <v>1127</v>
      </c>
      <c r="B456" s="5" t="s">
        <v>346</v>
      </c>
      <c r="C456" s="5" t="s">
        <v>250</v>
      </c>
      <c r="D456" s="5" t="s">
        <v>125</v>
      </c>
      <c r="E456" s="5" t="s">
        <v>539</v>
      </c>
      <c r="F456" s="5" t="s">
        <v>348</v>
      </c>
      <c r="G456" s="5" t="s">
        <v>269</v>
      </c>
      <c r="H456" s="6">
        <v>34586</v>
      </c>
      <c r="I456" s="5" t="s">
        <v>286</v>
      </c>
      <c r="J456" s="5" t="s">
        <v>287</v>
      </c>
      <c r="K456" s="5" t="s">
        <v>15</v>
      </c>
      <c r="L456" s="5" t="s">
        <v>253</v>
      </c>
      <c r="M456" s="5">
        <v>17</v>
      </c>
      <c r="N456" s="5">
        <v>2200</v>
      </c>
      <c r="O456" s="5">
        <v>15</v>
      </c>
      <c r="P456" s="5">
        <v>31790</v>
      </c>
      <c r="Q456" s="5">
        <v>3</v>
      </c>
      <c r="R456" s="5" t="s">
        <v>277</v>
      </c>
      <c r="S456" s="5" t="s">
        <v>312</v>
      </c>
      <c r="T456" s="5" t="s">
        <v>350</v>
      </c>
      <c r="U456" s="5">
        <v>9270746961</v>
      </c>
      <c r="V456" s="8" t="s">
        <v>248</v>
      </c>
      <c r="W456" t="str">
        <f>IF(OR(Q456&lt;=2,V456="Cancelled"),"Blacklisted",IF(AND(P456&gt;100000,Q456&gt;=4,O456&lt;=10%,V456="Completed"),"Platinum",IF(AND(P456&gt;=50000,Q456&gt;=3,V456="Completed"),"Gold",IF(AND(P456&lt;50000,V456="Completed"),"Silver",""))))</f>
        <v/>
      </c>
      <c r="X456" t="str">
        <f>PROPER(TRIM(F456))</f>
        <v>Vikas Mehta</v>
      </c>
      <c r="Y456" t="str">
        <f>LEFT(F456,3)&amp;MID(B456,2,3)&amp;LEFT(I456,2)</f>
        <v>Vik005Mu</v>
      </c>
      <c r="Z456" t="str">
        <f>IF(ISNUMBER(SEARCH("@",T456)),LOWER(TRIM(T456)),"invalid email")</f>
        <v>vikas.mehta@company.com</v>
      </c>
      <c r="AA456">
        <f ca="1">IF(H455="","",IFERROR(DATEDIF(IF(ISNUMBER(H455),H455,DATE(VALUE(RIGHT(H455,4)),VALUE(MID(H455,3,2)),VALUE(LEFT(H455,2)))),TODAY(),"Y"),""))</f>
        <v>51</v>
      </c>
      <c r="AB456">
        <f>IF(OR(D456="",E456=""),"",IFERROR(DATE(MID(E456,7,4),MID(E456,4,2),LEFT(E456,2))-DATE(MID(D456,7,4),MID(D456,4,2),LEFT(D456,2)),""))</f>
        <v>8</v>
      </c>
      <c r="AC456" t="str">
        <f>IF(E456="","Pending",IF(AB456&lt;=5,"On time","Delayed"))</f>
        <v>Delayed</v>
      </c>
      <c r="AD456" s="29" t="str">
        <f>IF(TRIM(S456)="","Not Assigned",S456)</f>
        <v>Karan</v>
      </c>
      <c r="AE456" t="str">
        <f>PROPER(TRIM(F456))</f>
        <v>Vikas Mehta</v>
      </c>
      <c r="AF456" t="str">
        <f>PROPER(TRIM(K456))</f>
        <v>Home Appliances</v>
      </c>
      <c r="AG456" t="str">
        <f>PROPER(TRIM(J456))</f>
        <v>West</v>
      </c>
      <c r="AH456" t="str">
        <f t="shared" si="14"/>
        <v>Home Appliances</v>
      </c>
      <c r="AI456" t="str">
        <f t="shared" si="15"/>
        <v>Home Appliances</v>
      </c>
      <c r="AK456">
        <f>IF(COUNTIF($A$2:A456,A456)=1,1,0)</f>
        <v>1</v>
      </c>
    </row>
    <row r="457" spans="1:37">
      <c r="A457" s="9" t="s">
        <v>1128</v>
      </c>
      <c r="B457" s="10" t="s">
        <v>392</v>
      </c>
      <c r="C457" s="10" t="s">
        <v>330</v>
      </c>
      <c r="D457" s="10" t="s">
        <v>171</v>
      </c>
      <c r="E457" s="11">
        <v>45820</v>
      </c>
      <c r="F457" s="10" t="s">
        <v>323</v>
      </c>
      <c r="G457" s="10" t="s">
        <v>269</v>
      </c>
      <c r="H457" s="11">
        <v>33795</v>
      </c>
      <c r="I457" s="10" t="s">
        <v>241</v>
      </c>
      <c r="J457" s="10" t="s">
        <v>242</v>
      </c>
      <c r="K457" s="10" t="s">
        <v>243</v>
      </c>
      <c r="L457" s="10" t="s">
        <v>333</v>
      </c>
      <c r="M457" s="10">
        <v>17</v>
      </c>
      <c r="N457" s="10">
        <v>700</v>
      </c>
      <c r="O457" s="10">
        <v>10</v>
      </c>
      <c r="P457" s="10">
        <v>10710</v>
      </c>
      <c r="Q457" s="10">
        <v>2</v>
      </c>
      <c r="R457" s="10" t="s">
        <v>254</v>
      </c>
      <c r="S457" s="10" t="s">
        <v>246</v>
      </c>
      <c r="T457" s="10" t="s">
        <v>395</v>
      </c>
      <c r="U457" s="10">
        <v>9333162025</v>
      </c>
      <c r="V457" s="12" t="s">
        <v>248</v>
      </c>
      <c r="W457" t="str">
        <f>IF(OR(Q457&lt;=2,V457="Cancelled"),"Blacklisted",IF(AND(P457&gt;100000,Q457&gt;=4,O457&lt;=10%,V457="Completed"),"Platinum",IF(AND(P457&gt;=50000,Q457&gt;=3,V457="Completed"),"Gold",IF(AND(P457&lt;50000,V457="Completed"),"Silver",""))))</f>
        <v>Blacklisted</v>
      </c>
      <c r="X457" t="str">
        <f>PROPER(TRIM(F457))</f>
        <v>Amit Sharma</v>
      </c>
      <c r="Y457" t="str">
        <f>LEFT(F457,3)&amp;MID(B457,2,3)&amp;LEFT(I457,2)</f>
        <v>Ami001Be</v>
      </c>
      <c r="Z457" t="str">
        <f>IF(ISNUMBER(SEARCH("@",T457)),LOWER(TRIM(T457)),"invalid email")</f>
        <v>amit.sharma@company.com</v>
      </c>
      <c r="AA457">
        <f ca="1">IF(H456="","",IFERROR(DATEDIF(IF(ISNUMBER(H456),H456,DATE(VALUE(RIGHT(H456,4)),VALUE(MID(H456,3,2)),VALUE(LEFT(H456,2)))),TODAY(),"Y"),""))</f>
        <v>32</v>
      </c>
      <c r="AB457" t="str">
        <f>IF(OR(D457="",E457=""),"",IFERROR(DATE(MID(E457,7,4),MID(E457,4,2),LEFT(E457,2))-DATE(MID(D457,7,4),MID(D457,4,2),LEFT(D457,2)),""))</f>
        <v/>
      </c>
      <c r="AC457" t="str">
        <f>IF(E457="","Pending",IF(AB457&lt;=5,"On time","Delayed"))</f>
        <v>Delayed</v>
      </c>
      <c r="AD457" s="29" t="str">
        <f>IF(TRIM(S457)="","Not Assigned",S457)</f>
        <v>Aisha</v>
      </c>
      <c r="AE457" t="str">
        <f>PROPER(TRIM(F457))</f>
        <v>Amit Sharma</v>
      </c>
      <c r="AF457" t="str">
        <f>PROPER(TRIM(K457))</f>
        <v>Electronics</v>
      </c>
      <c r="AG457" t="str">
        <f>PROPER(TRIM(J457))</f>
        <v>South</v>
      </c>
      <c r="AH457" t="str">
        <f t="shared" si="14"/>
        <v>Electronics</v>
      </c>
      <c r="AI457" t="str">
        <f t="shared" si="15"/>
        <v>Electronics</v>
      </c>
      <c r="AK457">
        <f>IF(COUNTIF($A$2:A457,A457)=1,1,0)</f>
        <v>1</v>
      </c>
    </row>
    <row r="458" spans="1:37">
      <c r="A458" s="4" t="s">
        <v>1129</v>
      </c>
      <c r="B458" s="5" t="s">
        <v>392</v>
      </c>
      <c r="C458" s="5" t="s">
        <v>236</v>
      </c>
      <c r="D458" s="5" t="s">
        <v>187</v>
      </c>
      <c r="E458" s="6">
        <v>45663</v>
      </c>
      <c r="F458" s="5" t="s">
        <v>323</v>
      </c>
      <c r="G458" s="5" t="s">
        <v>269</v>
      </c>
      <c r="H458" s="5" t="s">
        <v>1130</v>
      </c>
      <c r="I458" s="5" t="s">
        <v>260</v>
      </c>
      <c r="J458" s="5" t="s">
        <v>261</v>
      </c>
      <c r="K458" s="5" t="s">
        <v>243</v>
      </c>
      <c r="L458" s="5" t="s">
        <v>244</v>
      </c>
      <c r="M458" s="5">
        <v>19</v>
      </c>
      <c r="N458" s="5">
        <v>55000</v>
      </c>
      <c r="O458" s="5">
        <v>20</v>
      </c>
      <c r="P458" s="5">
        <v>836000</v>
      </c>
      <c r="Q458" s="5">
        <v>5</v>
      </c>
      <c r="R458" s="5" t="s">
        <v>245</v>
      </c>
      <c r="S458" s="5" t="s">
        <v>246</v>
      </c>
      <c r="T458" s="5" t="s">
        <v>395</v>
      </c>
      <c r="U458" s="5">
        <v>9247023285</v>
      </c>
      <c r="V458" s="8" t="s">
        <v>257</v>
      </c>
      <c r="W458" t="str">
        <f>IF(OR(Q458&lt;=2,V458="Cancelled"),"Blacklisted",IF(AND(P458&gt;100000,Q458&gt;=4,O458&lt;=10%,V458="Completed"),"Platinum",IF(AND(P458&gt;=50000,Q458&gt;=3,V458="Completed"),"Gold",IF(AND(P458&lt;50000,V458="Completed"),"Silver",""))))</f>
        <v>Gold</v>
      </c>
      <c r="X458" t="str">
        <f>PROPER(TRIM(F458))</f>
        <v>Amit Sharma</v>
      </c>
      <c r="Y458" t="str">
        <f>LEFT(F458,3)&amp;MID(B458,2,3)&amp;LEFT(I458,2)</f>
        <v>Ami001De</v>
      </c>
      <c r="Z458" t="str">
        <f>IF(ISNUMBER(SEARCH("@",T458)),LOWER(TRIM(T458)),"invalid email")</f>
        <v>amit.sharma@company.com</v>
      </c>
      <c r="AA458">
        <f ca="1">IF(H457="","",IFERROR(DATEDIF(IF(ISNUMBER(H457),H457,DATE(VALUE(RIGHT(H457,4)),VALUE(MID(H457,3,2)),VALUE(LEFT(H457,2)))),TODAY(),"Y"),""))</f>
        <v>34</v>
      </c>
      <c r="AB458" t="str">
        <f>IF(OR(D458="",E458=""),"",IFERROR(DATE(MID(E458,7,4),MID(E458,4,2),LEFT(E458,2))-DATE(MID(D458,7,4),MID(D458,4,2),LEFT(D458,2)),""))</f>
        <v/>
      </c>
      <c r="AC458" t="str">
        <f>IF(E458="","Pending",IF(AB458&lt;=5,"On time","Delayed"))</f>
        <v>Delayed</v>
      </c>
      <c r="AD458" s="29" t="str">
        <f>IF(TRIM(S458)="","Not Assigned",S458)</f>
        <v>Aisha</v>
      </c>
      <c r="AE458" t="str">
        <f>PROPER(TRIM(F458))</f>
        <v>Amit Sharma</v>
      </c>
      <c r="AF458" t="str">
        <f>PROPER(TRIM(K458))</f>
        <v>Electronics</v>
      </c>
      <c r="AG458" t="str">
        <f>PROPER(TRIM(J458))</f>
        <v>North</v>
      </c>
      <c r="AH458" t="str">
        <f t="shared" si="14"/>
        <v>Electronics</v>
      </c>
      <c r="AI458" t="str">
        <f t="shared" si="15"/>
        <v>Electronics</v>
      </c>
      <c r="AK458">
        <f>IF(COUNTIF($A$2:A458,A458)=1,1,0)</f>
        <v>1</v>
      </c>
    </row>
    <row r="459" spans="1:37">
      <c r="A459" s="9" t="s">
        <v>1131</v>
      </c>
      <c r="B459" s="10" t="s">
        <v>299</v>
      </c>
      <c r="C459" s="10" t="s">
        <v>294</v>
      </c>
      <c r="D459" s="11">
        <v>46000</v>
      </c>
      <c r="E459" s="10" t="s">
        <v>83</v>
      </c>
      <c r="F459" s="10" t="s">
        <v>301</v>
      </c>
      <c r="G459" s="10" t="s">
        <v>269</v>
      </c>
      <c r="H459" s="11">
        <v>36952</v>
      </c>
      <c r="I459" s="10" t="s">
        <v>260</v>
      </c>
      <c r="J459" s="10" t="s">
        <v>261</v>
      </c>
      <c r="K459" s="10" t="s">
        <v>295</v>
      </c>
      <c r="L459" s="10" t="s">
        <v>296</v>
      </c>
      <c r="M459" s="10">
        <v>1</v>
      </c>
      <c r="N459" s="10">
        <v>60</v>
      </c>
      <c r="O459" s="10">
        <v>10</v>
      </c>
      <c r="P459" s="10">
        <v>54</v>
      </c>
      <c r="Q459" s="10">
        <v>4</v>
      </c>
      <c r="R459" s="10" t="s">
        <v>245</v>
      </c>
      <c r="S459" s="10" t="s">
        <v>1224</v>
      </c>
      <c r="T459" s="13" t="s">
        <v>1132</v>
      </c>
      <c r="U459" s="10">
        <v>9448658297</v>
      </c>
      <c r="V459" s="12" t="s">
        <v>265</v>
      </c>
      <c r="W459" t="str">
        <f>IF(OR(Q459&lt;=2,V459="Cancelled"),"Blacklisted",IF(AND(P459&gt;100000,Q459&gt;=4,O459&lt;=10%,V459="Completed"),"Platinum",IF(AND(P459&gt;=50000,Q459&gt;=3,V459="Completed"),"Gold",IF(AND(P459&lt;50000,V459="Completed"),"Silver",""))))</f>
        <v>Blacklisted</v>
      </c>
      <c r="X459" t="str">
        <f>PROPER(TRIM(F459))</f>
        <v>Rohit Singh</v>
      </c>
      <c r="Y459" t="str">
        <f>LEFT(F459,3)&amp;MID(B459,2,3)&amp;LEFT(I459,2)</f>
        <v>Roh003De</v>
      </c>
      <c r="Z459" t="str">
        <f>IF(ISNUMBER(SEARCH("@",T459)),LOWER(TRIM(T459)),"invalid email")</f>
        <v>rohit.singh@company.com</v>
      </c>
      <c r="AA459" t="str">
        <f ca="1">IF(H458="","",IFERROR(DATEDIF(IF(ISNUMBER(H458),H458,DATE(VALUE(RIGHT(H458,4)),VALUE(MID(H458,3,2)),VALUE(LEFT(H458,2)))),TODAY(),"Y"),""))</f>
        <v/>
      </c>
      <c r="AB459" t="str">
        <f>IF(OR(D459="",E459=""),"",IFERROR(DATE(MID(E459,7,4),MID(E459,4,2),LEFT(E459,2))-DATE(MID(D459,7,4),MID(D459,4,2),LEFT(D459,2)),""))</f>
        <v/>
      </c>
      <c r="AC459" t="str">
        <f>IF(E459="","Pending",IF(AB459&lt;=5,"On time","Delayed"))</f>
        <v>Delayed</v>
      </c>
      <c r="AD459" s="29" t="str">
        <f>IF(TRIM(S459)="","Not Assigned",S459)</f>
        <v>Not Assigned</v>
      </c>
      <c r="AE459" t="str">
        <f>PROPER(TRIM(F459))</f>
        <v>Rohit Singh</v>
      </c>
      <c r="AF459" t="str">
        <f>PROPER(TRIM(K459))</f>
        <v>Stationery</v>
      </c>
      <c r="AG459" t="str">
        <f>PROPER(TRIM(J459))</f>
        <v>North</v>
      </c>
      <c r="AH459" t="str">
        <f t="shared" si="14"/>
        <v>Stationery</v>
      </c>
      <c r="AI459" t="str">
        <f t="shared" si="15"/>
        <v>Stationery</v>
      </c>
      <c r="AK459">
        <f>IF(COUNTIF($A$2:A459,A459)=1,1,0)</f>
        <v>1</v>
      </c>
    </row>
    <row r="460" spans="1:37">
      <c r="A460" s="4" t="s">
        <v>1133</v>
      </c>
      <c r="B460" s="5" t="s">
        <v>266</v>
      </c>
      <c r="C460" s="5" t="s">
        <v>280</v>
      </c>
      <c r="D460" s="6">
        <v>46115</v>
      </c>
      <c r="E460" s="6">
        <v>46329</v>
      </c>
      <c r="F460" s="5" t="s">
        <v>268</v>
      </c>
      <c r="G460" s="5" t="s">
        <v>269</v>
      </c>
      <c r="H460" s="5" t="s">
        <v>1134</v>
      </c>
      <c r="I460" s="5" t="s">
        <v>252</v>
      </c>
      <c r="J460" s="5" t="s">
        <v>242</v>
      </c>
      <c r="K460" s="5" t="s">
        <v>15</v>
      </c>
      <c r="L460" s="5" t="s">
        <v>282</v>
      </c>
      <c r="M460" s="5">
        <v>16</v>
      </c>
      <c r="N460" s="5">
        <v>3500</v>
      </c>
      <c r="O460" s="5">
        <v>0</v>
      </c>
      <c r="P460" s="5">
        <v>56000</v>
      </c>
      <c r="Q460" s="5">
        <v>4</v>
      </c>
      <c r="R460" s="5" t="s">
        <v>245</v>
      </c>
      <c r="S460" s="5" t="s">
        <v>255</v>
      </c>
      <c r="T460" s="5" t="s">
        <v>273</v>
      </c>
      <c r="U460" s="5">
        <v>9906748486</v>
      </c>
      <c r="V460" s="8" t="s">
        <v>248</v>
      </c>
      <c r="W460" t="str">
        <f>IF(OR(Q460&lt;=2,V460="Cancelled"),"Blacklisted",IF(AND(P460&gt;100000,Q460&gt;=4,O460&lt;=10%,V460="Completed"),"Platinum",IF(AND(P460&gt;=50000,Q460&gt;=3,V460="Completed"),"Gold",IF(AND(P460&lt;50000,V460="Completed"),"Silver",""))))</f>
        <v/>
      </c>
      <c r="X460" t="str">
        <f>PROPER(TRIM(F460))</f>
        <v>Mohit Verma</v>
      </c>
      <c r="Y460" t="str">
        <f>LEFT(F460,3)&amp;MID(B460,2,3)&amp;LEFT(I460,2)</f>
        <v>Moh009Hy</v>
      </c>
      <c r="Z460" t="str">
        <f>IF(ISNUMBER(SEARCH("@",T460)),LOWER(TRIM(T460)),"invalid email")</f>
        <v>mohit.verma@company.com</v>
      </c>
      <c r="AA460">
        <f ca="1">IF(H459="","",IFERROR(DATEDIF(IF(ISNUMBER(H459),H459,DATE(VALUE(RIGHT(H459,4)),VALUE(MID(H459,3,2)),VALUE(LEFT(H459,2)))),TODAY(),"Y"),""))</f>
        <v>25</v>
      </c>
      <c r="AB460" t="str">
        <f>IF(OR(D460="",E460=""),"",IFERROR(DATE(MID(E460,7,4),MID(E460,4,2),LEFT(E460,2))-DATE(MID(D460,7,4),MID(D460,4,2),LEFT(D460,2)),""))</f>
        <v/>
      </c>
      <c r="AC460" t="str">
        <f>IF(E460="","Pending",IF(AB460&lt;=5,"On time","Delayed"))</f>
        <v>Delayed</v>
      </c>
      <c r="AD460" s="29" t="str">
        <f>IF(TRIM(S460)="","Not Assigned",S460)</f>
        <v>Ritika</v>
      </c>
      <c r="AE460" t="str">
        <f>PROPER(TRIM(F460))</f>
        <v>Mohit Verma</v>
      </c>
      <c r="AF460" t="str">
        <f>PROPER(TRIM(K460))</f>
        <v>Home Appliances</v>
      </c>
      <c r="AG460" t="str">
        <f>PROPER(TRIM(J460))</f>
        <v>South</v>
      </c>
      <c r="AH460" t="str">
        <f t="shared" si="14"/>
        <v>Home Appliances</v>
      </c>
      <c r="AI460" t="str">
        <f t="shared" si="15"/>
        <v>Home Appliances</v>
      </c>
      <c r="AK460">
        <f>IF(COUNTIF($A$2:A460,A460)=1,1,0)</f>
        <v>1</v>
      </c>
    </row>
    <row r="461" spans="1:37">
      <c r="A461" s="9" t="s">
        <v>1135</v>
      </c>
      <c r="B461" s="10" t="s">
        <v>299</v>
      </c>
      <c r="C461" s="10" t="s">
        <v>347</v>
      </c>
      <c r="D461" s="10" t="s">
        <v>128</v>
      </c>
      <c r="E461" s="11">
        <v>45779</v>
      </c>
      <c r="F461" s="10" t="s">
        <v>301</v>
      </c>
      <c r="G461" s="10" t="s">
        <v>269</v>
      </c>
      <c r="H461" s="10" t="s">
        <v>810</v>
      </c>
      <c r="I461" s="10" t="s">
        <v>291</v>
      </c>
      <c r="J461" s="10" t="s">
        <v>287</v>
      </c>
      <c r="K461" s="10" t="s">
        <v>295</v>
      </c>
      <c r="L461" s="10" t="s">
        <v>349</v>
      </c>
      <c r="M461" s="10">
        <v>14</v>
      </c>
      <c r="N461" s="10">
        <v>20</v>
      </c>
      <c r="O461" s="10">
        <v>10</v>
      </c>
      <c r="P461" s="10">
        <v>252</v>
      </c>
      <c r="Q461" s="10">
        <v>1</v>
      </c>
      <c r="R461" s="10" t="s">
        <v>245</v>
      </c>
      <c r="S461" s="10" t="s">
        <v>246</v>
      </c>
      <c r="T461" s="10" t="s">
        <v>302</v>
      </c>
      <c r="U461" s="10">
        <v>9365182725</v>
      </c>
      <c r="V461" s="12" t="s">
        <v>248</v>
      </c>
      <c r="W461" t="str">
        <f>IF(OR(Q461&lt;=2,V461="Cancelled"),"Blacklisted",IF(AND(P461&gt;100000,Q461&gt;=4,O461&lt;=10%,V461="Completed"),"Platinum",IF(AND(P461&gt;=50000,Q461&gt;=3,V461="Completed"),"Gold",IF(AND(P461&lt;50000,V461="Completed"),"Silver",""))))</f>
        <v>Blacklisted</v>
      </c>
      <c r="X461" t="str">
        <f>PROPER(TRIM(F461))</f>
        <v>Rohit Singh</v>
      </c>
      <c r="Y461" t="str">
        <f>LEFT(F461,3)&amp;MID(B461,2,3)&amp;LEFT(I461,2)</f>
        <v>Roh003Pu</v>
      </c>
      <c r="Z461" t="str">
        <f>IF(ISNUMBER(SEARCH("@",T461)),LOWER(TRIM(T461)),"invalid email")</f>
        <v>rohit.singh@company.com</v>
      </c>
      <c r="AA461" t="str">
        <f ca="1">IF(H460="","",IFERROR(DATEDIF(IF(ISNUMBER(H460),H460,DATE(VALUE(RIGHT(H460,4)),VALUE(MID(H460,3,2)),VALUE(LEFT(H460,2)))),TODAY(),"Y"),""))</f>
        <v/>
      </c>
      <c r="AB461" t="str">
        <f>IF(OR(D461="",E461=""),"",IFERROR(DATE(MID(E461,7,4),MID(E461,4,2),LEFT(E461,2))-DATE(MID(D461,7,4),MID(D461,4,2),LEFT(D461,2)),""))</f>
        <v/>
      </c>
      <c r="AC461" t="str">
        <f>IF(E461="","Pending",IF(AB461&lt;=5,"On time","Delayed"))</f>
        <v>Delayed</v>
      </c>
      <c r="AD461" s="29" t="str">
        <f>IF(TRIM(S461)="","Not Assigned",S461)</f>
        <v>Aisha</v>
      </c>
      <c r="AE461" t="str">
        <f>PROPER(TRIM(F461))</f>
        <v>Rohit Singh</v>
      </c>
      <c r="AF461" t="str">
        <f>PROPER(TRIM(K461))</f>
        <v>Stationery</v>
      </c>
      <c r="AG461" t="str">
        <f>PROPER(TRIM(J461))</f>
        <v>West</v>
      </c>
      <c r="AH461" t="str">
        <f t="shared" si="14"/>
        <v>Stationery</v>
      </c>
      <c r="AI461" t="str">
        <f t="shared" si="15"/>
        <v>Stationery</v>
      </c>
      <c r="AK461">
        <f>IF(COUNTIF($A$2:A461,A461)=1,1,0)</f>
        <v>1</v>
      </c>
    </row>
    <row r="462" spans="1:37">
      <c r="A462" s="4" t="s">
        <v>1136</v>
      </c>
      <c r="B462" s="5" t="s">
        <v>266</v>
      </c>
      <c r="C462" s="5" t="s">
        <v>250</v>
      </c>
      <c r="D462" s="5" t="s">
        <v>22</v>
      </c>
      <c r="E462" s="5" t="s">
        <v>30</v>
      </c>
      <c r="F462" s="5" t="s">
        <v>268</v>
      </c>
      <c r="G462" s="5" t="s">
        <v>269</v>
      </c>
      <c r="H462" s="5" t="s">
        <v>1137</v>
      </c>
      <c r="I462" s="5" t="s">
        <v>241</v>
      </c>
      <c r="J462" s="5" t="s">
        <v>242</v>
      </c>
      <c r="K462" s="5" t="s">
        <v>15</v>
      </c>
      <c r="L462" s="5" t="s">
        <v>253</v>
      </c>
      <c r="M462" s="5">
        <v>11</v>
      </c>
      <c r="N462" s="5">
        <v>2200</v>
      </c>
      <c r="O462" s="5">
        <v>15</v>
      </c>
      <c r="P462" s="5">
        <v>20570</v>
      </c>
      <c r="Q462" s="5">
        <v>4</v>
      </c>
      <c r="R462" s="5" t="s">
        <v>245</v>
      </c>
      <c r="S462" s="5" t="s">
        <v>263</v>
      </c>
      <c r="T462" s="5" t="s">
        <v>273</v>
      </c>
      <c r="U462" s="5">
        <v>9937119494</v>
      </c>
      <c r="V462" s="8" t="s">
        <v>265</v>
      </c>
      <c r="W462" t="str">
        <f>IF(OR(Q462&lt;=2,V462="Cancelled"),"Blacklisted",IF(AND(P462&gt;100000,Q462&gt;=4,O462&lt;=10%,V462="Completed"),"Platinum",IF(AND(P462&gt;=50000,Q462&gt;=3,V462="Completed"),"Gold",IF(AND(P462&lt;50000,V462="Completed"),"Silver",""))))</f>
        <v>Blacklisted</v>
      </c>
      <c r="X462" t="str">
        <f>PROPER(TRIM(F462))</f>
        <v>Mohit Verma</v>
      </c>
      <c r="Y462" t="str">
        <f>LEFT(F462,3)&amp;MID(B462,2,3)&amp;LEFT(I462,2)</f>
        <v>Moh009Be</v>
      </c>
      <c r="Z462" t="str">
        <f>IF(ISNUMBER(SEARCH("@",T462)),LOWER(TRIM(T462)),"invalid email")</f>
        <v>mohit.verma@company.com</v>
      </c>
      <c r="AA462" t="str">
        <f ca="1">IF(H461="","",IFERROR(DATEDIF(IF(ISNUMBER(H461),H461,DATE(VALUE(RIGHT(H461,4)),VALUE(MID(H461,3,2)),VALUE(LEFT(H461,2)))),TODAY(),"Y"),""))</f>
        <v/>
      </c>
      <c r="AB462">
        <f>IF(OR(D462="",E462=""),"",IFERROR(DATE(MID(E462,7,4),MID(E462,4,2),LEFT(E462,2))-DATE(MID(D462,7,4),MID(D462,4,2),LEFT(D462,2)),""))</f>
        <v>1</v>
      </c>
      <c r="AC462" t="str">
        <f>IF(E462="","Pending",IF(AB462&lt;=5,"On time","Delayed"))</f>
        <v>On time</v>
      </c>
      <c r="AD462" s="29" t="str">
        <f>IF(TRIM(S462)="","Not Assigned",S462)</f>
        <v>Rahul</v>
      </c>
      <c r="AE462" t="str">
        <f>PROPER(TRIM(F462))</f>
        <v>Mohit Verma</v>
      </c>
      <c r="AF462" t="str">
        <f>PROPER(TRIM(K462))</f>
        <v>Home Appliances</v>
      </c>
      <c r="AG462" t="str">
        <f>PROPER(TRIM(J462))</f>
        <v>South</v>
      </c>
      <c r="AH462" t="str">
        <f t="shared" si="14"/>
        <v>Home Appliances</v>
      </c>
      <c r="AI462" t="str">
        <f t="shared" si="15"/>
        <v>Home Appliances</v>
      </c>
      <c r="AK462">
        <f>IF(COUNTIF($A$2:A462,A462)=1,1,0)</f>
        <v>1</v>
      </c>
    </row>
    <row r="463" spans="1:37">
      <c r="A463" s="9" t="s">
        <v>1138</v>
      </c>
      <c r="B463" s="10" t="s">
        <v>275</v>
      </c>
      <c r="C463" s="10" t="s">
        <v>236</v>
      </c>
      <c r="D463" s="11">
        <v>45665</v>
      </c>
      <c r="E463" s="11">
        <v>45908</v>
      </c>
      <c r="F463" s="10" t="s">
        <v>328</v>
      </c>
      <c r="G463" s="10" t="s">
        <v>269</v>
      </c>
      <c r="H463" s="10" t="s">
        <v>1139</v>
      </c>
      <c r="I463" s="10" t="s">
        <v>342</v>
      </c>
      <c r="J463" s="10" t="s">
        <v>261</v>
      </c>
      <c r="K463" s="10" t="s">
        <v>243</v>
      </c>
      <c r="L463" s="10" t="s">
        <v>244</v>
      </c>
      <c r="M463" s="10">
        <v>2</v>
      </c>
      <c r="N463" s="10">
        <v>55000</v>
      </c>
      <c r="O463" s="10">
        <v>0</v>
      </c>
      <c r="P463" s="10">
        <v>110000</v>
      </c>
      <c r="Q463" s="10">
        <v>4</v>
      </c>
      <c r="R463" s="15" t="s">
        <v>245</v>
      </c>
      <c r="S463" s="10" t="s">
        <v>263</v>
      </c>
      <c r="T463" s="10" t="s">
        <v>278</v>
      </c>
      <c r="U463" s="10">
        <v>9828015293</v>
      </c>
      <c r="V463" s="12" t="s">
        <v>265</v>
      </c>
      <c r="W463" t="str">
        <f>IF(OR(Q463&lt;=2,V463="Cancelled"),"Blacklisted",IF(AND(P463&gt;100000,Q463&gt;=4,O463&lt;=10%,V463="Completed"),"Platinum",IF(AND(P463&gt;=50000,Q463&gt;=3,V463="Completed"),"Gold",IF(AND(P463&lt;50000,V463="Completed"),"Silver",""))))</f>
        <v>Blacklisted</v>
      </c>
      <c r="X463" t="str">
        <f>PROPER(TRIM(F463))</f>
        <v>Arjun Rao</v>
      </c>
      <c r="Y463" t="str">
        <f>LEFT(F463,3)&amp;MID(B463,2,3)&amp;LEFT(I463,2)</f>
        <v>Arj007Ja</v>
      </c>
      <c r="Z463" t="str">
        <f>IF(ISNUMBER(SEARCH("@",T463)),LOWER(TRIM(T463)),"invalid email")</f>
        <v>arjun.rao@company.com</v>
      </c>
      <c r="AA463" t="str">
        <f ca="1">IF(H462="","",IFERROR(DATEDIF(IF(ISNUMBER(H462),H462,DATE(VALUE(RIGHT(H462,4)),VALUE(MID(H462,3,2)),VALUE(LEFT(H462,2)))),TODAY(),"Y"),""))</f>
        <v/>
      </c>
      <c r="AB463" t="str">
        <f>IF(OR(D463="",E463=""),"",IFERROR(DATE(MID(E463,7,4),MID(E463,4,2),LEFT(E463,2))-DATE(MID(D463,7,4),MID(D463,4,2),LEFT(D463,2)),""))</f>
        <v/>
      </c>
      <c r="AC463" t="str">
        <f>IF(E463="","Pending",IF(AB463&lt;=5,"On time","Delayed"))</f>
        <v>Delayed</v>
      </c>
      <c r="AD463" s="29" t="str">
        <f>IF(TRIM(S463)="","Not Assigned",S463)</f>
        <v>Rahul</v>
      </c>
      <c r="AE463" t="str">
        <f>PROPER(TRIM(F463))</f>
        <v>Arjun Rao</v>
      </c>
      <c r="AF463" t="str">
        <f>PROPER(TRIM(K463))</f>
        <v>Electronics</v>
      </c>
      <c r="AG463" t="str">
        <f>PROPER(TRIM(J463))</f>
        <v>North</v>
      </c>
      <c r="AH463" t="str">
        <f t="shared" si="14"/>
        <v>Electronics</v>
      </c>
      <c r="AI463" t="str">
        <f t="shared" si="15"/>
        <v>Electronics</v>
      </c>
      <c r="AK463">
        <f>IF(COUNTIF($A$2:A463,A463)=1,1,0)</f>
        <v>1</v>
      </c>
    </row>
    <row r="464" spans="1:37">
      <c r="A464" s="4" t="s">
        <v>1140</v>
      </c>
      <c r="B464" s="5" t="s">
        <v>235</v>
      </c>
      <c r="C464" s="5" t="s">
        <v>250</v>
      </c>
      <c r="D464" s="6">
        <v>45658</v>
      </c>
      <c r="E464" s="6">
        <v>45839</v>
      </c>
      <c r="F464" s="5" t="s">
        <v>318</v>
      </c>
      <c r="G464" s="5" t="s">
        <v>239</v>
      </c>
      <c r="H464" s="6">
        <v>32357</v>
      </c>
      <c r="I464" s="5" t="s">
        <v>291</v>
      </c>
      <c r="J464" s="5" t="s">
        <v>287</v>
      </c>
      <c r="K464" s="5" t="s">
        <v>15</v>
      </c>
      <c r="L464" s="5" t="s">
        <v>253</v>
      </c>
      <c r="M464" s="5">
        <v>7</v>
      </c>
      <c r="N464" s="5">
        <v>2200</v>
      </c>
      <c r="O464" s="5">
        <v>5</v>
      </c>
      <c r="P464" s="5">
        <v>14630</v>
      </c>
      <c r="Q464" s="5">
        <v>4</v>
      </c>
      <c r="R464" s="5" t="s">
        <v>272</v>
      </c>
      <c r="S464" s="5" t="s">
        <v>292</v>
      </c>
      <c r="T464" s="5" t="s">
        <v>247</v>
      </c>
      <c r="U464" s="5">
        <v>9864206250</v>
      </c>
      <c r="V464" s="8" t="s">
        <v>265</v>
      </c>
      <c r="W464" t="str">
        <f>IF(OR(Q464&lt;=2,V464="Cancelled"),"Blacklisted",IF(AND(P464&gt;100000,Q464&gt;=4,O464&lt;=10%,V464="Completed"),"Platinum",IF(AND(P464&gt;=50000,Q464&gt;=3,V464="Completed"),"Gold",IF(AND(P464&lt;50000,V464="Completed"),"Silver",""))))</f>
        <v>Blacklisted</v>
      </c>
      <c r="X464" t="str">
        <f>PROPER(TRIM(F464))</f>
        <v>Pooja Shah</v>
      </c>
      <c r="Y464" t="str">
        <f>LEFT(F464,3)&amp;MID(B464,2,3)&amp;LEFT(I464,2)</f>
        <v>Poo010Pu</v>
      </c>
      <c r="Z464" t="str">
        <f>IF(ISNUMBER(SEARCH("@",T464)),LOWER(TRIM(T464)),"invalid email")</f>
        <v>pooja.shah@company.com</v>
      </c>
      <c r="AA464" t="str">
        <f ca="1">IF(H463="","",IFERROR(DATEDIF(IF(ISNUMBER(H463),H463,DATE(VALUE(RIGHT(H463,4)),VALUE(MID(H463,3,2)),VALUE(LEFT(H463,2)))),TODAY(),"Y"),""))</f>
        <v/>
      </c>
      <c r="AB464" t="str">
        <f>IF(OR(D464="",E464=""),"",IFERROR(DATE(MID(E464,7,4),MID(E464,4,2),LEFT(E464,2))-DATE(MID(D464,7,4),MID(D464,4,2),LEFT(D464,2)),""))</f>
        <v/>
      </c>
      <c r="AC464" t="str">
        <f>IF(E464="","Pending",IF(AB464&lt;=5,"On time","Delayed"))</f>
        <v>Delayed</v>
      </c>
      <c r="AD464" s="29" t="str">
        <f>IF(TRIM(S464)="","Not Assigned",S464)</f>
        <v>Neha</v>
      </c>
      <c r="AE464" t="str">
        <f>PROPER(TRIM(F464))</f>
        <v>Pooja Shah</v>
      </c>
      <c r="AF464" t="str">
        <f>PROPER(TRIM(K464))</f>
        <v>Home Appliances</v>
      </c>
      <c r="AG464" t="str">
        <f>PROPER(TRIM(J464))</f>
        <v>West</v>
      </c>
      <c r="AH464" t="str">
        <f t="shared" si="14"/>
        <v>Home Appliances</v>
      </c>
      <c r="AI464" t="str">
        <f t="shared" si="15"/>
        <v>Home Appliances</v>
      </c>
      <c r="AK464">
        <f>IF(COUNTIF($A$2:A464,A464)=1,1,0)</f>
        <v>1</v>
      </c>
    </row>
    <row r="465" spans="1:37">
      <c r="A465" s="9" t="s">
        <v>1141</v>
      </c>
      <c r="B465" s="10" t="s">
        <v>249</v>
      </c>
      <c r="C465" s="10" t="s">
        <v>362</v>
      </c>
      <c r="D465" s="11">
        <v>45873</v>
      </c>
      <c r="E465" s="11">
        <v>45995</v>
      </c>
      <c r="F465" s="10" t="s">
        <v>251</v>
      </c>
      <c r="G465" s="10" t="s">
        <v>239</v>
      </c>
      <c r="H465" s="10" t="s">
        <v>1142</v>
      </c>
      <c r="I465" s="10" t="s">
        <v>306</v>
      </c>
      <c r="J465" s="10" t="s">
        <v>287</v>
      </c>
      <c r="K465" s="10" t="s">
        <v>295</v>
      </c>
      <c r="L465" s="10" t="s">
        <v>363</v>
      </c>
      <c r="M465" s="10">
        <v>11</v>
      </c>
      <c r="N465" s="10">
        <v>45</v>
      </c>
      <c r="O465" s="10">
        <v>15</v>
      </c>
      <c r="P465" s="10">
        <v>420.75</v>
      </c>
      <c r="Q465" s="10">
        <v>4</v>
      </c>
      <c r="R465" s="10" t="s">
        <v>272</v>
      </c>
      <c r="S465" s="10" t="s">
        <v>246</v>
      </c>
      <c r="T465" s="10" t="s">
        <v>264</v>
      </c>
      <c r="U465" s="10">
        <v>9519293104</v>
      </c>
      <c r="V465" s="12" t="s">
        <v>248</v>
      </c>
      <c r="W465" t="str">
        <f>IF(OR(Q465&lt;=2,V465="Cancelled"),"Blacklisted",IF(AND(P465&gt;100000,Q465&gt;=4,O465&lt;=10%,V465="Completed"),"Platinum",IF(AND(P465&gt;=50000,Q465&gt;=3,V465="Completed"),"Gold",IF(AND(P465&lt;50000,V465="Completed"),"Silver",""))))</f>
        <v/>
      </c>
      <c r="X465" t="str">
        <f>PROPER(TRIM(F465))</f>
        <v>Kavya Nair</v>
      </c>
      <c r="Y465" t="str">
        <f>LEFT(F465,3)&amp;MID(B465,2,3)&amp;LEFT(I465,2)</f>
        <v>Kav008Ah</v>
      </c>
      <c r="Z465" t="str">
        <f>IF(ISNUMBER(SEARCH("@",T465)),LOWER(TRIM(T465)),"invalid email")</f>
        <v>kavya.nair@company.com</v>
      </c>
      <c r="AA465">
        <f ca="1">IF(H464="","",IFERROR(DATEDIF(IF(ISNUMBER(H464),H464,DATE(VALUE(RIGHT(H464,4)),VALUE(MID(H464,3,2)),VALUE(LEFT(H464,2)))),TODAY(),"Y"),""))</f>
        <v>38</v>
      </c>
      <c r="AB465" t="str">
        <f>IF(OR(D465="",E465=""),"",IFERROR(DATE(MID(E465,7,4),MID(E465,4,2),LEFT(E465,2))-DATE(MID(D465,7,4),MID(D465,4,2),LEFT(D465,2)),""))</f>
        <v/>
      </c>
      <c r="AC465" t="str">
        <f>IF(E465="","Pending",IF(AB465&lt;=5,"On time","Delayed"))</f>
        <v>Delayed</v>
      </c>
      <c r="AD465" s="29" t="str">
        <f>IF(TRIM(S465)="","Not Assigned",S465)</f>
        <v>Aisha</v>
      </c>
      <c r="AE465" t="str">
        <f>PROPER(TRIM(F465))</f>
        <v>Kavya Nair</v>
      </c>
      <c r="AF465" t="str">
        <f>PROPER(TRIM(K465))</f>
        <v>Stationery</v>
      </c>
      <c r="AG465" t="str">
        <f>PROPER(TRIM(J465))</f>
        <v>West</v>
      </c>
      <c r="AH465" t="str">
        <f t="shared" si="14"/>
        <v>Stationery</v>
      </c>
      <c r="AI465" t="str">
        <f t="shared" si="15"/>
        <v>Stationery</v>
      </c>
      <c r="AK465">
        <f>IF(COUNTIF($A$2:A465,A465)=1,1,0)</f>
        <v>1</v>
      </c>
    </row>
    <row r="466" spans="1:37">
      <c r="A466" s="4" t="s">
        <v>1143</v>
      </c>
      <c r="B466" s="5" t="s">
        <v>284</v>
      </c>
      <c r="C466" s="5" t="s">
        <v>294</v>
      </c>
      <c r="D466" s="5" t="s">
        <v>89</v>
      </c>
      <c r="E466" s="5" t="s">
        <v>196</v>
      </c>
      <c r="F466" s="5" t="s">
        <v>285</v>
      </c>
      <c r="G466" s="5" t="s">
        <v>239</v>
      </c>
      <c r="H466" s="5" t="s">
        <v>1144</v>
      </c>
      <c r="I466" s="5" t="s">
        <v>286</v>
      </c>
      <c r="J466" s="5" t="s">
        <v>287</v>
      </c>
      <c r="K466" s="5" t="s">
        <v>295</v>
      </c>
      <c r="L466" s="5" t="s">
        <v>296</v>
      </c>
      <c r="M466" s="5">
        <v>16</v>
      </c>
      <c r="N466" s="5">
        <v>60</v>
      </c>
      <c r="O466" s="5">
        <v>5</v>
      </c>
      <c r="P466" s="5">
        <v>912</v>
      </c>
      <c r="Q466" s="5">
        <v>2</v>
      </c>
      <c r="R466" s="5" t="s">
        <v>254</v>
      </c>
      <c r="S466" s="5" t="s">
        <v>292</v>
      </c>
      <c r="T466" s="5" t="s">
        <v>308</v>
      </c>
      <c r="U466" s="5">
        <v>9296075245</v>
      </c>
      <c r="V466" s="8" t="s">
        <v>265</v>
      </c>
      <c r="W466" t="str">
        <f>IF(OR(Q466&lt;=2,V466="Cancelled"),"Blacklisted",IF(AND(P466&gt;100000,Q466&gt;=4,O466&lt;=10%,V466="Completed"),"Platinum",IF(AND(P466&gt;=50000,Q466&gt;=3,V466="Completed"),"Gold",IF(AND(P466&lt;50000,V466="Completed"),"Silver",""))))</f>
        <v>Blacklisted</v>
      </c>
      <c r="X466" t="str">
        <f>PROPER(TRIM(F466))</f>
        <v>Priya Patel</v>
      </c>
      <c r="Y466" t="str">
        <f>LEFT(F466,3)&amp;MID(B466,2,3)&amp;LEFT(I466,2)</f>
        <v>Pri002Mu</v>
      </c>
      <c r="Z466" t="str">
        <f>IF(ISNUMBER(SEARCH("@",T466)),LOWER(TRIM(T466)),"invalid email")</f>
        <v>priya.patel@company.com</v>
      </c>
      <c r="AA466" t="str">
        <f ca="1">IF(H465="","",IFERROR(DATEDIF(IF(ISNUMBER(H465),H465,DATE(VALUE(RIGHT(H465,4)),VALUE(MID(H465,3,2)),VALUE(LEFT(H465,2)))),TODAY(),"Y"),""))</f>
        <v/>
      </c>
      <c r="AB466">
        <f>IF(OR(D466="",E466=""),"",IFERROR(DATE(MID(E466,7,4),MID(E466,4,2),LEFT(E466,2))-DATE(MID(D466,7,4),MID(D466,4,2),LEFT(D466,2)),""))</f>
        <v>10</v>
      </c>
      <c r="AC466" t="str">
        <f>IF(E466="","Pending",IF(AB466&lt;=5,"On time","Delayed"))</f>
        <v>Delayed</v>
      </c>
      <c r="AD466" s="29" t="str">
        <f>IF(TRIM(S466)="","Not Assigned",S466)</f>
        <v>Neha</v>
      </c>
      <c r="AE466" t="str">
        <f>PROPER(TRIM(F466))</f>
        <v>Priya Patel</v>
      </c>
      <c r="AF466" t="str">
        <f>PROPER(TRIM(K466))</f>
        <v>Stationery</v>
      </c>
      <c r="AG466" t="str">
        <f>PROPER(TRIM(J466))</f>
        <v>West</v>
      </c>
      <c r="AH466" t="str">
        <f t="shared" si="14"/>
        <v>Stationery</v>
      </c>
      <c r="AI466" t="str">
        <f t="shared" si="15"/>
        <v>Stationery</v>
      </c>
      <c r="AK466">
        <f>IF(COUNTIF($A$2:A466,A466)=1,1,0)</f>
        <v>1</v>
      </c>
    </row>
    <row r="467" spans="1:37">
      <c r="A467" s="9" t="s">
        <v>1145</v>
      </c>
      <c r="B467" s="10" t="s">
        <v>392</v>
      </c>
      <c r="C467" s="10" t="s">
        <v>236</v>
      </c>
      <c r="D467" s="11">
        <v>45699</v>
      </c>
      <c r="E467" s="11">
        <v>45758</v>
      </c>
      <c r="F467" s="10" t="s">
        <v>323</v>
      </c>
      <c r="G467" s="10" t="s">
        <v>269</v>
      </c>
      <c r="H467" s="10" t="s">
        <v>1146</v>
      </c>
      <c r="I467" s="10" t="s">
        <v>291</v>
      </c>
      <c r="J467" s="10" t="s">
        <v>287</v>
      </c>
      <c r="K467" s="10" t="s">
        <v>243</v>
      </c>
      <c r="L467" s="10" t="s">
        <v>244</v>
      </c>
      <c r="M467" s="10">
        <v>18</v>
      </c>
      <c r="N467" s="10">
        <v>55000</v>
      </c>
      <c r="O467" s="10">
        <v>0</v>
      </c>
      <c r="P467" s="10">
        <v>990000</v>
      </c>
      <c r="Q467" s="10">
        <v>5</v>
      </c>
      <c r="R467" s="10" t="s">
        <v>245</v>
      </c>
      <c r="S467" s="10" t="s">
        <v>263</v>
      </c>
      <c r="T467" s="10" t="s">
        <v>395</v>
      </c>
      <c r="U467" s="10">
        <v>9316770206</v>
      </c>
      <c r="V467" s="12" t="s">
        <v>248</v>
      </c>
      <c r="W467" t="str">
        <f>IF(OR(Q467&lt;=2,V467="Cancelled"),"Blacklisted",IF(AND(P467&gt;100000,Q467&gt;=4,O467&lt;=10%,V467="Completed"),"Platinum",IF(AND(P467&gt;=50000,Q467&gt;=3,V467="Completed"),"Gold",IF(AND(P467&lt;50000,V467="Completed"),"Silver",""))))</f>
        <v/>
      </c>
      <c r="X467" t="str">
        <f>PROPER(TRIM(F467))</f>
        <v>Amit Sharma</v>
      </c>
      <c r="Y467" t="str">
        <f>LEFT(F467,3)&amp;MID(B467,2,3)&amp;LEFT(I467,2)</f>
        <v>Ami001Pu</v>
      </c>
      <c r="Z467" t="str">
        <f>IF(ISNUMBER(SEARCH("@",T467)),LOWER(TRIM(T467)),"invalid email")</f>
        <v>amit.sharma@company.com</v>
      </c>
      <c r="AA467" t="str">
        <f ca="1">IF(H466="","",IFERROR(DATEDIF(IF(ISNUMBER(H466),H466,DATE(VALUE(RIGHT(H466,4)),VALUE(MID(H466,3,2)),VALUE(LEFT(H466,2)))),TODAY(),"Y"),""))</f>
        <v/>
      </c>
      <c r="AB467" t="str">
        <f>IF(OR(D467="",E467=""),"",IFERROR(DATE(MID(E467,7,4),MID(E467,4,2),LEFT(E467,2))-DATE(MID(D467,7,4),MID(D467,4,2),LEFT(D467,2)),""))</f>
        <v/>
      </c>
      <c r="AC467" t="str">
        <f>IF(E467="","Pending",IF(AB467&lt;=5,"On time","Delayed"))</f>
        <v>Delayed</v>
      </c>
      <c r="AD467" s="29" t="str">
        <f>IF(TRIM(S467)="","Not Assigned",S467)</f>
        <v>Rahul</v>
      </c>
      <c r="AE467" t="str">
        <f>PROPER(TRIM(F467))</f>
        <v>Amit Sharma</v>
      </c>
      <c r="AF467" t="str">
        <f>PROPER(TRIM(K467))</f>
        <v>Electronics</v>
      </c>
      <c r="AG467" t="str">
        <f>PROPER(TRIM(J467))</f>
        <v>West</v>
      </c>
      <c r="AH467" t="str">
        <f t="shared" si="14"/>
        <v>Electronics</v>
      </c>
      <c r="AI467" t="str">
        <f t="shared" si="15"/>
        <v>Electronics</v>
      </c>
      <c r="AK467">
        <f>IF(COUNTIF($A$2:A467,A467)=1,1,0)</f>
        <v>1</v>
      </c>
    </row>
    <row r="468" spans="1:37">
      <c r="A468" s="4" t="s">
        <v>1147</v>
      </c>
      <c r="B468" s="5" t="s">
        <v>249</v>
      </c>
      <c r="C468" s="5" t="s">
        <v>267</v>
      </c>
      <c r="D468" s="5" t="s">
        <v>71</v>
      </c>
      <c r="E468" s="5" t="s">
        <v>116</v>
      </c>
      <c r="F468" s="5" t="s">
        <v>251</v>
      </c>
      <c r="G468" s="5" t="s">
        <v>239</v>
      </c>
      <c r="H468" s="5" t="s">
        <v>1148</v>
      </c>
      <c r="I468" s="5" t="s">
        <v>241</v>
      </c>
      <c r="J468" s="5" t="s">
        <v>242</v>
      </c>
      <c r="K468" s="5" t="s">
        <v>243</v>
      </c>
      <c r="L468" s="5" t="s">
        <v>271</v>
      </c>
      <c r="M468" s="5">
        <v>17</v>
      </c>
      <c r="N468" s="5">
        <v>1200</v>
      </c>
      <c r="O468" s="5">
        <v>5</v>
      </c>
      <c r="P468" s="5">
        <v>19380</v>
      </c>
      <c r="Q468" s="5">
        <v>1</v>
      </c>
      <c r="R468" s="5" t="s">
        <v>245</v>
      </c>
      <c r="S468" s="5" t="s">
        <v>255</v>
      </c>
      <c r="T468" s="5" t="s">
        <v>264</v>
      </c>
      <c r="U468" s="5">
        <v>9706553861</v>
      </c>
      <c r="V468" s="8" t="s">
        <v>248</v>
      </c>
      <c r="W468" t="str">
        <f>IF(OR(Q468&lt;=2,V468="Cancelled"),"Blacklisted",IF(AND(P468&gt;100000,Q468&gt;=4,O468&lt;=10%,V468="Completed"),"Platinum",IF(AND(P468&gt;=50000,Q468&gt;=3,V468="Completed"),"Gold",IF(AND(P468&lt;50000,V468="Completed"),"Silver",""))))</f>
        <v>Blacklisted</v>
      </c>
      <c r="X468" t="str">
        <f>PROPER(TRIM(F468))</f>
        <v>Kavya Nair</v>
      </c>
      <c r="Y468" t="str">
        <f>LEFT(F468,3)&amp;MID(B468,2,3)&amp;LEFT(I468,2)</f>
        <v>Kav008Be</v>
      </c>
      <c r="Z468" t="str">
        <f>IF(ISNUMBER(SEARCH("@",T468)),LOWER(TRIM(T468)),"invalid email")</f>
        <v>kavya.nair@company.com</v>
      </c>
      <c r="AA468" t="str">
        <f ca="1">IF(H467="","",IFERROR(DATEDIF(IF(ISNUMBER(H467),H467,DATE(VALUE(RIGHT(H467,4)),VALUE(MID(H467,3,2)),VALUE(LEFT(H467,2)))),TODAY(),"Y"),""))</f>
        <v/>
      </c>
      <c r="AB468">
        <f>IF(OR(D468="",E468=""),"",IFERROR(DATE(MID(E468,7,4),MID(E468,4,2),LEFT(E468,2))-DATE(MID(D468,7,4),MID(D468,4,2),LEFT(D468,2)),""))</f>
        <v>4</v>
      </c>
      <c r="AC468" t="str">
        <f>IF(E468="","Pending",IF(AB468&lt;=5,"On time","Delayed"))</f>
        <v>On time</v>
      </c>
      <c r="AD468" s="29" t="str">
        <f>IF(TRIM(S468)="","Not Assigned",S468)</f>
        <v>Ritika</v>
      </c>
      <c r="AE468" t="str">
        <f>PROPER(TRIM(F468))</f>
        <v>Kavya Nair</v>
      </c>
      <c r="AF468" t="str">
        <f>PROPER(TRIM(K468))</f>
        <v>Electronics</v>
      </c>
      <c r="AG468" t="str">
        <f>PROPER(TRIM(J468))</f>
        <v>South</v>
      </c>
      <c r="AH468" t="str">
        <f t="shared" si="14"/>
        <v>Electronics</v>
      </c>
      <c r="AI468" t="str">
        <f t="shared" si="15"/>
        <v>Electronics</v>
      </c>
      <c r="AK468">
        <f>IF(COUNTIF($A$2:A468,A468)=1,1,0)</f>
        <v>1</v>
      </c>
    </row>
    <row r="469" spans="1:37">
      <c r="A469" s="9" t="s">
        <v>1149</v>
      </c>
      <c r="B469" s="10" t="s">
        <v>235</v>
      </c>
      <c r="C469" s="10" t="s">
        <v>236</v>
      </c>
      <c r="D469" s="10" t="s">
        <v>165</v>
      </c>
      <c r="E469" s="11">
        <v>45782</v>
      </c>
      <c r="F469" s="10" t="s">
        <v>318</v>
      </c>
      <c r="G469" s="10" t="s">
        <v>239</v>
      </c>
      <c r="H469" s="11">
        <v>36924</v>
      </c>
      <c r="I469" s="10" t="s">
        <v>291</v>
      </c>
      <c r="J469" s="10" t="s">
        <v>287</v>
      </c>
      <c r="K469" s="10" t="s">
        <v>243</v>
      </c>
      <c r="L469" s="10" t="s">
        <v>244</v>
      </c>
      <c r="M469" s="10">
        <v>11</v>
      </c>
      <c r="N469" s="10">
        <v>55000</v>
      </c>
      <c r="O469" s="10">
        <v>0</v>
      </c>
      <c r="P469" s="10">
        <v>605000</v>
      </c>
      <c r="Q469" s="10">
        <v>2</v>
      </c>
      <c r="R469" s="10" t="s">
        <v>254</v>
      </c>
      <c r="S469" s="10" t="s">
        <v>246</v>
      </c>
      <c r="T469" s="10" t="s">
        <v>247</v>
      </c>
      <c r="U469" s="10">
        <v>9524904662</v>
      </c>
      <c r="V469" s="12" t="s">
        <v>248</v>
      </c>
      <c r="W469" t="str">
        <f>IF(OR(Q469&lt;=2,V469="Cancelled"),"Blacklisted",IF(AND(P469&gt;100000,Q469&gt;=4,O469&lt;=10%,V469="Completed"),"Platinum",IF(AND(P469&gt;=50000,Q469&gt;=3,V469="Completed"),"Gold",IF(AND(P469&lt;50000,V469="Completed"),"Silver",""))))</f>
        <v>Blacklisted</v>
      </c>
      <c r="X469" t="str">
        <f>PROPER(TRIM(F469))</f>
        <v>Pooja Shah</v>
      </c>
      <c r="Y469" t="str">
        <f>LEFT(F469,3)&amp;MID(B469,2,3)&amp;LEFT(I469,2)</f>
        <v>Poo010Pu</v>
      </c>
      <c r="Z469" t="str">
        <f>IF(ISNUMBER(SEARCH("@",T469)),LOWER(TRIM(T469)),"invalid email")</f>
        <v>pooja.shah@company.com</v>
      </c>
      <c r="AA469" t="str">
        <f ca="1">IF(H468="","",IFERROR(DATEDIF(IF(ISNUMBER(H468),H468,DATE(VALUE(RIGHT(H468,4)),VALUE(MID(H468,3,2)),VALUE(LEFT(H468,2)))),TODAY(),"Y"),""))</f>
        <v/>
      </c>
      <c r="AB469" t="str">
        <f>IF(OR(D469="",E469=""),"",IFERROR(DATE(MID(E469,7,4),MID(E469,4,2),LEFT(E469,2))-DATE(MID(D469,7,4),MID(D469,4,2),LEFT(D469,2)),""))</f>
        <v/>
      </c>
      <c r="AC469" t="str">
        <f>IF(E469="","Pending",IF(AB469&lt;=5,"On time","Delayed"))</f>
        <v>Delayed</v>
      </c>
      <c r="AD469" s="29" t="str">
        <f>IF(TRIM(S469)="","Not Assigned",S469)</f>
        <v>Aisha</v>
      </c>
      <c r="AE469" t="str">
        <f>PROPER(TRIM(F469))</f>
        <v>Pooja Shah</v>
      </c>
      <c r="AF469" t="str">
        <f>PROPER(TRIM(K469))</f>
        <v>Electronics</v>
      </c>
      <c r="AG469" t="str">
        <f>PROPER(TRIM(J469))</f>
        <v>West</v>
      </c>
      <c r="AH469" t="str">
        <f t="shared" si="14"/>
        <v>Electronics</v>
      </c>
      <c r="AI469" t="str">
        <f t="shared" si="15"/>
        <v>Electronics</v>
      </c>
      <c r="AK469">
        <f>IF(COUNTIF($A$2:A469,A469)=1,1,0)</f>
        <v>1</v>
      </c>
    </row>
    <row r="470" spans="1:37">
      <c r="A470" s="4" t="s">
        <v>1150</v>
      </c>
      <c r="B470" s="5" t="s">
        <v>358</v>
      </c>
      <c r="C470" s="5" t="s">
        <v>330</v>
      </c>
      <c r="D470" s="5" t="s">
        <v>112</v>
      </c>
      <c r="E470" s="5" t="s">
        <v>204</v>
      </c>
      <c r="F470" s="5" t="s">
        <v>359</v>
      </c>
      <c r="G470" s="5" t="s">
        <v>239</v>
      </c>
      <c r="H470" s="6">
        <v>36405</v>
      </c>
      <c r="I470" s="5" t="s">
        <v>260</v>
      </c>
      <c r="J470" s="5" t="s">
        <v>261</v>
      </c>
      <c r="K470" s="5" t="s">
        <v>243</v>
      </c>
      <c r="L470" s="5" t="s">
        <v>333</v>
      </c>
      <c r="M470" s="5">
        <v>20</v>
      </c>
      <c r="N470" s="5">
        <v>700</v>
      </c>
      <c r="O470" s="5">
        <v>20</v>
      </c>
      <c r="P470" s="5">
        <v>11200</v>
      </c>
      <c r="Q470" s="5">
        <v>5</v>
      </c>
      <c r="R470" s="5" t="s">
        <v>245</v>
      </c>
      <c r="S470" s="5" t="s">
        <v>246</v>
      </c>
      <c r="T470" s="5" t="s">
        <v>360</v>
      </c>
      <c r="U470" s="5">
        <v>9577624596</v>
      </c>
      <c r="V470" s="8" t="s">
        <v>257</v>
      </c>
      <c r="W470" t="str">
        <f>IF(OR(Q470&lt;=2,V470="Cancelled"),"Blacklisted",IF(AND(P470&gt;100000,Q470&gt;=4,O470&lt;=10%,V470="Completed"),"Platinum",IF(AND(P470&gt;=50000,Q470&gt;=3,V470="Completed"),"Gold",IF(AND(P470&lt;50000,V470="Completed"),"Silver",""))))</f>
        <v>Silver</v>
      </c>
      <c r="X470" t="str">
        <f>PROPER(TRIM(F470))</f>
        <v>Sneha Joshi</v>
      </c>
      <c r="Y470" t="str">
        <f>LEFT(F470,3)&amp;MID(B470,2,3)&amp;LEFT(I470,2)</f>
        <v>Sne006De</v>
      </c>
      <c r="Z470" t="str">
        <f>IF(ISNUMBER(SEARCH("@",T470)),LOWER(TRIM(T470)),"invalid email")</f>
        <v>sneha.joshi@company.com</v>
      </c>
      <c r="AA470">
        <f ca="1">IF(H469="","",IFERROR(DATEDIF(IF(ISNUMBER(H469),H469,DATE(VALUE(RIGHT(H469,4)),VALUE(MID(H469,3,2)),VALUE(LEFT(H469,2)))),TODAY(),"Y"),""))</f>
        <v>25</v>
      </c>
      <c r="AB470">
        <f>IF(OR(D470="",E470=""),"",IFERROR(DATE(MID(E470,7,4),MID(E470,4,2),LEFT(E470,2))-DATE(MID(D470,7,4),MID(D470,4,2),LEFT(D470,2)),""))</f>
        <v>9</v>
      </c>
      <c r="AC470" t="str">
        <f>IF(E470="","Pending",IF(AB470&lt;=5,"On time","Delayed"))</f>
        <v>Delayed</v>
      </c>
      <c r="AD470" s="29" t="str">
        <f>IF(TRIM(S470)="","Not Assigned",S470)</f>
        <v>Aisha</v>
      </c>
      <c r="AE470" t="str">
        <f>PROPER(TRIM(F470))</f>
        <v>Sneha Joshi</v>
      </c>
      <c r="AF470" t="str">
        <f>PROPER(TRIM(K470))</f>
        <v>Electronics</v>
      </c>
      <c r="AG470" t="str">
        <f>PROPER(TRIM(J470))</f>
        <v>North</v>
      </c>
      <c r="AH470" t="str">
        <f t="shared" si="14"/>
        <v>Electronics</v>
      </c>
      <c r="AI470" t="str">
        <f t="shared" si="15"/>
        <v>Electronics</v>
      </c>
      <c r="AK470">
        <f>IF(COUNTIF($A$2:A470,A470)=1,1,0)</f>
        <v>1</v>
      </c>
    </row>
    <row r="471" spans="1:37">
      <c r="A471" s="9" t="s">
        <v>1151</v>
      </c>
      <c r="B471" s="10" t="s">
        <v>266</v>
      </c>
      <c r="C471" s="10" t="s">
        <v>347</v>
      </c>
      <c r="D471" s="10" t="s">
        <v>174</v>
      </c>
      <c r="E471" s="11">
        <v>46236</v>
      </c>
      <c r="F471" s="10" t="s">
        <v>268</v>
      </c>
      <c r="G471" s="10" t="s">
        <v>269</v>
      </c>
      <c r="H471" s="11">
        <v>32299</v>
      </c>
      <c r="I471" s="10" t="s">
        <v>260</v>
      </c>
      <c r="J471" s="10" t="s">
        <v>261</v>
      </c>
      <c r="K471" s="10" t="s">
        <v>295</v>
      </c>
      <c r="L471" s="10" t="s">
        <v>349</v>
      </c>
      <c r="M471" s="10">
        <v>5</v>
      </c>
      <c r="N471" s="10">
        <v>20</v>
      </c>
      <c r="O471" s="10">
        <v>5</v>
      </c>
      <c r="P471" s="10">
        <v>95</v>
      </c>
      <c r="Q471" s="10">
        <v>4</v>
      </c>
      <c r="R471" s="10" t="s">
        <v>254</v>
      </c>
      <c r="S471" s="10" t="s">
        <v>263</v>
      </c>
      <c r="T471" s="10" t="s">
        <v>273</v>
      </c>
      <c r="U471" s="10">
        <v>9898452436</v>
      </c>
      <c r="V471" s="12" t="s">
        <v>265</v>
      </c>
      <c r="W471" t="str">
        <f>IF(OR(Q471&lt;=2,V471="Cancelled"),"Blacklisted",IF(AND(P471&gt;100000,Q471&gt;=4,O471&lt;=10%,V471="Completed"),"Platinum",IF(AND(P471&gt;=50000,Q471&gt;=3,V471="Completed"),"Gold",IF(AND(P471&lt;50000,V471="Completed"),"Silver",""))))</f>
        <v>Blacklisted</v>
      </c>
      <c r="X471" t="str">
        <f>PROPER(TRIM(F471))</f>
        <v>Mohit Verma</v>
      </c>
      <c r="Y471" t="str">
        <f>LEFT(F471,3)&amp;MID(B471,2,3)&amp;LEFT(I471,2)</f>
        <v>Moh009De</v>
      </c>
      <c r="Z471" t="str">
        <f>IF(ISNUMBER(SEARCH("@",T471)),LOWER(TRIM(T471)),"invalid email")</f>
        <v>mohit.verma@company.com</v>
      </c>
      <c r="AA471">
        <f ca="1">IF(H470="","",IFERROR(DATEDIF(IF(ISNUMBER(H470),H470,DATE(VALUE(RIGHT(H470,4)),VALUE(MID(H470,3,2)),VALUE(LEFT(H470,2)))),TODAY(),"Y"),""))</f>
        <v>27</v>
      </c>
      <c r="AB471" t="str">
        <f>IF(OR(D471="",E471=""),"",IFERROR(DATE(MID(E471,7,4),MID(E471,4,2),LEFT(E471,2))-DATE(MID(D471,7,4),MID(D471,4,2),LEFT(D471,2)),""))</f>
        <v/>
      </c>
      <c r="AC471" t="str">
        <f>IF(E471="","Pending",IF(AB471&lt;=5,"On time","Delayed"))</f>
        <v>Delayed</v>
      </c>
      <c r="AD471" s="29" t="str">
        <f>IF(TRIM(S471)="","Not Assigned",S471)</f>
        <v>Rahul</v>
      </c>
      <c r="AE471" t="str">
        <f>PROPER(TRIM(F471))</f>
        <v>Mohit Verma</v>
      </c>
      <c r="AF471" t="str">
        <f>PROPER(TRIM(K471))</f>
        <v>Stationery</v>
      </c>
      <c r="AG471" t="str">
        <f>PROPER(TRIM(J471))</f>
        <v>North</v>
      </c>
      <c r="AH471" t="str">
        <f t="shared" si="14"/>
        <v>Stationery</v>
      </c>
      <c r="AI471" t="str">
        <f t="shared" si="15"/>
        <v>Stationery</v>
      </c>
      <c r="AK471">
        <f>IF(COUNTIF($A$2:A471,A471)=1,1,0)</f>
        <v>1</v>
      </c>
    </row>
    <row r="472" spans="1:37">
      <c r="A472" s="4" t="s">
        <v>1152</v>
      </c>
      <c r="B472" s="5" t="s">
        <v>392</v>
      </c>
      <c r="C472" s="5" t="s">
        <v>236</v>
      </c>
      <c r="D472" s="6">
        <v>45749</v>
      </c>
      <c r="E472" s="6">
        <v>45963</v>
      </c>
      <c r="F472" s="5" t="s">
        <v>323</v>
      </c>
      <c r="G472" s="5" t="s">
        <v>269</v>
      </c>
      <c r="H472" s="6">
        <v>27730</v>
      </c>
      <c r="I472" s="5" t="s">
        <v>286</v>
      </c>
      <c r="J472" s="5" t="s">
        <v>287</v>
      </c>
      <c r="K472" s="5" t="s">
        <v>243</v>
      </c>
      <c r="L472" s="5" t="s">
        <v>244</v>
      </c>
      <c r="M472" s="5">
        <v>13</v>
      </c>
      <c r="N472" s="5">
        <v>55000</v>
      </c>
      <c r="O472" s="5">
        <v>5</v>
      </c>
      <c r="P472" s="5">
        <v>679250</v>
      </c>
      <c r="Q472" s="5">
        <v>1</v>
      </c>
      <c r="R472" s="5" t="s">
        <v>245</v>
      </c>
      <c r="S472" s="5" t="s">
        <v>263</v>
      </c>
      <c r="T472" s="5" t="s">
        <v>395</v>
      </c>
      <c r="U472" s="5">
        <v>9960757012</v>
      </c>
      <c r="V472" s="8" t="s">
        <v>248</v>
      </c>
      <c r="W472" t="str">
        <f>IF(OR(Q472&lt;=2,V472="Cancelled"),"Blacklisted",IF(AND(P472&gt;100000,Q472&gt;=4,O472&lt;=10%,V472="Completed"),"Platinum",IF(AND(P472&gt;=50000,Q472&gt;=3,V472="Completed"),"Gold",IF(AND(P472&lt;50000,V472="Completed"),"Silver",""))))</f>
        <v>Blacklisted</v>
      </c>
      <c r="X472" t="str">
        <f>PROPER(TRIM(F472))</f>
        <v>Amit Sharma</v>
      </c>
      <c r="Y472" t="str">
        <f>LEFT(F472,3)&amp;MID(B472,2,3)&amp;LEFT(I472,2)</f>
        <v>Ami001Mu</v>
      </c>
      <c r="Z472" t="str">
        <f>IF(ISNUMBER(SEARCH("@",T472)),LOWER(TRIM(T472)),"invalid email")</f>
        <v>amit.sharma@company.com</v>
      </c>
      <c r="AA472">
        <f ca="1">IF(H471="","",IFERROR(DATEDIF(IF(ISNUMBER(H471),H471,DATE(VALUE(RIGHT(H471,4)),VALUE(MID(H471,3,2)),VALUE(LEFT(H471,2)))),TODAY(),"Y"),""))</f>
        <v>38</v>
      </c>
      <c r="AB472" t="str">
        <f>IF(OR(D472="",E472=""),"",IFERROR(DATE(MID(E472,7,4),MID(E472,4,2),LEFT(E472,2))-DATE(MID(D472,7,4),MID(D472,4,2),LEFT(D472,2)),""))</f>
        <v/>
      </c>
      <c r="AC472" t="str">
        <f>IF(E472="","Pending",IF(AB472&lt;=5,"On time","Delayed"))</f>
        <v>Delayed</v>
      </c>
      <c r="AD472" s="29" t="str">
        <f>IF(TRIM(S472)="","Not Assigned",S472)</f>
        <v>Rahul</v>
      </c>
      <c r="AE472" t="str">
        <f>PROPER(TRIM(F472))</f>
        <v>Amit Sharma</v>
      </c>
      <c r="AF472" t="str">
        <f>PROPER(TRIM(K472))</f>
        <v>Electronics</v>
      </c>
      <c r="AG472" t="str">
        <f>PROPER(TRIM(J472))</f>
        <v>West</v>
      </c>
      <c r="AH472" t="str">
        <f t="shared" si="14"/>
        <v>Electronics</v>
      </c>
      <c r="AI472" t="str">
        <f t="shared" si="15"/>
        <v>Electronics</v>
      </c>
      <c r="AK472">
        <f>IF(COUNTIF($A$2:A472,A472)=1,1,0)</f>
        <v>1</v>
      </c>
    </row>
    <row r="473" spans="1:37">
      <c r="A473" s="9" t="s">
        <v>1153</v>
      </c>
      <c r="B473" s="10" t="s">
        <v>299</v>
      </c>
      <c r="C473" s="10" t="s">
        <v>236</v>
      </c>
      <c r="D473" s="10" t="s">
        <v>77</v>
      </c>
      <c r="E473" s="10" t="s">
        <v>89</v>
      </c>
      <c r="F473" s="10" t="s">
        <v>301</v>
      </c>
      <c r="G473" s="10" t="s">
        <v>269</v>
      </c>
      <c r="H473" s="11">
        <v>37987</v>
      </c>
      <c r="I473" s="10" t="s">
        <v>379</v>
      </c>
      <c r="J473" s="10" t="s">
        <v>21</v>
      </c>
      <c r="K473" s="10" t="s">
        <v>243</v>
      </c>
      <c r="L473" s="10" t="s">
        <v>244</v>
      </c>
      <c r="M473" s="10">
        <v>12</v>
      </c>
      <c r="N473" s="10">
        <v>55000</v>
      </c>
      <c r="O473" s="10">
        <v>5</v>
      </c>
      <c r="P473" s="10">
        <v>627000</v>
      </c>
      <c r="Q473" s="10">
        <v>1</v>
      </c>
      <c r="R473" s="10" t="s">
        <v>245</v>
      </c>
      <c r="S473" s="10" t="s">
        <v>292</v>
      </c>
      <c r="T473" s="10" t="s">
        <v>302</v>
      </c>
      <c r="U473" s="10">
        <v>9331268182</v>
      </c>
      <c r="V473" s="12" t="s">
        <v>265</v>
      </c>
      <c r="W473" t="str">
        <f>IF(OR(Q473&lt;=2,V473="Cancelled"),"Blacklisted",IF(AND(P473&gt;100000,Q473&gt;=4,O473&lt;=10%,V473="Completed"),"Platinum",IF(AND(P473&gt;=50000,Q473&gt;=3,V473="Completed"),"Gold",IF(AND(P473&lt;50000,V473="Completed"),"Silver",""))))</f>
        <v>Blacklisted</v>
      </c>
      <c r="X473" t="str">
        <f>PROPER(TRIM(F473))</f>
        <v>Rohit Singh</v>
      </c>
      <c r="Y473" t="str">
        <f>LEFT(F473,3)&amp;MID(B473,2,3)&amp;LEFT(I473,2)</f>
        <v>Roh003Ko</v>
      </c>
      <c r="Z473" t="str">
        <f>IF(ISNUMBER(SEARCH("@",T473)),LOWER(TRIM(T473)),"invalid email")</f>
        <v>rohit.singh@company.com</v>
      </c>
      <c r="AA473">
        <f ca="1">IF(H472="","",IFERROR(DATEDIF(IF(ISNUMBER(H472),H472,DATE(VALUE(RIGHT(H472,4)),VALUE(MID(H472,3,2)),VALUE(LEFT(H472,2)))),TODAY(),"Y"),""))</f>
        <v>50</v>
      </c>
      <c r="AB473">
        <f>IF(OR(D473="",E473=""),"",IFERROR(DATE(MID(E473,7,4),MID(E473,4,2),LEFT(E473,2))-DATE(MID(D473,7,4),MID(D473,4,2),LEFT(D473,2)),""))</f>
        <v>1</v>
      </c>
      <c r="AC473" t="str">
        <f>IF(E473="","Pending",IF(AB473&lt;=5,"On time","Delayed"))</f>
        <v>On time</v>
      </c>
      <c r="AD473" s="29" t="str">
        <f>IF(TRIM(S473)="","Not Assigned",S473)</f>
        <v>Neha</v>
      </c>
      <c r="AE473" t="str">
        <f>PROPER(TRIM(F473))</f>
        <v>Rohit Singh</v>
      </c>
      <c r="AF473" t="str">
        <f>PROPER(TRIM(K473))</f>
        <v>Electronics</v>
      </c>
      <c r="AG473" t="str">
        <f>PROPER(TRIM(J473))</f>
        <v>East</v>
      </c>
      <c r="AH473" t="str">
        <f t="shared" si="14"/>
        <v>Electronics</v>
      </c>
      <c r="AI473" t="str">
        <f t="shared" si="15"/>
        <v>Electronics</v>
      </c>
      <c r="AK473">
        <f>IF(COUNTIF($A$2:A473,A473)=1,1,0)</f>
        <v>1</v>
      </c>
    </row>
    <row r="474" spans="1:37">
      <c r="A474" s="4" t="s">
        <v>1154</v>
      </c>
      <c r="B474" s="5" t="s">
        <v>235</v>
      </c>
      <c r="C474" s="5" t="s">
        <v>362</v>
      </c>
      <c r="D474" s="5" t="s">
        <v>96</v>
      </c>
      <c r="E474" s="5" t="s">
        <v>173</v>
      </c>
      <c r="F474" s="5" t="s">
        <v>318</v>
      </c>
      <c r="G474" s="5" t="s">
        <v>239</v>
      </c>
      <c r="H474" s="5" t="s">
        <v>1155</v>
      </c>
      <c r="I474" s="5" t="s">
        <v>286</v>
      </c>
      <c r="J474" s="5" t="s">
        <v>287</v>
      </c>
      <c r="K474" s="5" t="s">
        <v>295</v>
      </c>
      <c r="L474" s="5" t="s">
        <v>363</v>
      </c>
      <c r="M474" s="5">
        <v>16</v>
      </c>
      <c r="N474" s="5">
        <v>45</v>
      </c>
      <c r="O474" s="5">
        <v>20</v>
      </c>
      <c r="P474" s="5">
        <v>576</v>
      </c>
      <c r="Q474" s="5">
        <v>2</v>
      </c>
      <c r="R474" s="5" t="s">
        <v>254</v>
      </c>
      <c r="S474" s="5" t="s">
        <v>263</v>
      </c>
      <c r="T474" s="5" t="s">
        <v>247</v>
      </c>
      <c r="U474" s="5">
        <v>9135996862</v>
      </c>
      <c r="V474" s="8" t="s">
        <v>248</v>
      </c>
      <c r="W474" t="str">
        <f>IF(OR(Q474&lt;=2,V474="Cancelled"),"Blacklisted",IF(AND(P474&gt;100000,Q474&gt;=4,O474&lt;=10%,V474="Completed"),"Platinum",IF(AND(P474&gt;=50000,Q474&gt;=3,V474="Completed"),"Gold",IF(AND(P474&lt;50000,V474="Completed"),"Silver",""))))</f>
        <v>Blacklisted</v>
      </c>
      <c r="X474" t="str">
        <f>PROPER(TRIM(F474))</f>
        <v>Pooja Shah</v>
      </c>
      <c r="Y474" t="str">
        <f>LEFT(F474,3)&amp;MID(B474,2,3)&amp;LEFT(I474,2)</f>
        <v>Poo010Mu</v>
      </c>
      <c r="Z474" t="str">
        <f>IF(ISNUMBER(SEARCH("@",T474)),LOWER(TRIM(T474)),"invalid email")</f>
        <v>pooja.shah@company.com</v>
      </c>
      <c r="AA474">
        <f ca="1">IF(H473="","",IFERROR(DATEDIF(IF(ISNUMBER(H473),H473,DATE(VALUE(RIGHT(H473,4)),VALUE(MID(H473,3,2)),VALUE(LEFT(H473,2)))),TODAY(),"Y"),""))</f>
        <v>22</v>
      </c>
      <c r="AB474">
        <f>IF(OR(D474="",E474=""),"",IFERROR(DATE(MID(E474,7,4),MID(E474,4,2),LEFT(E474,2))-DATE(MID(D474,7,4),MID(D474,4,2),LEFT(D474,2)),""))</f>
        <v>7</v>
      </c>
      <c r="AC474" t="str">
        <f>IF(E474="","Pending",IF(AB474&lt;=5,"On time","Delayed"))</f>
        <v>Delayed</v>
      </c>
      <c r="AD474" s="29" t="str">
        <f>IF(TRIM(S474)="","Not Assigned",S474)</f>
        <v>Rahul</v>
      </c>
      <c r="AE474" t="str">
        <f>PROPER(TRIM(F474))</f>
        <v>Pooja Shah</v>
      </c>
      <c r="AF474" t="str">
        <f>PROPER(TRIM(K474))</f>
        <v>Stationery</v>
      </c>
      <c r="AG474" t="str">
        <f>PROPER(TRIM(J474))</f>
        <v>West</v>
      </c>
      <c r="AH474" t="str">
        <f t="shared" si="14"/>
        <v>Stationery</v>
      </c>
      <c r="AI474" t="str">
        <f t="shared" si="15"/>
        <v>Stationery</v>
      </c>
      <c r="AK474">
        <f>IF(COUNTIF($A$2:A474,A474)=1,1,0)</f>
        <v>1</v>
      </c>
    </row>
    <row r="475" spans="1:37">
      <c r="A475" s="9" t="s">
        <v>1156</v>
      </c>
      <c r="B475" s="10" t="s">
        <v>249</v>
      </c>
      <c r="C475" s="10" t="s">
        <v>267</v>
      </c>
      <c r="D475" s="10" t="s">
        <v>70</v>
      </c>
      <c r="E475" s="10" t="s">
        <v>170</v>
      </c>
      <c r="F475" s="10" t="s">
        <v>251</v>
      </c>
      <c r="G475" s="10" t="s">
        <v>239</v>
      </c>
      <c r="H475" s="10" t="s">
        <v>1157</v>
      </c>
      <c r="I475" s="10" t="s">
        <v>241</v>
      </c>
      <c r="J475" s="10" t="s">
        <v>242</v>
      </c>
      <c r="K475" s="10" t="s">
        <v>243</v>
      </c>
      <c r="L475" s="10" t="s">
        <v>271</v>
      </c>
      <c r="M475" s="10">
        <v>5</v>
      </c>
      <c r="N475" s="10">
        <v>1200</v>
      </c>
      <c r="O475" s="10">
        <v>10</v>
      </c>
      <c r="P475" s="10">
        <v>5400</v>
      </c>
      <c r="Q475" s="10">
        <v>1</v>
      </c>
      <c r="R475" s="10" t="s">
        <v>254</v>
      </c>
      <c r="S475" s="10" t="s">
        <v>1224</v>
      </c>
      <c r="T475" s="13" t="s">
        <v>1158</v>
      </c>
      <c r="U475" s="10">
        <v>9540813143</v>
      </c>
      <c r="V475" s="12" t="s">
        <v>257</v>
      </c>
      <c r="W475" t="str">
        <f>IF(OR(Q475&lt;=2,V475="Cancelled"),"Blacklisted",IF(AND(P475&gt;100000,Q475&gt;=4,O475&lt;=10%,V475="Completed"),"Platinum",IF(AND(P475&gt;=50000,Q475&gt;=3,V475="Completed"),"Gold",IF(AND(P475&lt;50000,V475="Completed"),"Silver",""))))</f>
        <v>Blacklisted</v>
      </c>
      <c r="X475" t="str">
        <f>PROPER(TRIM(F475))</f>
        <v>Kavya Nair</v>
      </c>
      <c r="Y475" t="str">
        <f>LEFT(F475,3)&amp;MID(B475,2,3)&amp;LEFT(I475,2)</f>
        <v>Kav008Be</v>
      </c>
      <c r="Z475" t="str">
        <f>IF(ISNUMBER(SEARCH("@",T475)),LOWER(TRIM(T475)),"invalid email")</f>
        <v>kavya.nair@company.com</v>
      </c>
      <c r="AA475" t="str">
        <f ca="1">IF(H474="","",IFERROR(DATEDIF(IF(ISNUMBER(H474),H474,DATE(VALUE(RIGHT(H474,4)),VALUE(MID(H474,3,2)),VALUE(LEFT(H474,2)))),TODAY(),"Y"),""))</f>
        <v/>
      </c>
      <c r="AB475">
        <f>IF(OR(D475="",E475=""),"",IFERROR(DATE(MID(E475,7,4),MID(E475,4,2),LEFT(E475,2))-DATE(MID(D475,7,4),MID(D475,4,2),LEFT(D475,2)),""))</f>
        <v>9</v>
      </c>
      <c r="AC475" t="str">
        <f>IF(E475="","Pending",IF(AB475&lt;=5,"On time","Delayed"))</f>
        <v>Delayed</v>
      </c>
      <c r="AD475" s="29" t="str">
        <f>IF(TRIM(S475)="","Not Assigned",S475)</f>
        <v>Not Assigned</v>
      </c>
      <c r="AE475" t="str">
        <f>PROPER(TRIM(F475))</f>
        <v>Kavya Nair</v>
      </c>
      <c r="AF475" t="str">
        <f>PROPER(TRIM(K475))</f>
        <v>Electronics</v>
      </c>
      <c r="AG475" t="str">
        <f>PROPER(TRIM(J475))</f>
        <v>South</v>
      </c>
      <c r="AH475" t="str">
        <f t="shared" si="14"/>
        <v>Electronics</v>
      </c>
      <c r="AI475" t="str">
        <f t="shared" si="15"/>
        <v>Electronics</v>
      </c>
      <c r="AK475">
        <f>IF(COUNTIF($A$2:A475,A475)=1,1,0)</f>
        <v>1</v>
      </c>
    </row>
    <row r="476" spans="1:37">
      <c r="A476" s="4" t="s">
        <v>1159</v>
      </c>
      <c r="B476" s="5" t="s">
        <v>321</v>
      </c>
      <c r="C476" s="5" t="s">
        <v>362</v>
      </c>
      <c r="D476" s="5" t="s">
        <v>84</v>
      </c>
      <c r="E476" s="5" t="s">
        <v>95</v>
      </c>
      <c r="F476" s="5" t="s">
        <v>408</v>
      </c>
      <c r="G476" s="5" t="s">
        <v>239</v>
      </c>
      <c r="H476" s="5" t="s">
        <v>1160</v>
      </c>
      <c r="I476" s="5" t="s">
        <v>379</v>
      </c>
      <c r="J476" s="5" t="s">
        <v>21</v>
      </c>
      <c r="K476" s="5" t="s">
        <v>295</v>
      </c>
      <c r="L476" s="5" t="s">
        <v>363</v>
      </c>
      <c r="M476" s="5">
        <v>2</v>
      </c>
      <c r="N476" s="5">
        <v>45</v>
      </c>
      <c r="O476" s="5">
        <v>10</v>
      </c>
      <c r="P476" s="5">
        <v>81</v>
      </c>
      <c r="Q476" s="5">
        <v>4</v>
      </c>
      <c r="R476" s="5" t="s">
        <v>277</v>
      </c>
      <c r="S476" s="5" t="s">
        <v>263</v>
      </c>
      <c r="T476" s="5" t="s">
        <v>326</v>
      </c>
      <c r="U476" s="5">
        <v>9910913552</v>
      </c>
      <c r="V476" s="8" t="s">
        <v>248</v>
      </c>
      <c r="W476" t="str">
        <f>IF(OR(Q476&lt;=2,V476="Cancelled"),"Blacklisted",IF(AND(P476&gt;100000,Q476&gt;=4,O476&lt;=10%,V476="Completed"),"Platinum",IF(AND(P476&gt;=50000,Q476&gt;=3,V476="Completed"),"Gold",IF(AND(P476&lt;50000,V476="Completed"),"Silver",""))))</f>
        <v/>
      </c>
      <c r="X476" t="str">
        <f>PROPER(TRIM(F476))</f>
        <v>Anita Gupta</v>
      </c>
      <c r="Y476" t="str">
        <f>LEFT(F476,3)&amp;MID(B476,2,3)&amp;LEFT(I476,2)</f>
        <v>Ani004Ko</v>
      </c>
      <c r="Z476" t="str">
        <f>IF(ISNUMBER(SEARCH("@",T476)),LOWER(TRIM(T476)),"invalid email")</f>
        <v>anita.gupta@company.com</v>
      </c>
      <c r="AA476" t="str">
        <f ca="1">IF(H475="","",IFERROR(DATEDIF(IF(ISNUMBER(H475),H475,DATE(VALUE(RIGHT(H475,4)),VALUE(MID(H475,3,2)),VALUE(LEFT(H475,2)))),TODAY(),"Y"),""))</f>
        <v/>
      </c>
      <c r="AB476">
        <f>IF(OR(D476="",E476=""),"",IFERROR(DATE(MID(E476,7,4),MID(E476,4,2),LEFT(E476,2))-DATE(MID(D476,7,4),MID(D476,4,2),LEFT(D476,2)),""))</f>
        <v>1</v>
      </c>
      <c r="AC476" t="str">
        <f>IF(E476="","Pending",IF(AB476&lt;=5,"On time","Delayed"))</f>
        <v>On time</v>
      </c>
      <c r="AD476" s="29" t="str">
        <f>IF(TRIM(S476)="","Not Assigned",S476)</f>
        <v>Rahul</v>
      </c>
      <c r="AE476" t="str">
        <f>PROPER(TRIM(F476))</f>
        <v>Anita Gupta</v>
      </c>
      <c r="AF476" t="str">
        <f>PROPER(TRIM(K476))</f>
        <v>Stationery</v>
      </c>
      <c r="AG476" t="str">
        <f>PROPER(TRIM(J476))</f>
        <v>East</v>
      </c>
      <c r="AH476" t="str">
        <f t="shared" si="14"/>
        <v>Stationery</v>
      </c>
      <c r="AI476" t="str">
        <f t="shared" si="15"/>
        <v>Stationery</v>
      </c>
      <c r="AK476">
        <f>IF(COUNTIF($A$2:A476,A476)=1,1,0)</f>
        <v>1</v>
      </c>
    </row>
    <row r="477" spans="1:37">
      <c r="A477" s="9" t="s">
        <v>1161</v>
      </c>
      <c r="B477" s="10" t="s">
        <v>299</v>
      </c>
      <c r="C477" s="10" t="s">
        <v>258</v>
      </c>
      <c r="D477" s="11">
        <v>46357</v>
      </c>
      <c r="E477" s="10" t="s">
        <v>63</v>
      </c>
      <c r="F477" s="10" t="s">
        <v>301</v>
      </c>
      <c r="G477" s="10" t="s">
        <v>269</v>
      </c>
      <c r="H477" s="11">
        <v>31201</v>
      </c>
      <c r="I477" s="10" t="s">
        <v>306</v>
      </c>
      <c r="J477" s="10" t="s">
        <v>287</v>
      </c>
      <c r="K477" s="10" t="s">
        <v>243</v>
      </c>
      <c r="L477" s="10" t="s">
        <v>262</v>
      </c>
      <c r="M477" s="10">
        <v>3</v>
      </c>
      <c r="N477" s="10">
        <v>12000</v>
      </c>
      <c r="O477" s="10">
        <v>0</v>
      </c>
      <c r="P477" s="10">
        <v>36000</v>
      </c>
      <c r="Q477" s="10">
        <v>2</v>
      </c>
      <c r="R477" s="10" t="s">
        <v>277</v>
      </c>
      <c r="S477" s="10" t="s">
        <v>312</v>
      </c>
      <c r="T477" s="10" t="s">
        <v>302</v>
      </c>
      <c r="U477" s="10">
        <v>9282751683</v>
      </c>
      <c r="V477" s="12" t="s">
        <v>248</v>
      </c>
      <c r="W477" t="str">
        <f>IF(OR(Q477&lt;=2,V477="Cancelled"),"Blacklisted",IF(AND(P477&gt;100000,Q477&gt;=4,O477&lt;=10%,V477="Completed"),"Platinum",IF(AND(P477&gt;=50000,Q477&gt;=3,V477="Completed"),"Gold",IF(AND(P477&lt;50000,V477="Completed"),"Silver",""))))</f>
        <v>Blacklisted</v>
      </c>
      <c r="X477" t="str">
        <f>PROPER(TRIM(F477))</f>
        <v>Rohit Singh</v>
      </c>
      <c r="Y477" t="str">
        <f>LEFT(F477,3)&amp;MID(B477,2,3)&amp;LEFT(I477,2)</f>
        <v>Roh003Ah</v>
      </c>
      <c r="Z477" t="str">
        <f>IF(ISNUMBER(SEARCH("@",T477)),LOWER(TRIM(T477)),"invalid email")</f>
        <v>rohit.singh@company.com</v>
      </c>
      <c r="AA477" t="str">
        <f ca="1">IF(H476="","",IFERROR(DATEDIF(IF(ISNUMBER(H476),H476,DATE(VALUE(RIGHT(H476,4)),VALUE(MID(H476,3,2)),VALUE(LEFT(H476,2)))),TODAY(),"Y"),""))</f>
        <v/>
      </c>
      <c r="AB477" t="str">
        <f>IF(OR(D477="",E477=""),"",IFERROR(DATE(MID(E477,7,4),MID(E477,4,2),LEFT(E477,2))-DATE(MID(D477,7,4),MID(D477,4,2),LEFT(D477,2)),""))</f>
        <v/>
      </c>
      <c r="AC477" t="str">
        <f>IF(E477="","Pending",IF(AB477&lt;=5,"On time","Delayed"))</f>
        <v>Delayed</v>
      </c>
      <c r="AD477" s="29" t="str">
        <f>IF(TRIM(S477)="","Not Assigned",S477)</f>
        <v>Karan</v>
      </c>
      <c r="AE477" t="str">
        <f>PROPER(TRIM(F477))</f>
        <v>Rohit Singh</v>
      </c>
      <c r="AF477" t="str">
        <f>PROPER(TRIM(K477))</f>
        <v>Electronics</v>
      </c>
      <c r="AG477" t="str">
        <f>PROPER(TRIM(J477))</f>
        <v>West</v>
      </c>
      <c r="AH477" t="str">
        <f t="shared" si="14"/>
        <v>Electronics</v>
      </c>
      <c r="AI477" t="str">
        <f t="shared" si="15"/>
        <v>Electronics</v>
      </c>
      <c r="AK477">
        <f>IF(COUNTIF($A$2:A477,A477)=1,1,0)</f>
        <v>1</v>
      </c>
    </row>
    <row r="478" spans="1:37">
      <c r="A478" s="4" t="s">
        <v>1162</v>
      </c>
      <c r="B478" s="5" t="s">
        <v>249</v>
      </c>
      <c r="C478" s="5" t="s">
        <v>258</v>
      </c>
      <c r="D478" s="5" t="s">
        <v>148</v>
      </c>
      <c r="E478" s="6">
        <v>45659</v>
      </c>
      <c r="F478" s="5" t="s">
        <v>251</v>
      </c>
      <c r="G478" s="5" t="s">
        <v>239</v>
      </c>
      <c r="H478" s="6">
        <v>31572</v>
      </c>
      <c r="I478" s="5" t="s">
        <v>241</v>
      </c>
      <c r="J478" s="5" t="s">
        <v>242</v>
      </c>
      <c r="K478" s="5" t="s">
        <v>243</v>
      </c>
      <c r="L478" s="5" t="s">
        <v>262</v>
      </c>
      <c r="M478" s="5">
        <v>3</v>
      </c>
      <c r="N478" s="5">
        <v>12000</v>
      </c>
      <c r="O478" s="5">
        <v>20</v>
      </c>
      <c r="P478" s="5">
        <v>28800</v>
      </c>
      <c r="Q478" s="5">
        <v>3</v>
      </c>
      <c r="R478" s="5" t="s">
        <v>277</v>
      </c>
      <c r="S478" s="5" t="s">
        <v>292</v>
      </c>
      <c r="T478" s="5" t="s">
        <v>264</v>
      </c>
      <c r="U478" s="5">
        <v>9939332058</v>
      </c>
      <c r="V478" s="8" t="s">
        <v>257</v>
      </c>
      <c r="W478" t="str">
        <f>IF(OR(Q478&lt;=2,V478="Cancelled"),"Blacklisted",IF(AND(P478&gt;100000,Q478&gt;=4,O478&lt;=10%,V478="Completed"),"Platinum",IF(AND(P478&gt;=50000,Q478&gt;=3,V478="Completed"),"Gold",IF(AND(P478&lt;50000,V478="Completed"),"Silver",""))))</f>
        <v>Silver</v>
      </c>
      <c r="X478" t="str">
        <f>PROPER(TRIM(F478))</f>
        <v>Kavya Nair</v>
      </c>
      <c r="Y478" t="str">
        <f>LEFT(F478,3)&amp;MID(B478,2,3)&amp;LEFT(I478,2)</f>
        <v>Kav008Be</v>
      </c>
      <c r="Z478" t="str">
        <f>IF(ISNUMBER(SEARCH("@",T478)),LOWER(TRIM(T478)),"invalid email")</f>
        <v>kavya.nair@company.com</v>
      </c>
      <c r="AA478">
        <f ca="1">IF(H477="","",IFERROR(DATEDIF(IF(ISNUMBER(H477),H477,DATE(VALUE(RIGHT(H477,4)),VALUE(MID(H477,3,2)),VALUE(LEFT(H477,2)))),TODAY(),"Y"),""))</f>
        <v>41</v>
      </c>
      <c r="AB478" t="str">
        <f>IF(OR(D478="",E478=""),"",IFERROR(DATE(MID(E478,7,4),MID(E478,4,2),LEFT(E478,2))-DATE(MID(D478,7,4),MID(D478,4,2),LEFT(D478,2)),""))</f>
        <v/>
      </c>
      <c r="AC478" t="str">
        <f>IF(E478="","Pending",IF(AB478&lt;=5,"On time","Delayed"))</f>
        <v>Delayed</v>
      </c>
      <c r="AD478" s="29" t="str">
        <f>IF(TRIM(S478)="","Not Assigned",S478)</f>
        <v>Neha</v>
      </c>
      <c r="AE478" t="str">
        <f>PROPER(TRIM(F478))</f>
        <v>Kavya Nair</v>
      </c>
      <c r="AF478" t="str">
        <f>PROPER(TRIM(K478))</f>
        <v>Electronics</v>
      </c>
      <c r="AG478" t="str">
        <f>PROPER(TRIM(J478))</f>
        <v>South</v>
      </c>
      <c r="AH478" t="str">
        <f t="shared" si="14"/>
        <v>Electronics</v>
      </c>
      <c r="AI478" t="str">
        <f t="shared" si="15"/>
        <v>Electronics</v>
      </c>
      <c r="AK478">
        <f>IF(COUNTIF($A$2:A478,A478)=1,1,0)</f>
        <v>1</v>
      </c>
    </row>
    <row r="479" spans="1:37">
      <c r="A479" s="9" t="s">
        <v>1163</v>
      </c>
      <c r="B479" s="10" t="s">
        <v>299</v>
      </c>
      <c r="C479" s="10" t="s">
        <v>322</v>
      </c>
      <c r="D479" s="11">
        <v>46207</v>
      </c>
      <c r="E479" s="11">
        <v>46238</v>
      </c>
      <c r="F479" s="10" t="s">
        <v>301</v>
      </c>
      <c r="G479" s="10" t="s">
        <v>269</v>
      </c>
      <c r="H479" s="10" t="s">
        <v>1164</v>
      </c>
      <c r="I479" s="10" t="s">
        <v>379</v>
      </c>
      <c r="J479" s="10" t="s">
        <v>21</v>
      </c>
      <c r="K479" s="10" t="s">
        <v>15</v>
      </c>
      <c r="L479" s="10" t="s">
        <v>325</v>
      </c>
      <c r="M479" s="10">
        <v>9</v>
      </c>
      <c r="N479" s="10">
        <v>8500</v>
      </c>
      <c r="O479" s="10">
        <v>15</v>
      </c>
      <c r="P479" s="10">
        <v>65025</v>
      </c>
      <c r="Q479" s="10">
        <v>5</v>
      </c>
      <c r="R479" s="10" t="s">
        <v>254</v>
      </c>
      <c r="S479" s="10" t="s">
        <v>263</v>
      </c>
      <c r="T479" s="10" t="s">
        <v>302</v>
      </c>
      <c r="U479" s="10">
        <v>9780626473</v>
      </c>
      <c r="V479" s="12" t="s">
        <v>248</v>
      </c>
      <c r="W479" t="str">
        <f>IF(OR(Q479&lt;=2,V479="Cancelled"),"Blacklisted",IF(AND(P479&gt;100000,Q479&gt;=4,O479&lt;=10%,V479="Completed"),"Platinum",IF(AND(P479&gt;=50000,Q479&gt;=3,V479="Completed"),"Gold",IF(AND(P479&lt;50000,V479="Completed"),"Silver",""))))</f>
        <v/>
      </c>
      <c r="X479" t="str">
        <f>PROPER(TRIM(F479))</f>
        <v>Rohit Singh</v>
      </c>
      <c r="Y479" t="str">
        <f>LEFT(F479,3)&amp;MID(B479,2,3)&amp;LEFT(I479,2)</f>
        <v>Roh003Ko</v>
      </c>
      <c r="Z479" t="str">
        <f>IF(ISNUMBER(SEARCH("@",T479)),LOWER(TRIM(T479)),"invalid email")</f>
        <v>rohit.singh@company.com</v>
      </c>
      <c r="AA479">
        <f ca="1">IF(H478="","",IFERROR(DATEDIF(IF(ISNUMBER(H478),H478,DATE(VALUE(RIGHT(H478,4)),VALUE(MID(H478,3,2)),VALUE(LEFT(H478,2)))),TODAY(),"Y"),""))</f>
        <v>40</v>
      </c>
      <c r="AB479" t="str">
        <f>IF(OR(D479="",E479=""),"",IFERROR(DATE(MID(E479,7,4),MID(E479,4,2),LEFT(E479,2))-DATE(MID(D479,7,4),MID(D479,4,2),LEFT(D479,2)),""))</f>
        <v/>
      </c>
      <c r="AC479" t="str">
        <f>IF(E479="","Pending",IF(AB479&lt;=5,"On time","Delayed"))</f>
        <v>Delayed</v>
      </c>
      <c r="AD479" s="29" t="str">
        <f>IF(TRIM(S479)="","Not Assigned",S479)</f>
        <v>Rahul</v>
      </c>
      <c r="AE479" t="str">
        <f>PROPER(TRIM(F479))</f>
        <v>Rohit Singh</v>
      </c>
      <c r="AF479" t="str">
        <f>PROPER(TRIM(K479))</f>
        <v>Home Appliances</v>
      </c>
      <c r="AG479" t="str">
        <f>PROPER(TRIM(J479))</f>
        <v>East</v>
      </c>
      <c r="AH479" t="str">
        <f t="shared" si="14"/>
        <v>Home Appliances</v>
      </c>
      <c r="AI479" t="str">
        <f t="shared" si="15"/>
        <v>Home Appliances</v>
      </c>
      <c r="AK479">
        <f>IF(COUNTIF($A$2:A479,A479)=1,1,0)</f>
        <v>1</v>
      </c>
    </row>
    <row r="480" spans="1:37">
      <c r="A480" s="4" t="s">
        <v>1165</v>
      </c>
      <c r="B480" s="5" t="s">
        <v>266</v>
      </c>
      <c r="C480" s="5" t="s">
        <v>330</v>
      </c>
      <c r="D480" s="5" t="s">
        <v>156</v>
      </c>
      <c r="E480" s="6">
        <v>45815</v>
      </c>
      <c r="F480" s="5" t="s">
        <v>268</v>
      </c>
      <c r="G480" s="5" t="s">
        <v>269</v>
      </c>
      <c r="H480" s="5" t="s">
        <v>1167</v>
      </c>
      <c r="I480" s="5" t="s">
        <v>379</v>
      </c>
      <c r="J480" s="5" t="s">
        <v>21</v>
      </c>
      <c r="K480" s="5" t="s">
        <v>243</v>
      </c>
      <c r="L480" s="5" t="s">
        <v>333</v>
      </c>
      <c r="M480" s="5">
        <v>17</v>
      </c>
      <c r="N480" s="5">
        <v>700</v>
      </c>
      <c r="O480" s="5">
        <v>0</v>
      </c>
      <c r="P480" s="5">
        <v>11900</v>
      </c>
      <c r="Q480" s="5">
        <v>2</v>
      </c>
      <c r="R480" s="5" t="s">
        <v>254</v>
      </c>
      <c r="S480" s="5" t="s">
        <v>246</v>
      </c>
      <c r="T480" s="5" t="s">
        <v>273</v>
      </c>
      <c r="U480" s="5">
        <v>9347298020</v>
      </c>
      <c r="V480" s="8" t="s">
        <v>265</v>
      </c>
      <c r="W480" t="str">
        <f>IF(OR(Q480&lt;=2,V480="Cancelled"),"Blacklisted",IF(AND(P480&gt;100000,Q480&gt;=4,O480&lt;=10%,V480="Completed"),"Platinum",IF(AND(P480&gt;=50000,Q480&gt;=3,V480="Completed"),"Gold",IF(AND(P480&lt;50000,V480="Completed"),"Silver",""))))</f>
        <v>Blacklisted</v>
      </c>
      <c r="X480" t="str">
        <f>PROPER(TRIM(F480))</f>
        <v>Mohit Verma</v>
      </c>
      <c r="Y480" t="str">
        <f>LEFT(F480,3)&amp;MID(B480,2,3)&amp;LEFT(I480,2)</f>
        <v>Moh009Ko</v>
      </c>
      <c r="Z480" t="str">
        <f>IF(ISNUMBER(SEARCH("@",T480)),LOWER(TRIM(T480)),"invalid email")</f>
        <v>mohit.verma@company.com</v>
      </c>
      <c r="AA480" t="str">
        <f ca="1">IF(H479="","",IFERROR(DATEDIF(IF(ISNUMBER(H479),H479,DATE(VALUE(RIGHT(H479,4)),VALUE(MID(H479,3,2)),VALUE(LEFT(H479,2)))),TODAY(),"Y"),""))</f>
        <v/>
      </c>
      <c r="AB480" t="str">
        <f>IF(OR(D480="",E480=""),"",IFERROR(DATE(MID(E480,7,4),MID(E480,4,2),LEFT(E480,2))-DATE(MID(D480,7,4),MID(D480,4,2),LEFT(D480,2)),""))</f>
        <v/>
      </c>
      <c r="AC480" t="str">
        <f>IF(E480="","Pending",IF(AB480&lt;=5,"On time","Delayed"))</f>
        <v>Delayed</v>
      </c>
      <c r="AD480" s="29" t="str">
        <f>IF(TRIM(S480)="","Not Assigned",S480)</f>
        <v>Aisha</v>
      </c>
      <c r="AE480" t="str">
        <f>PROPER(TRIM(F480))</f>
        <v>Mohit Verma</v>
      </c>
      <c r="AF480" t="str">
        <f>PROPER(TRIM(K480))</f>
        <v>Electronics</v>
      </c>
      <c r="AG480" t="str">
        <f>PROPER(TRIM(J480))</f>
        <v>East</v>
      </c>
      <c r="AH480" t="str">
        <f t="shared" si="14"/>
        <v>Electronics</v>
      </c>
      <c r="AI480" t="str">
        <f t="shared" si="15"/>
        <v>Electronics</v>
      </c>
      <c r="AK480">
        <f>IF(COUNTIF($A$2:A480,A480)=1,1,0)</f>
        <v>1</v>
      </c>
    </row>
    <row r="481" spans="1:37">
      <c r="A481" s="9" t="s">
        <v>1168</v>
      </c>
      <c r="B481" s="10" t="s">
        <v>249</v>
      </c>
      <c r="C481" s="10" t="s">
        <v>330</v>
      </c>
      <c r="D481" s="11">
        <v>45876</v>
      </c>
      <c r="E481" s="10" t="s">
        <v>69</v>
      </c>
      <c r="F481" s="10" t="s">
        <v>251</v>
      </c>
      <c r="G481" s="10" t="s">
        <v>239</v>
      </c>
      <c r="H481" s="11">
        <v>33304</v>
      </c>
      <c r="I481" s="10" t="s">
        <v>252</v>
      </c>
      <c r="J481" s="10" t="s">
        <v>242</v>
      </c>
      <c r="K481" s="10" t="s">
        <v>243</v>
      </c>
      <c r="L481" s="10" t="s">
        <v>333</v>
      </c>
      <c r="M481" s="10">
        <v>20</v>
      </c>
      <c r="N481" s="10">
        <v>700</v>
      </c>
      <c r="O481" s="10">
        <v>5</v>
      </c>
      <c r="P481" s="10">
        <v>13300</v>
      </c>
      <c r="Q481" s="10">
        <v>2</v>
      </c>
      <c r="R481" s="10" t="s">
        <v>277</v>
      </c>
      <c r="S481" s="10" t="s">
        <v>255</v>
      </c>
      <c r="T481" s="10" t="s">
        <v>264</v>
      </c>
      <c r="U481" s="10">
        <v>9345328522</v>
      </c>
      <c r="V481" s="12" t="s">
        <v>257</v>
      </c>
      <c r="W481" t="str">
        <f>IF(OR(Q481&lt;=2,V481="Cancelled"),"Blacklisted",IF(AND(P481&gt;100000,Q481&gt;=4,O481&lt;=10%,V481="Completed"),"Platinum",IF(AND(P481&gt;=50000,Q481&gt;=3,V481="Completed"),"Gold",IF(AND(P481&lt;50000,V481="Completed"),"Silver",""))))</f>
        <v>Blacklisted</v>
      </c>
      <c r="X481" t="str">
        <f>PROPER(TRIM(F481))</f>
        <v>Kavya Nair</v>
      </c>
      <c r="Y481" t="str">
        <f>LEFT(F481,3)&amp;MID(B481,2,3)&amp;LEFT(I481,2)</f>
        <v>Kav008Hy</v>
      </c>
      <c r="Z481" t="str">
        <f>IF(ISNUMBER(SEARCH("@",T481)),LOWER(TRIM(T481)),"invalid email")</f>
        <v>kavya.nair@company.com</v>
      </c>
      <c r="AA481" t="str">
        <f ca="1">IF(H480="","",IFERROR(DATEDIF(IF(ISNUMBER(H480),H480,DATE(VALUE(RIGHT(H480,4)),VALUE(MID(H480,3,2)),VALUE(LEFT(H480,2)))),TODAY(),"Y"),""))</f>
        <v/>
      </c>
      <c r="AB481" t="str">
        <f>IF(OR(D481="",E481=""),"",IFERROR(DATE(MID(E481,7,4),MID(E481,4,2),LEFT(E481,2))-DATE(MID(D481,7,4),MID(D481,4,2),LEFT(D481,2)),""))</f>
        <v/>
      </c>
      <c r="AC481" t="str">
        <f>IF(E481="","Pending",IF(AB481&lt;=5,"On time","Delayed"))</f>
        <v>Delayed</v>
      </c>
      <c r="AD481" s="29" t="str">
        <f>IF(TRIM(S481)="","Not Assigned",S481)</f>
        <v>Ritika</v>
      </c>
      <c r="AE481" t="str">
        <f>PROPER(TRIM(F481))</f>
        <v>Kavya Nair</v>
      </c>
      <c r="AF481" t="str">
        <f>PROPER(TRIM(K481))</f>
        <v>Electronics</v>
      </c>
      <c r="AG481" t="str">
        <f>PROPER(TRIM(J481))</f>
        <v>South</v>
      </c>
      <c r="AH481" t="str">
        <f t="shared" si="14"/>
        <v>Electronics</v>
      </c>
      <c r="AI481" t="str">
        <f t="shared" si="15"/>
        <v>Electronics</v>
      </c>
      <c r="AK481">
        <f>IF(COUNTIF($A$2:A481,A481)=1,1,0)</f>
        <v>1</v>
      </c>
    </row>
    <row r="482" spans="1:37">
      <c r="A482" s="4" t="s">
        <v>1169</v>
      </c>
      <c r="B482" s="5" t="s">
        <v>392</v>
      </c>
      <c r="C482" s="5" t="s">
        <v>267</v>
      </c>
      <c r="D482" s="6">
        <v>46329</v>
      </c>
      <c r="E482" s="5" t="s">
        <v>100</v>
      </c>
      <c r="F482" s="5" t="s">
        <v>323</v>
      </c>
      <c r="G482" s="5" t="s">
        <v>269</v>
      </c>
      <c r="H482" s="6">
        <v>28612</v>
      </c>
      <c r="I482" s="5" t="s">
        <v>306</v>
      </c>
      <c r="J482" s="5" t="s">
        <v>287</v>
      </c>
      <c r="K482" s="5" t="s">
        <v>243</v>
      </c>
      <c r="L482" s="5" t="s">
        <v>271</v>
      </c>
      <c r="M482" s="5">
        <v>13</v>
      </c>
      <c r="N482" s="5">
        <v>1200</v>
      </c>
      <c r="O482" s="5">
        <v>20</v>
      </c>
      <c r="P482" s="5">
        <v>12480</v>
      </c>
      <c r="Q482" s="5">
        <v>5</v>
      </c>
      <c r="R482" s="5" t="s">
        <v>272</v>
      </c>
      <c r="S482" s="5" t="s">
        <v>292</v>
      </c>
      <c r="T482" s="5" t="s">
        <v>395</v>
      </c>
      <c r="U482" s="5">
        <v>9160310438</v>
      </c>
      <c r="V482" s="8" t="s">
        <v>257</v>
      </c>
      <c r="W482" t="str">
        <f>IF(OR(Q482&lt;=2,V482="Cancelled"),"Blacklisted",IF(AND(P482&gt;100000,Q482&gt;=4,O482&lt;=10%,V482="Completed"),"Platinum",IF(AND(P482&gt;=50000,Q482&gt;=3,V482="Completed"),"Gold",IF(AND(P482&lt;50000,V482="Completed"),"Silver",""))))</f>
        <v>Silver</v>
      </c>
      <c r="X482" t="str">
        <f>PROPER(TRIM(F482))</f>
        <v>Amit Sharma</v>
      </c>
      <c r="Y482" t="str">
        <f>LEFT(F482,3)&amp;MID(B482,2,3)&amp;LEFT(I482,2)</f>
        <v>Ami001Ah</v>
      </c>
      <c r="Z482" t="str">
        <f>IF(ISNUMBER(SEARCH("@",T482)),LOWER(TRIM(T482)),"invalid email")</f>
        <v>amit.sharma@company.com</v>
      </c>
      <c r="AA482">
        <f ca="1">IF(H481="","",IFERROR(DATEDIF(IF(ISNUMBER(H481),H481,DATE(VALUE(RIGHT(H481,4)),VALUE(MID(H481,3,2)),VALUE(LEFT(H481,2)))),TODAY(),"Y"),""))</f>
        <v>35</v>
      </c>
      <c r="AB482" t="str">
        <f>IF(OR(D482="",E482=""),"",IFERROR(DATE(MID(E482,7,4),MID(E482,4,2),LEFT(E482,2))-DATE(MID(D482,7,4),MID(D482,4,2),LEFT(D482,2)),""))</f>
        <v/>
      </c>
      <c r="AC482" t="str">
        <f>IF(E482="","Pending",IF(AB482&lt;=5,"On time","Delayed"))</f>
        <v>Delayed</v>
      </c>
      <c r="AD482" s="29" t="str">
        <f>IF(TRIM(S482)="","Not Assigned",S482)</f>
        <v>Neha</v>
      </c>
      <c r="AE482" t="str">
        <f>PROPER(TRIM(F482))</f>
        <v>Amit Sharma</v>
      </c>
      <c r="AF482" t="str">
        <f>PROPER(TRIM(K482))</f>
        <v>Electronics</v>
      </c>
      <c r="AG482" t="str">
        <f>PROPER(TRIM(J482))</f>
        <v>West</v>
      </c>
      <c r="AH482" t="str">
        <f t="shared" si="14"/>
        <v>Electronics</v>
      </c>
      <c r="AI482" t="str">
        <f t="shared" si="15"/>
        <v>Electronics</v>
      </c>
      <c r="AK482">
        <f>IF(COUNTIF($A$2:A482,A482)=1,1,0)</f>
        <v>1</v>
      </c>
    </row>
    <row r="483" spans="1:37">
      <c r="A483" s="9" t="s">
        <v>1170</v>
      </c>
      <c r="B483" s="10" t="s">
        <v>284</v>
      </c>
      <c r="C483" s="10" t="s">
        <v>236</v>
      </c>
      <c r="D483" s="10" t="s">
        <v>121</v>
      </c>
      <c r="E483" s="10" t="s">
        <v>185</v>
      </c>
      <c r="F483" s="10" t="s">
        <v>285</v>
      </c>
      <c r="G483" s="10" t="s">
        <v>239</v>
      </c>
      <c r="H483" s="10" t="s">
        <v>717</v>
      </c>
      <c r="I483" s="10" t="s">
        <v>342</v>
      </c>
      <c r="J483" s="10" t="s">
        <v>261</v>
      </c>
      <c r="K483" s="10" t="s">
        <v>243</v>
      </c>
      <c r="L483" s="10" t="s">
        <v>244</v>
      </c>
      <c r="M483" s="10">
        <v>20</v>
      </c>
      <c r="N483" s="10">
        <v>55000</v>
      </c>
      <c r="O483" s="10">
        <v>10</v>
      </c>
      <c r="P483" s="10">
        <v>990000</v>
      </c>
      <c r="Q483" s="10">
        <v>1</v>
      </c>
      <c r="R483" s="10" t="s">
        <v>277</v>
      </c>
      <c r="S483" s="10" t="s">
        <v>255</v>
      </c>
      <c r="T483" s="10" t="s">
        <v>308</v>
      </c>
      <c r="U483" s="10">
        <v>9343776153</v>
      </c>
      <c r="V483" s="12" t="s">
        <v>248</v>
      </c>
      <c r="W483" t="str">
        <f>IF(OR(Q483&lt;=2,V483="Cancelled"),"Blacklisted",IF(AND(P483&gt;100000,Q483&gt;=4,O483&lt;=10%,V483="Completed"),"Platinum",IF(AND(P483&gt;=50000,Q483&gt;=3,V483="Completed"),"Gold",IF(AND(P483&lt;50000,V483="Completed"),"Silver",""))))</f>
        <v>Blacklisted</v>
      </c>
      <c r="X483" t="str">
        <f>PROPER(TRIM(F483))</f>
        <v>Priya Patel</v>
      </c>
      <c r="Y483" t="str">
        <f>LEFT(F483,3)&amp;MID(B483,2,3)&amp;LEFT(I483,2)</f>
        <v>Pri002Ja</v>
      </c>
      <c r="Z483" t="str">
        <f>IF(ISNUMBER(SEARCH("@",T483)),LOWER(TRIM(T483)),"invalid email")</f>
        <v>priya.patel@company.com</v>
      </c>
      <c r="AA483">
        <f ca="1">IF(H482="","",IFERROR(DATEDIF(IF(ISNUMBER(H482),H482,DATE(VALUE(RIGHT(H482,4)),VALUE(MID(H482,3,2)),VALUE(LEFT(H482,2)))),TODAY(),"Y"),""))</f>
        <v>48</v>
      </c>
      <c r="AB483">
        <f>IF(OR(D483="",E483=""),"",IFERROR(DATE(MID(E483,7,4),MID(E483,4,2),LEFT(E483,2))-DATE(MID(D483,7,4),MID(D483,4,2),LEFT(D483,2)),""))</f>
        <v>6</v>
      </c>
      <c r="AC483" t="str">
        <f>IF(E483="","Pending",IF(AB483&lt;=5,"On time","Delayed"))</f>
        <v>Delayed</v>
      </c>
      <c r="AD483" s="29" t="str">
        <f>IF(TRIM(S483)="","Not Assigned",S483)</f>
        <v>Ritika</v>
      </c>
      <c r="AE483" t="str">
        <f>PROPER(TRIM(F483))</f>
        <v>Priya Patel</v>
      </c>
      <c r="AF483" t="str">
        <f>PROPER(TRIM(K483))</f>
        <v>Electronics</v>
      </c>
      <c r="AG483" t="str">
        <f>PROPER(TRIM(J483))</f>
        <v>North</v>
      </c>
      <c r="AH483" t="str">
        <f t="shared" si="14"/>
        <v>Electronics</v>
      </c>
      <c r="AI483" t="str">
        <f t="shared" si="15"/>
        <v>Electronics</v>
      </c>
      <c r="AK483">
        <f>IF(COUNTIF($A$2:A483,A483)=1,1,0)</f>
        <v>1</v>
      </c>
    </row>
    <row r="484" spans="1:37">
      <c r="A484" s="4" t="s">
        <v>1171</v>
      </c>
      <c r="B484" s="5" t="s">
        <v>358</v>
      </c>
      <c r="C484" s="5" t="s">
        <v>267</v>
      </c>
      <c r="D484" s="5" t="s">
        <v>205</v>
      </c>
      <c r="E484" s="6">
        <v>45788</v>
      </c>
      <c r="F484" s="5" t="s">
        <v>359</v>
      </c>
      <c r="G484" s="5" t="s">
        <v>239</v>
      </c>
      <c r="H484" s="6">
        <v>32206</v>
      </c>
      <c r="I484" s="5" t="s">
        <v>379</v>
      </c>
      <c r="J484" s="5" t="s">
        <v>21</v>
      </c>
      <c r="K484" s="5" t="s">
        <v>243</v>
      </c>
      <c r="L484" s="5" t="s">
        <v>271</v>
      </c>
      <c r="M484" s="5">
        <v>8</v>
      </c>
      <c r="N484" s="5">
        <v>1200</v>
      </c>
      <c r="O484" s="5">
        <v>0</v>
      </c>
      <c r="P484" s="5">
        <v>9600</v>
      </c>
      <c r="Q484" s="5">
        <v>2</v>
      </c>
      <c r="R484" s="5" t="s">
        <v>245</v>
      </c>
      <c r="S484" s="5" t="s">
        <v>312</v>
      </c>
      <c r="T484" s="5" t="s">
        <v>360</v>
      </c>
      <c r="U484" s="5">
        <v>9458599727</v>
      </c>
      <c r="V484" s="8" t="s">
        <v>257</v>
      </c>
      <c r="W484" t="str">
        <f>IF(OR(Q484&lt;=2,V484="Cancelled"),"Blacklisted",IF(AND(P484&gt;100000,Q484&gt;=4,O484&lt;=10%,V484="Completed"),"Platinum",IF(AND(P484&gt;=50000,Q484&gt;=3,V484="Completed"),"Gold",IF(AND(P484&lt;50000,V484="Completed"),"Silver",""))))</f>
        <v>Blacklisted</v>
      </c>
      <c r="X484" t="str">
        <f>PROPER(TRIM(F484))</f>
        <v>Sneha Joshi</v>
      </c>
      <c r="Y484" t="str">
        <f>LEFT(F484,3)&amp;MID(B484,2,3)&amp;LEFT(I484,2)</f>
        <v>Sne006Ko</v>
      </c>
      <c r="Z484" t="str">
        <f>IF(ISNUMBER(SEARCH("@",T484)),LOWER(TRIM(T484)),"invalid email")</f>
        <v>sneha.joshi@company.com</v>
      </c>
      <c r="AA484" t="str">
        <f ca="1">IF(H483="","",IFERROR(DATEDIF(IF(ISNUMBER(H483),H483,DATE(VALUE(RIGHT(H483,4)),VALUE(MID(H483,3,2)),VALUE(LEFT(H483,2)))),TODAY(),"Y"),""))</f>
        <v/>
      </c>
      <c r="AB484" t="str">
        <f>IF(OR(D484="",E484=""),"",IFERROR(DATE(MID(E484,7,4),MID(E484,4,2),LEFT(E484,2))-DATE(MID(D484,7,4),MID(D484,4,2),LEFT(D484,2)),""))</f>
        <v/>
      </c>
      <c r="AC484" t="str">
        <f>IF(E484="","Pending",IF(AB484&lt;=5,"On time","Delayed"))</f>
        <v>Delayed</v>
      </c>
      <c r="AD484" s="29" t="str">
        <f>IF(TRIM(S484)="","Not Assigned",S484)</f>
        <v>Karan</v>
      </c>
      <c r="AE484" t="str">
        <f>PROPER(TRIM(F484))</f>
        <v>Sneha Joshi</v>
      </c>
      <c r="AF484" t="str">
        <f>PROPER(TRIM(K484))</f>
        <v>Electronics</v>
      </c>
      <c r="AG484" t="str">
        <f>PROPER(TRIM(J484))</f>
        <v>East</v>
      </c>
      <c r="AH484" t="str">
        <f t="shared" si="14"/>
        <v>Electronics</v>
      </c>
      <c r="AI484" t="str">
        <f t="shared" si="15"/>
        <v>Electronics</v>
      </c>
      <c r="AK484">
        <f>IF(COUNTIF($A$2:A484,A484)=1,1,0)</f>
        <v>1</v>
      </c>
    </row>
    <row r="485" spans="1:37">
      <c r="A485" s="9" t="s">
        <v>1172</v>
      </c>
      <c r="B485" s="10" t="s">
        <v>235</v>
      </c>
      <c r="C485" s="10" t="s">
        <v>347</v>
      </c>
      <c r="D485" s="11">
        <v>46147</v>
      </c>
      <c r="E485" s="11">
        <v>46270</v>
      </c>
      <c r="F485" s="10" t="s">
        <v>318</v>
      </c>
      <c r="G485" s="10" t="s">
        <v>239</v>
      </c>
      <c r="H485" s="11">
        <v>28805</v>
      </c>
      <c r="I485" s="10" t="s">
        <v>379</v>
      </c>
      <c r="J485" s="10" t="s">
        <v>21</v>
      </c>
      <c r="K485" s="10" t="s">
        <v>295</v>
      </c>
      <c r="L485" s="10" t="s">
        <v>349</v>
      </c>
      <c r="M485" s="10">
        <v>18</v>
      </c>
      <c r="N485" s="10">
        <v>20</v>
      </c>
      <c r="O485" s="10">
        <v>10</v>
      </c>
      <c r="P485" s="10">
        <v>324</v>
      </c>
      <c r="Q485" s="10">
        <v>5</v>
      </c>
      <c r="R485" s="10" t="s">
        <v>272</v>
      </c>
      <c r="S485" s="10" t="s">
        <v>1224</v>
      </c>
      <c r="T485" s="13" t="s">
        <v>1173</v>
      </c>
      <c r="U485" s="10">
        <v>9218660140</v>
      </c>
      <c r="V485" s="12" t="s">
        <v>248</v>
      </c>
      <c r="W485" t="str">
        <f>IF(OR(Q485&lt;=2,V485="Cancelled"),"Blacklisted",IF(AND(P485&gt;100000,Q485&gt;=4,O485&lt;=10%,V485="Completed"),"Platinum",IF(AND(P485&gt;=50000,Q485&gt;=3,V485="Completed"),"Gold",IF(AND(P485&lt;50000,V485="Completed"),"Silver",""))))</f>
        <v/>
      </c>
      <c r="X485" t="str">
        <f>PROPER(TRIM(F485))</f>
        <v>Pooja Shah</v>
      </c>
      <c r="Y485" t="str">
        <f>LEFT(F485,3)&amp;MID(B485,2,3)&amp;LEFT(I485,2)</f>
        <v>Poo010Ko</v>
      </c>
      <c r="Z485" t="str">
        <f>IF(ISNUMBER(SEARCH("@",T485)),LOWER(TRIM(T485)),"invalid email")</f>
        <v>pooja.shah@company.com</v>
      </c>
      <c r="AA485">
        <f ca="1">IF(H484="","",IFERROR(DATEDIF(IF(ISNUMBER(H484),H484,DATE(VALUE(RIGHT(H484,4)),VALUE(MID(H484,3,2)),VALUE(LEFT(H484,2)))),TODAY(),"Y"),""))</f>
        <v>38</v>
      </c>
      <c r="AB485" t="str">
        <f>IF(OR(D485="",E485=""),"",IFERROR(DATE(MID(E485,7,4),MID(E485,4,2),LEFT(E485,2))-DATE(MID(D485,7,4),MID(D485,4,2),LEFT(D485,2)),""))</f>
        <v/>
      </c>
      <c r="AC485" t="str">
        <f>IF(E485="","Pending",IF(AB485&lt;=5,"On time","Delayed"))</f>
        <v>Delayed</v>
      </c>
      <c r="AD485" s="29" t="str">
        <f>IF(TRIM(S485)="","Not Assigned",S485)</f>
        <v>Not Assigned</v>
      </c>
      <c r="AE485" t="str">
        <f>PROPER(TRIM(F485))</f>
        <v>Pooja Shah</v>
      </c>
      <c r="AF485" t="str">
        <f>PROPER(TRIM(K485))</f>
        <v>Stationery</v>
      </c>
      <c r="AG485" t="str">
        <f>PROPER(TRIM(J485))</f>
        <v>East</v>
      </c>
      <c r="AH485" t="str">
        <f t="shared" si="14"/>
        <v>Stationery</v>
      </c>
      <c r="AI485" t="str">
        <f t="shared" si="15"/>
        <v>Stationery</v>
      </c>
      <c r="AK485">
        <f>IF(COUNTIF($A$2:A485,A485)=1,1,0)</f>
        <v>1</v>
      </c>
    </row>
    <row r="486" spans="1:37">
      <c r="A486" s="4" t="s">
        <v>1174</v>
      </c>
      <c r="B486" s="5" t="s">
        <v>321</v>
      </c>
      <c r="C486" s="5" t="s">
        <v>258</v>
      </c>
      <c r="D486" s="5" t="s">
        <v>119</v>
      </c>
      <c r="E486" s="6">
        <v>45841</v>
      </c>
      <c r="F486" s="5" t="s">
        <v>408</v>
      </c>
      <c r="G486" s="5" t="s">
        <v>239</v>
      </c>
      <c r="H486" s="6">
        <v>34369</v>
      </c>
      <c r="I486" s="5" t="s">
        <v>291</v>
      </c>
      <c r="J486" s="5" t="s">
        <v>287</v>
      </c>
      <c r="K486" s="5" t="s">
        <v>243</v>
      </c>
      <c r="L486" s="5" t="s">
        <v>262</v>
      </c>
      <c r="M486" s="5">
        <v>11</v>
      </c>
      <c r="N486" s="5">
        <v>12000</v>
      </c>
      <c r="O486" s="5">
        <v>10</v>
      </c>
      <c r="P486" s="5">
        <v>118800</v>
      </c>
      <c r="Q486" s="5">
        <v>1</v>
      </c>
      <c r="R486" s="5" t="s">
        <v>272</v>
      </c>
      <c r="S486" s="5" t="s">
        <v>263</v>
      </c>
      <c r="T486" s="5" t="s">
        <v>326</v>
      </c>
      <c r="U486" s="5">
        <v>9341979199</v>
      </c>
      <c r="V486" s="8" t="s">
        <v>265</v>
      </c>
      <c r="W486" t="str">
        <f>IF(OR(Q486&lt;=2,V486="Cancelled"),"Blacklisted",IF(AND(P486&gt;100000,Q486&gt;=4,O486&lt;=10%,V486="Completed"),"Platinum",IF(AND(P486&gt;=50000,Q486&gt;=3,V486="Completed"),"Gold",IF(AND(P486&lt;50000,V486="Completed"),"Silver",""))))</f>
        <v>Blacklisted</v>
      </c>
      <c r="X486" t="str">
        <f>PROPER(TRIM(F486))</f>
        <v>Anita Gupta</v>
      </c>
      <c r="Y486" t="str">
        <f>LEFT(F486,3)&amp;MID(B486,2,3)&amp;LEFT(I486,2)</f>
        <v>Ani004Pu</v>
      </c>
      <c r="Z486" t="str">
        <f>IF(ISNUMBER(SEARCH("@",T486)),LOWER(TRIM(T486)),"invalid email")</f>
        <v>anita.gupta@company.com</v>
      </c>
      <c r="AA486">
        <f ca="1">IF(H485="","",IFERROR(DATEDIF(IF(ISNUMBER(H485),H485,DATE(VALUE(RIGHT(H485,4)),VALUE(MID(H485,3,2)),VALUE(LEFT(H485,2)))),TODAY(),"Y"),""))</f>
        <v>47</v>
      </c>
      <c r="AB486" t="str">
        <f>IF(OR(D486="",E486=""),"",IFERROR(DATE(MID(E486,7,4),MID(E486,4,2),LEFT(E486,2))-DATE(MID(D486,7,4),MID(D486,4,2),LEFT(D486,2)),""))</f>
        <v/>
      </c>
      <c r="AC486" t="str">
        <f>IF(E486="","Pending",IF(AB486&lt;=5,"On time","Delayed"))</f>
        <v>Delayed</v>
      </c>
      <c r="AD486" s="29" t="str">
        <f>IF(TRIM(S486)="","Not Assigned",S486)</f>
        <v>Rahul</v>
      </c>
      <c r="AE486" t="str">
        <f>PROPER(TRIM(F486))</f>
        <v>Anita Gupta</v>
      </c>
      <c r="AF486" t="str">
        <f>PROPER(TRIM(K486))</f>
        <v>Electronics</v>
      </c>
      <c r="AG486" t="str">
        <f>PROPER(TRIM(J486))</f>
        <v>West</v>
      </c>
      <c r="AH486" t="str">
        <f t="shared" si="14"/>
        <v>Electronics</v>
      </c>
      <c r="AI486" t="str">
        <f t="shared" si="15"/>
        <v>Electronics</v>
      </c>
      <c r="AK486">
        <f>IF(COUNTIF($A$2:A486,A486)=1,1,0)</f>
        <v>1</v>
      </c>
    </row>
    <row r="487" spans="1:37">
      <c r="A487" s="9" t="s">
        <v>1175</v>
      </c>
      <c r="B487" s="10" t="s">
        <v>392</v>
      </c>
      <c r="C487" s="10" t="s">
        <v>322</v>
      </c>
      <c r="D487" s="10" t="s">
        <v>31</v>
      </c>
      <c r="E487" s="10" t="s">
        <v>53</v>
      </c>
      <c r="F487" s="10" t="s">
        <v>323</v>
      </c>
      <c r="G487" s="10" t="s">
        <v>269</v>
      </c>
      <c r="H487" s="11">
        <v>34217</v>
      </c>
      <c r="I487" s="10" t="s">
        <v>252</v>
      </c>
      <c r="J487" s="10" t="s">
        <v>242</v>
      </c>
      <c r="K487" s="10" t="s">
        <v>15</v>
      </c>
      <c r="L487" s="10" t="s">
        <v>325</v>
      </c>
      <c r="M487" s="10">
        <v>2</v>
      </c>
      <c r="N487" s="10">
        <v>8500</v>
      </c>
      <c r="O487" s="10">
        <v>5</v>
      </c>
      <c r="P487" s="10">
        <v>16150</v>
      </c>
      <c r="Q487" s="10">
        <v>1</v>
      </c>
      <c r="R487" s="10" t="s">
        <v>272</v>
      </c>
      <c r="S487" s="10" t="s">
        <v>246</v>
      </c>
      <c r="T487" s="10" t="s">
        <v>395</v>
      </c>
      <c r="U487" s="10">
        <v>9823080381</v>
      </c>
      <c r="V487" s="12" t="s">
        <v>257</v>
      </c>
      <c r="W487" t="str">
        <f>IF(OR(Q487&lt;=2,V487="Cancelled"),"Blacklisted",IF(AND(P487&gt;100000,Q487&gt;=4,O487&lt;=10%,V487="Completed"),"Platinum",IF(AND(P487&gt;=50000,Q487&gt;=3,V487="Completed"),"Gold",IF(AND(P487&lt;50000,V487="Completed"),"Silver",""))))</f>
        <v>Blacklisted</v>
      </c>
      <c r="X487" t="str">
        <f>PROPER(TRIM(F487))</f>
        <v>Amit Sharma</v>
      </c>
      <c r="Y487" t="str">
        <f>LEFT(F487,3)&amp;MID(B487,2,3)&amp;LEFT(I487,2)</f>
        <v>Ami001Hy</v>
      </c>
      <c r="Z487" t="str">
        <f>IF(ISNUMBER(SEARCH("@",T487)),LOWER(TRIM(T487)),"invalid email")</f>
        <v>amit.sharma@company.com</v>
      </c>
      <c r="AA487">
        <f ca="1">IF(H486="","",IFERROR(DATEDIF(IF(ISNUMBER(H486),H486,DATE(VALUE(RIGHT(H486,4)),VALUE(MID(H486,3,2)),VALUE(LEFT(H486,2)))),TODAY(),"Y"),""))</f>
        <v>32</v>
      </c>
      <c r="AB487">
        <f>IF(OR(D487="",E487=""),"",IFERROR(DATE(MID(E487,7,4),MID(E487,4,2),LEFT(E487,2))-DATE(MID(D487,7,4),MID(D487,4,2),LEFT(D487,2)),""))</f>
        <v>2</v>
      </c>
      <c r="AC487" t="str">
        <f>IF(E487="","Pending",IF(AB487&lt;=5,"On time","Delayed"))</f>
        <v>On time</v>
      </c>
      <c r="AD487" s="29" t="str">
        <f>IF(TRIM(S487)="","Not Assigned",S487)</f>
        <v>Aisha</v>
      </c>
      <c r="AE487" t="str">
        <f>PROPER(TRIM(F487))</f>
        <v>Amit Sharma</v>
      </c>
      <c r="AF487" t="str">
        <f>PROPER(TRIM(K487))</f>
        <v>Home Appliances</v>
      </c>
      <c r="AG487" t="str">
        <f>PROPER(TRIM(J487))</f>
        <v>South</v>
      </c>
      <c r="AH487" t="str">
        <f t="shared" si="14"/>
        <v>Home Appliances</v>
      </c>
      <c r="AI487" t="str">
        <f t="shared" si="15"/>
        <v>Home Appliances</v>
      </c>
      <c r="AK487">
        <f>IF(COUNTIF($A$2:A487,A487)=1,1,0)</f>
        <v>1</v>
      </c>
    </row>
    <row r="488" spans="1:37">
      <c r="A488" s="4" t="s">
        <v>1176</v>
      </c>
      <c r="B488" s="5" t="s">
        <v>284</v>
      </c>
      <c r="C488" s="5" t="s">
        <v>250</v>
      </c>
      <c r="D488" s="5" t="s">
        <v>195</v>
      </c>
      <c r="E488" s="6">
        <v>45873</v>
      </c>
      <c r="F488" s="5" t="s">
        <v>285</v>
      </c>
      <c r="G488" s="5" t="s">
        <v>239</v>
      </c>
      <c r="H488" s="6">
        <v>34645</v>
      </c>
      <c r="I488" s="5" t="s">
        <v>291</v>
      </c>
      <c r="J488" s="5" t="s">
        <v>287</v>
      </c>
      <c r="K488" s="5" t="s">
        <v>15</v>
      </c>
      <c r="L488" s="5" t="s">
        <v>253</v>
      </c>
      <c r="M488" s="5">
        <v>7</v>
      </c>
      <c r="N488" s="5">
        <v>2200</v>
      </c>
      <c r="O488" s="5">
        <v>0</v>
      </c>
      <c r="P488" s="5">
        <v>15400</v>
      </c>
      <c r="Q488" s="5">
        <v>5</v>
      </c>
      <c r="R488" s="5" t="s">
        <v>245</v>
      </c>
      <c r="S488" s="5" t="s">
        <v>255</v>
      </c>
      <c r="T488" s="5" t="s">
        <v>308</v>
      </c>
      <c r="U488" s="5">
        <v>9981183477</v>
      </c>
      <c r="V488" s="8" t="s">
        <v>248</v>
      </c>
      <c r="W488" t="str">
        <f>IF(OR(Q488&lt;=2,V488="Cancelled"),"Blacklisted",IF(AND(P488&gt;100000,Q488&gt;=4,O488&lt;=10%,V488="Completed"),"Platinum",IF(AND(P488&gt;=50000,Q488&gt;=3,V488="Completed"),"Gold",IF(AND(P488&lt;50000,V488="Completed"),"Silver",""))))</f>
        <v/>
      </c>
      <c r="X488" t="str">
        <f>PROPER(TRIM(F488))</f>
        <v>Priya Patel</v>
      </c>
      <c r="Y488" t="str">
        <f>LEFT(F488,3)&amp;MID(B488,2,3)&amp;LEFT(I488,2)</f>
        <v>Pri002Pu</v>
      </c>
      <c r="Z488" t="str">
        <f>IF(ISNUMBER(SEARCH("@",T488)),LOWER(TRIM(T488)),"invalid email")</f>
        <v>priya.patel@company.com</v>
      </c>
      <c r="AA488">
        <f ca="1">IF(H487="","",IFERROR(DATEDIF(IF(ISNUMBER(H487),H487,DATE(VALUE(RIGHT(H487,4)),VALUE(MID(H487,3,2)),VALUE(LEFT(H487,2)))),TODAY(),"Y"),""))</f>
        <v>33</v>
      </c>
      <c r="AB488" t="str">
        <f>IF(OR(D488="",E488=""),"",IFERROR(DATE(MID(E488,7,4),MID(E488,4,2),LEFT(E488,2))-DATE(MID(D488,7,4),MID(D488,4,2),LEFT(D488,2)),""))</f>
        <v/>
      </c>
      <c r="AC488" t="str">
        <f>IF(E488="","Pending",IF(AB488&lt;=5,"On time","Delayed"))</f>
        <v>Delayed</v>
      </c>
      <c r="AD488" s="29" t="str">
        <f>IF(TRIM(S488)="","Not Assigned",S488)</f>
        <v>Ritika</v>
      </c>
      <c r="AE488" t="str">
        <f>PROPER(TRIM(F488))</f>
        <v>Priya Patel</v>
      </c>
      <c r="AF488" t="str">
        <f>PROPER(TRIM(K488))</f>
        <v>Home Appliances</v>
      </c>
      <c r="AG488" t="str">
        <f>PROPER(TRIM(J488))</f>
        <v>West</v>
      </c>
      <c r="AH488" t="str">
        <f t="shared" si="14"/>
        <v>Home Appliances</v>
      </c>
      <c r="AI488" t="str">
        <f t="shared" si="15"/>
        <v>Home Appliances</v>
      </c>
      <c r="AK488">
        <f>IF(COUNTIF($A$2:A488,A488)=1,1,0)</f>
        <v>1</v>
      </c>
    </row>
    <row r="489" spans="1:37">
      <c r="A489" s="9" t="s">
        <v>1177</v>
      </c>
      <c r="B489" s="10" t="s">
        <v>275</v>
      </c>
      <c r="C489" s="10" t="s">
        <v>322</v>
      </c>
      <c r="D489" s="10" t="s">
        <v>132</v>
      </c>
      <c r="E489" s="11">
        <v>46058</v>
      </c>
      <c r="F489" s="10" t="s">
        <v>328</v>
      </c>
      <c r="G489" s="10" t="s">
        <v>269</v>
      </c>
      <c r="H489" s="10" t="s">
        <v>1178</v>
      </c>
      <c r="I489" s="10" t="s">
        <v>260</v>
      </c>
      <c r="J489" s="10" t="s">
        <v>261</v>
      </c>
      <c r="K489" s="10" t="s">
        <v>15</v>
      </c>
      <c r="L489" s="10" t="s">
        <v>325</v>
      </c>
      <c r="M489" s="10">
        <v>20</v>
      </c>
      <c r="N489" s="10">
        <v>8500</v>
      </c>
      <c r="O489" s="10">
        <v>0</v>
      </c>
      <c r="P489" s="10">
        <v>170000</v>
      </c>
      <c r="Q489" s="10">
        <v>3</v>
      </c>
      <c r="R489" s="10" t="s">
        <v>245</v>
      </c>
      <c r="S489" s="10" t="s">
        <v>263</v>
      </c>
      <c r="T489" s="10" t="s">
        <v>278</v>
      </c>
      <c r="U489" s="10">
        <v>9281596011</v>
      </c>
      <c r="V489" s="12" t="s">
        <v>257</v>
      </c>
      <c r="W489" t="str">
        <f>IF(OR(Q489&lt;=2,V489="Cancelled"),"Blacklisted",IF(AND(P489&gt;100000,Q489&gt;=4,O489&lt;=10%,V489="Completed"),"Platinum",IF(AND(P489&gt;=50000,Q489&gt;=3,V489="Completed"),"Gold",IF(AND(P489&lt;50000,V489="Completed"),"Silver",""))))</f>
        <v>Gold</v>
      </c>
      <c r="X489" t="str">
        <f>PROPER(TRIM(F489))</f>
        <v>Arjun Rao</v>
      </c>
      <c r="Y489" t="str">
        <f>LEFT(F489,3)&amp;MID(B489,2,3)&amp;LEFT(I489,2)</f>
        <v>Arj007De</v>
      </c>
      <c r="Z489" t="str">
        <f>IF(ISNUMBER(SEARCH("@",T489)),LOWER(TRIM(T489)),"invalid email")</f>
        <v>arjun.rao@company.com</v>
      </c>
      <c r="AA489">
        <f ca="1">IF(H488="","",IFERROR(DATEDIF(IF(ISNUMBER(H488),H488,DATE(VALUE(RIGHT(H488,4)),VALUE(MID(H488,3,2)),VALUE(LEFT(H488,2)))),TODAY(),"Y"),""))</f>
        <v>31</v>
      </c>
      <c r="AB489" t="str">
        <f>IF(OR(D489="",E489=""),"",IFERROR(DATE(MID(E489,7,4),MID(E489,4,2),LEFT(E489,2))-DATE(MID(D489,7,4),MID(D489,4,2),LEFT(D489,2)),""))</f>
        <v/>
      </c>
      <c r="AC489" t="str">
        <f>IF(E489="","Pending",IF(AB489&lt;=5,"On time","Delayed"))</f>
        <v>Delayed</v>
      </c>
      <c r="AD489" s="29" t="str">
        <f>IF(TRIM(S489)="","Not Assigned",S489)</f>
        <v>Rahul</v>
      </c>
      <c r="AE489" t="str">
        <f>PROPER(TRIM(F489))</f>
        <v>Arjun Rao</v>
      </c>
      <c r="AF489" t="str">
        <f>PROPER(TRIM(K489))</f>
        <v>Home Appliances</v>
      </c>
      <c r="AG489" t="str">
        <f>PROPER(TRIM(J489))</f>
        <v>North</v>
      </c>
      <c r="AH489" t="str">
        <f t="shared" si="14"/>
        <v>Home Appliances</v>
      </c>
      <c r="AI489" t="str">
        <f t="shared" si="15"/>
        <v>Home Appliances</v>
      </c>
      <c r="AK489">
        <f>IF(COUNTIF($A$2:A489,A489)=1,1,0)</f>
        <v>1</v>
      </c>
    </row>
    <row r="490" spans="1:37">
      <c r="A490" s="4" t="s">
        <v>1179</v>
      </c>
      <c r="B490" s="5" t="s">
        <v>299</v>
      </c>
      <c r="C490" s="5" t="s">
        <v>267</v>
      </c>
      <c r="D490" s="5" t="s">
        <v>93</v>
      </c>
      <c r="E490" s="5" t="s">
        <v>189</v>
      </c>
      <c r="F490" s="5" t="s">
        <v>301</v>
      </c>
      <c r="G490" s="5" t="s">
        <v>269</v>
      </c>
      <c r="H490" s="6">
        <v>36933</v>
      </c>
      <c r="I490" s="5" t="s">
        <v>252</v>
      </c>
      <c r="J490" s="5" t="s">
        <v>242</v>
      </c>
      <c r="K490" s="5" t="s">
        <v>243</v>
      </c>
      <c r="L490" s="5" t="s">
        <v>271</v>
      </c>
      <c r="M490" s="5">
        <v>11</v>
      </c>
      <c r="N490" s="5">
        <v>1200</v>
      </c>
      <c r="O490" s="5">
        <v>5</v>
      </c>
      <c r="P490" s="5">
        <v>12540</v>
      </c>
      <c r="Q490" s="5">
        <v>2</v>
      </c>
      <c r="R490" s="5" t="s">
        <v>254</v>
      </c>
      <c r="S490" s="5" t="s">
        <v>255</v>
      </c>
      <c r="T490" s="5" t="s">
        <v>302</v>
      </c>
      <c r="U490" s="5">
        <v>9211734022</v>
      </c>
      <c r="V490" s="8" t="s">
        <v>248</v>
      </c>
      <c r="W490" t="str">
        <f>IF(OR(Q490&lt;=2,V490="Cancelled"),"Blacklisted",IF(AND(P490&gt;100000,Q490&gt;=4,O490&lt;=10%,V490="Completed"),"Platinum",IF(AND(P490&gt;=50000,Q490&gt;=3,V490="Completed"),"Gold",IF(AND(P490&lt;50000,V490="Completed"),"Silver",""))))</f>
        <v>Blacklisted</v>
      </c>
      <c r="X490" t="str">
        <f>PROPER(TRIM(F490))</f>
        <v>Rohit Singh</v>
      </c>
      <c r="Y490" t="str">
        <f>LEFT(F490,3)&amp;MID(B490,2,3)&amp;LEFT(I490,2)</f>
        <v>Roh003Hy</v>
      </c>
      <c r="Z490" t="str">
        <f>IF(ISNUMBER(SEARCH("@",T490)),LOWER(TRIM(T490)),"invalid email")</f>
        <v>rohit.singh@company.com</v>
      </c>
      <c r="AA490" t="str">
        <f ca="1">IF(H489="","",IFERROR(DATEDIF(IF(ISNUMBER(H489),H489,DATE(VALUE(RIGHT(H489,4)),VALUE(MID(H489,3,2)),VALUE(LEFT(H489,2)))),TODAY(),"Y"),""))</f>
        <v/>
      </c>
      <c r="AB490">
        <f>IF(OR(D490="",E490=""),"",IFERROR(DATE(MID(E490,7,4),MID(E490,4,2),LEFT(E490,2))-DATE(MID(D490,7,4),MID(D490,4,2),LEFT(D490,2)),""))</f>
        <v>9</v>
      </c>
      <c r="AC490" t="str">
        <f>IF(E490="","Pending",IF(AB490&lt;=5,"On time","Delayed"))</f>
        <v>Delayed</v>
      </c>
      <c r="AD490" s="29" t="str">
        <f>IF(TRIM(S490)="","Not Assigned",S490)</f>
        <v>Ritika</v>
      </c>
      <c r="AE490" t="str">
        <f>PROPER(TRIM(F490))</f>
        <v>Rohit Singh</v>
      </c>
      <c r="AF490" t="str">
        <f>PROPER(TRIM(K490))</f>
        <v>Electronics</v>
      </c>
      <c r="AG490" t="str">
        <f>PROPER(TRIM(J490))</f>
        <v>South</v>
      </c>
      <c r="AH490" t="str">
        <f t="shared" si="14"/>
        <v>Electronics</v>
      </c>
      <c r="AI490" t="str">
        <f t="shared" si="15"/>
        <v>Electronics</v>
      </c>
      <c r="AK490">
        <f>IF(COUNTIF($A$2:A490,A490)=1,1,0)</f>
        <v>1</v>
      </c>
    </row>
    <row r="491" spans="1:37">
      <c r="A491" s="9" t="s">
        <v>1180</v>
      </c>
      <c r="B491" s="10" t="s">
        <v>275</v>
      </c>
      <c r="C491" s="10" t="s">
        <v>330</v>
      </c>
      <c r="D491" s="10" t="s">
        <v>189</v>
      </c>
      <c r="E491" s="11">
        <v>45665</v>
      </c>
      <c r="F491" s="10" t="s">
        <v>328</v>
      </c>
      <c r="G491" s="10" t="s">
        <v>269</v>
      </c>
      <c r="H491" s="10" t="s">
        <v>1181</v>
      </c>
      <c r="I491" s="10" t="s">
        <v>306</v>
      </c>
      <c r="J491" s="10" t="s">
        <v>287</v>
      </c>
      <c r="K491" s="10" t="s">
        <v>243</v>
      </c>
      <c r="L491" s="10" t="s">
        <v>333</v>
      </c>
      <c r="M491" s="10">
        <v>14</v>
      </c>
      <c r="N491" s="10">
        <v>700</v>
      </c>
      <c r="O491" s="10">
        <v>0</v>
      </c>
      <c r="P491" s="10">
        <v>9800</v>
      </c>
      <c r="Q491" s="10">
        <v>2</v>
      </c>
      <c r="R491" s="10" t="s">
        <v>272</v>
      </c>
      <c r="S491" s="10" t="s">
        <v>312</v>
      </c>
      <c r="T491" s="10" t="s">
        <v>278</v>
      </c>
      <c r="U491" s="10">
        <v>9447151666</v>
      </c>
      <c r="V491" s="12" t="s">
        <v>265</v>
      </c>
      <c r="W491" t="str">
        <f>IF(OR(Q491&lt;=2,V491="Cancelled"),"Blacklisted",IF(AND(P491&gt;100000,Q491&gt;=4,O491&lt;=10%,V491="Completed"),"Platinum",IF(AND(P491&gt;=50000,Q491&gt;=3,V491="Completed"),"Gold",IF(AND(P491&lt;50000,V491="Completed"),"Silver",""))))</f>
        <v>Blacklisted</v>
      </c>
      <c r="X491" t="str">
        <f>PROPER(TRIM(F491))</f>
        <v>Arjun Rao</v>
      </c>
      <c r="Y491" t="str">
        <f>LEFT(F491,3)&amp;MID(B491,2,3)&amp;LEFT(I491,2)</f>
        <v>Arj007Ah</v>
      </c>
      <c r="Z491" t="str">
        <f>IF(ISNUMBER(SEARCH("@",T491)),LOWER(TRIM(T491)),"invalid email")</f>
        <v>arjun.rao@company.com</v>
      </c>
      <c r="AA491">
        <f ca="1">IF(H490="","",IFERROR(DATEDIF(IF(ISNUMBER(H490),H490,DATE(VALUE(RIGHT(H490,4)),VALUE(MID(H490,3,2)),VALUE(LEFT(H490,2)))),TODAY(),"Y"),""))</f>
        <v>25</v>
      </c>
      <c r="AB491" t="str">
        <f>IF(OR(D491="",E491=""),"",IFERROR(DATE(MID(E491,7,4),MID(E491,4,2),LEFT(E491,2))-DATE(MID(D491,7,4),MID(D491,4,2),LEFT(D491,2)),""))</f>
        <v/>
      </c>
      <c r="AC491" t="str">
        <f>IF(E491="","Pending",IF(AB491&lt;=5,"On time","Delayed"))</f>
        <v>Delayed</v>
      </c>
      <c r="AD491" s="29" t="str">
        <f>IF(TRIM(S491)="","Not Assigned",S491)</f>
        <v>Karan</v>
      </c>
      <c r="AE491" t="str">
        <f>PROPER(TRIM(F491))</f>
        <v>Arjun Rao</v>
      </c>
      <c r="AF491" t="str">
        <f>PROPER(TRIM(K491))</f>
        <v>Electronics</v>
      </c>
      <c r="AG491" t="str">
        <f>PROPER(TRIM(J491))</f>
        <v>West</v>
      </c>
      <c r="AH491" t="str">
        <f t="shared" si="14"/>
        <v>Electronics</v>
      </c>
      <c r="AI491" t="str">
        <f t="shared" si="15"/>
        <v>Electronics</v>
      </c>
      <c r="AK491">
        <f>IF(COUNTIF($A$2:A491,A491)=1,1,0)</f>
        <v>1</v>
      </c>
    </row>
    <row r="492" spans="1:37">
      <c r="A492" s="4" t="s">
        <v>1182</v>
      </c>
      <c r="B492" s="5" t="s">
        <v>266</v>
      </c>
      <c r="C492" s="5" t="s">
        <v>267</v>
      </c>
      <c r="D492" s="5" t="s">
        <v>105</v>
      </c>
      <c r="E492" s="6">
        <v>45668</v>
      </c>
      <c r="F492" s="5" t="s">
        <v>268</v>
      </c>
      <c r="G492" s="5" t="s">
        <v>269</v>
      </c>
      <c r="H492" s="5" t="s">
        <v>1183</v>
      </c>
      <c r="I492" s="5" t="s">
        <v>291</v>
      </c>
      <c r="J492" s="5" t="s">
        <v>287</v>
      </c>
      <c r="K492" s="5" t="s">
        <v>243</v>
      </c>
      <c r="L492" s="5" t="s">
        <v>271</v>
      </c>
      <c r="M492" s="5">
        <v>16</v>
      </c>
      <c r="N492" s="5">
        <v>1200</v>
      </c>
      <c r="O492" s="5">
        <v>15</v>
      </c>
      <c r="P492" s="5">
        <v>16320</v>
      </c>
      <c r="Q492" s="5">
        <v>4</v>
      </c>
      <c r="R492" s="5" t="s">
        <v>254</v>
      </c>
      <c r="S492" s="5" t="s">
        <v>312</v>
      </c>
      <c r="T492" s="5" t="s">
        <v>273</v>
      </c>
      <c r="U492" s="5">
        <v>9345342793</v>
      </c>
      <c r="V492" s="8" t="s">
        <v>248</v>
      </c>
      <c r="W492" t="str">
        <f>IF(OR(Q492&lt;=2,V492="Cancelled"),"Blacklisted",IF(AND(P492&gt;100000,Q492&gt;=4,O492&lt;=10%,V492="Completed"),"Platinum",IF(AND(P492&gt;=50000,Q492&gt;=3,V492="Completed"),"Gold",IF(AND(P492&lt;50000,V492="Completed"),"Silver",""))))</f>
        <v/>
      </c>
      <c r="X492" t="str">
        <f>PROPER(TRIM(F492))</f>
        <v>Mohit Verma</v>
      </c>
      <c r="Y492" t="str">
        <f>LEFT(F492,3)&amp;MID(B492,2,3)&amp;LEFT(I492,2)</f>
        <v>Moh009Pu</v>
      </c>
      <c r="Z492" t="str">
        <f>IF(ISNUMBER(SEARCH("@",T492)),LOWER(TRIM(T492)),"invalid email")</f>
        <v>mohit.verma@company.com</v>
      </c>
      <c r="AA492" t="str">
        <f ca="1">IF(H491="","",IFERROR(DATEDIF(IF(ISNUMBER(H491),H491,DATE(VALUE(RIGHT(H491,4)),VALUE(MID(H491,3,2)),VALUE(LEFT(H491,2)))),TODAY(),"Y"),""))</f>
        <v/>
      </c>
      <c r="AB492" t="str">
        <f>IF(OR(D492="",E492=""),"",IFERROR(DATE(MID(E492,7,4),MID(E492,4,2),LEFT(E492,2))-DATE(MID(D492,7,4),MID(D492,4,2),LEFT(D492,2)),""))</f>
        <v/>
      </c>
      <c r="AC492" t="str">
        <f>IF(E492="","Pending",IF(AB492&lt;=5,"On time","Delayed"))</f>
        <v>Delayed</v>
      </c>
      <c r="AD492" s="29" t="str">
        <f>IF(TRIM(S492)="","Not Assigned",S492)</f>
        <v>Karan</v>
      </c>
      <c r="AE492" t="str">
        <f>PROPER(TRIM(F492))</f>
        <v>Mohit Verma</v>
      </c>
      <c r="AF492" t="str">
        <f>PROPER(TRIM(K492))</f>
        <v>Electronics</v>
      </c>
      <c r="AG492" t="str">
        <f>PROPER(TRIM(J492))</f>
        <v>West</v>
      </c>
      <c r="AH492" t="str">
        <f t="shared" si="14"/>
        <v>Electronics</v>
      </c>
      <c r="AI492" t="str">
        <f t="shared" si="15"/>
        <v>Electronics</v>
      </c>
      <c r="AK492">
        <f>IF(COUNTIF($A$2:A492,A492)=1,1,0)</f>
        <v>1</v>
      </c>
    </row>
    <row r="493" spans="1:37">
      <c r="A493" s="9" t="s">
        <v>1184</v>
      </c>
      <c r="B493" s="10" t="s">
        <v>321</v>
      </c>
      <c r="C493" s="10" t="s">
        <v>250</v>
      </c>
      <c r="D493" s="10" t="s">
        <v>58</v>
      </c>
      <c r="E493" s="10" t="s">
        <v>185</v>
      </c>
      <c r="F493" s="10" t="s">
        <v>408</v>
      </c>
      <c r="G493" s="10" t="s">
        <v>239</v>
      </c>
      <c r="H493" s="10" t="s">
        <v>1185</v>
      </c>
      <c r="I493" s="10" t="s">
        <v>342</v>
      </c>
      <c r="J493" s="10" t="s">
        <v>261</v>
      </c>
      <c r="K493" s="10" t="s">
        <v>15</v>
      </c>
      <c r="L493" s="10" t="s">
        <v>253</v>
      </c>
      <c r="M493" s="10">
        <v>20</v>
      </c>
      <c r="N493" s="10">
        <v>2200</v>
      </c>
      <c r="O493" s="10">
        <v>0</v>
      </c>
      <c r="P493" s="10">
        <v>44000</v>
      </c>
      <c r="Q493" s="10">
        <v>5</v>
      </c>
      <c r="R493" s="10" t="s">
        <v>254</v>
      </c>
      <c r="S493" s="10" t="s">
        <v>255</v>
      </c>
      <c r="T493" s="10" t="s">
        <v>326</v>
      </c>
      <c r="U493" s="10">
        <v>9329668173</v>
      </c>
      <c r="V493" s="12" t="s">
        <v>265</v>
      </c>
      <c r="W493" t="str">
        <f>IF(OR(Q493&lt;=2,V493="Cancelled"),"Blacklisted",IF(AND(P493&gt;100000,Q493&gt;=4,O493&lt;=10%,V493="Completed"),"Platinum",IF(AND(P493&gt;=50000,Q493&gt;=3,V493="Completed"),"Gold",IF(AND(P493&lt;50000,V493="Completed"),"Silver",""))))</f>
        <v>Blacklisted</v>
      </c>
      <c r="X493" t="str">
        <f>PROPER(TRIM(F493))</f>
        <v>Anita Gupta</v>
      </c>
      <c r="Y493" t="str">
        <f>LEFT(F493,3)&amp;MID(B493,2,3)&amp;LEFT(I493,2)</f>
        <v>Ani004Ja</v>
      </c>
      <c r="Z493" t="str">
        <f>IF(ISNUMBER(SEARCH("@",T493)),LOWER(TRIM(T493)),"invalid email")</f>
        <v>anita.gupta@company.com</v>
      </c>
      <c r="AA493" t="str">
        <f ca="1">IF(H492="","",IFERROR(DATEDIF(IF(ISNUMBER(H492),H492,DATE(VALUE(RIGHT(H492,4)),VALUE(MID(H492,3,2)),VALUE(LEFT(H492,2)))),TODAY(),"Y"),""))</f>
        <v/>
      </c>
      <c r="AB493">
        <f>IF(OR(D493="",E493=""),"",IFERROR(DATE(MID(E493,7,4),MID(E493,4,2),LEFT(E493,2))-DATE(MID(D493,7,4),MID(D493,4,2),LEFT(D493,2)),""))</f>
        <v>12</v>
      </c>
      <c r="AC493" t="str">
        <f>IF(E493="","Pending",IF(AB493&lt;=5,"On time","Delayed"))</f>
        <v>Delayed</v>
      </c>
      <c r="AD493" s="29" t="str">
        <f>IF(TRIM(S493)="","Not Assigned",S493)</f>
        <v>Ritika</v>
      </c>
      <c r="AE493" t="str">
        <f>PROPER(TRIM(F493))</f>
        <v>Anita Gupta</v>
      </c>
      <c r="AF493" t="str">
        <f>PROPER(TRIM(K493))</f>
        <v>Home Appliances</v>
      </c>
      <c r="AG493" t="str">
        <f>PROPER(TRIM(J493))</f>
        <v>North</v>
      </c>
      <c r="AH493" t="str">
        <f t="shared" si="14"/>
        <v>Home Appliances</v>
      </c>
      <c r="AI493" t="str">
        <f t="shared" si="15"/>
        <v>Home Appliances</v>
      </c>
      <c r="AK493">
        <f>IF(COUNTIF($A$2:A493,A493)=1,1,0)</f>
        <v>1</v>
      </c>
    </row>
    <row r="494" spans="1:37">
      <c r="A494" s="4" t="s">
        <v>1186</v>
      </c>
      <c r="B494" s="5" t="s">
        <v>275</v>
      </c>
      <c r="C494" s="5" t="s">
        <v>258</v>
      </c>
      <c r="D494" s="5" t="s">
        <v>119</v>
      </c>
      <c r="E494" s="6">
        <v>45841</v>
      </c>
      <c r="F494" s="5" t="s">
        <v>328</v>
      </c>
      <c r="G494" s="5" t="s">
        <v>269</v>
      </c>
      <c r="H494" s="5" t="s">
        <v>1187</v>
      </c>
      <c r="I494" s="5" t="s">
        <v>342</v>
      </c>
      <c r="J494" s="5" t="s">
        <v>261</v>
      </c>
      <c r="K494" s="5" t="s">
        <v>243</v>
      </c>
      <c r="L494" s="5" t="s">
        <v>262</v>
      </c>
      <c r="M494" s="5">
        <v>12</v>
      </c>
      <c r="N494" s="5">
        <v>12000</v>
      </c>
      <c r="O494" s="5">
        <v>15</v>
      </c>
      <c r="P494" s="5">
        <v>122400</v>
      </c>
      <c r="Q494" s="5">
        <v>5</v>
      </c>
      <c r="R494" s="5" t="s">
        <v>254</v>
      </c>
      <c r="S494" s="5" t="s">
        <v>312</v>
      </c>
      <c r="T494" s="5" t="s">
        <v>278</v>
      </c>
      <c r="U494" s="5">
        <v>9294740227</v>
      </c>
      <c r="V494" s="8" t="s">
        <v>257</v>
      </c>
      <c r="W494" t="str">
        <f>IF(OR(Q494&lt;=2,V494="Cancelled"),"Blacklisted",IF(AND(P494&gt;100000,Q494&gt;=4,O494&lt;=10%,V494="Completed"),"Platinum",IF(AND(P494&gt;=50000,Q494&gt;=3,V494="Completed"),"Gold",IF(AND(P494&lt;50000,V494="Completed"),"Silver",""))))</f>
        <v>Gold</v>
      </c>
      <c r="X494" t="str">
        <f>PROPER(TRIM(F494))</f>
        <v>Arjun Rao</v>
      </c>
      <c r="Y494" t="str">
        <f>LEFT(F494,3)&amp;MID(B494,2,3)&amp;LEFT(I494,2)</f>
        <v>Arj007Ja</v>
      </c>
      <c r="Z494" t="str">
        <f>IF(ISNUMBER(SEARCH("@",T494)),LOWER(TRIM(T494)),"invalid email")</f>
        <v>arjun.rao@company.com</v>
      </c>
      <c r="AA494" t="str">
        <f ca="1">IF(H493="","",IFERROR(DATEDIF(IF(ISNUMBER(H493),H493,DATE(VALUE(RIGHT(H493,4)),VALUE(MID(H493,3,2)),VALUE(LEFT(H493,2)))),TODAY(),"Y"),""))</f>
        <v/>
      </c>
      <c r="AB494" t="str">
        <f>IF(OR(D494="",E494=""),"",IFERROR(DATE(MID(E494,7,4),MID(E494,4,2),LEFT(E494,2))-DATE(MID(D494,7,4),MID(D494,4,2),LEFT(D494,2)),""))</f>
        <v/>
      </c>
      <c r="AC494" t="str">
        <f>IF(E494="","Pending",IF(AB494&lt;=5,"On time","Delayed"))</f>
        <v>Delayed</v>
      </c>
      <c r="AD494" s="29" t="str">
        <f>IF(TRIM(S494)="","Not Assigned",S494)</f>
        <v>Karan</v>
      </c>
      <c r="AE494" t="str">
        <f>PROPER(TRIM(F494))</f>
        <v>Arjun Rao</v>
      </c>
      <c r="AF494" t="str">
        <f>PROPER(TRIM(K494))</f>
        <v>Electronics</v>
      </c>
      <c r="AG494" t="str">
        <f>PROPER(TRIM(J494))</f>
        <v>North</v>
      </c>
      <c r="AH494" t="str">
        <f t="shared" si="14"/>
        <v>Electronics</v>
      </c>
      <c r="AI494" t="str">
        <f t="shared" si="15"/>
        <v>Electronics</v>
      </c>
      <c r="AK494">
        <f>IF(COUNTIF($A$2:A494,A494)=1,1,0)</f>
        <v>1</v>
      </c>
    </row>
    <row r="495" spans="1:37">
      <c r="A495" s="9" t="s">
        <v>1188</v>
      </c>
      <c r="B495" s="10" t="s">
        <v>346</v>
      </c>
      <c r="C495" s="10" t="s">
        <v>267</v>
      </c>
      <c r="D495" s="11">
        <v>45973</v>
      </c>
      <c r="E495" s="10" t="s">
        <v>514</v>
      </c>
      <c r="F495" s="10" t="s">
        <v>348</v>
      </c>
      <c r="G495" s="10" t="s">
        <v>269</v>
      </c>
      <c r="H495" s="10" t="s">
        <v>1189</v>
      </c>
      <c r="I495" s="10" t="s">
        <v>260</v>
      </c>
      <c r="J495" s="10" t="s">
        <v>261</v>
      </c>
      <c r="K495" s="10" t="s">
        <v>243</v>
      </c>
      <c r="L495" s="10" t="s">
        <v>271</v>
      </c>
      <c r="M495" s="10">
        <v>3</v>
      </c>
      <c r="N495" s="10">
        <v>1200</v>
      </c>
      <c r="O495" s="10">
        <v>20</v>
      </c>
      <c r="P495" s="10">
        <v>2880</v>
      </c>
      <c r="Q495" s="10">
        <v>2</v>
      </c>
      <c r="R495" s="10" t="s">
        <v>245</v>
      </c>
      <c r="S495" s="10" t="s">
        <v>292</v>
      </c>
      <c r="T495" s="10" t="s">
        <v>638</v>
      </c>
      <c r="U495" s="10">
        <v>9549426303</v>
      </c>
      <c r="V495" s="12" t="s">
        <v>248</v>
      </c>
      <c r="W495" t="str">
        <f>IF(OR(Q495&lt;=2,V495="Cancelled"),"Blacklisted",IF(AND(P495&gt;100000,Q495&gt;=4,O495&lt;=10%,V495="Completed"),"Platinum",IF(AND(P495&gt;=50000,Q495&gt;=3,V495="Completed"),"Gold",IF(AND(P495&lt;50000,V495="Completed"),"Silver",""))))</f>
        <v>Blacklisted</v>
      </c>
      <c r="X495" t="str">
        <f>PROPER(TRIM(F495))</f>
        <v>Vikas Mehta</v>
      </c>
      <c r="Y495" t="str">
        <f>LEFT(F495,3)&amp;MID(B495,2,3)&amp;LEFT(I495,2)</f>
        <v>Vik005De</v>
      </c>
      <c r="Z495" t="str">
        <f>IF(ISNUMBER(SEARCH("@",T495)),LOWER(TRIM(T495)),"invalid email")</f>
        <v>invalid email</v>
      </c>
      <c r="AA495" t="str">
        <f ca="1">IF(H494="","",IFERROR(DATEDIF(IF(ISNUMBER(H494),H494,DATE(VALUE(RIGHT(H494,4)),VALUE(MID(H494,3,2)),VALUE(LEFT(H494,2)))),TODAY(),"Y"),""))</f>
        <v/>
      </c>
      <c r="AB495" t="str">
        <f>IF(OR(D495="",E495=""),"",IFERROR(DATE(MID(E495,7,4),MID(E495,4,2),LEFT(E495,2))-DATE(MID(D495,7,4),MID(D495,4,2),LEFT(D495,2)),""))</f>
        <v/>
      </c>
      <c r="AC495" t="str">
        <f>IF(E495="","Pending",IF(AB495&lt;=5,"On time","Delayed"))</f>
        <v>Delayed</v>
      </c>
      <c r="AD495" s="29" t="str">
        <f>IF(TRIM(S495)="","Not Assigned",S495)</f>
        <v>Neha</v>
      </c>
      <c r="AE495" t="str">
        <f>PROPER(TRIM(F495))</f>
        <v>Vikas Mehta</v>
      </c>
      <c r="AF495" t="str">
        <f>PROPER(TRIM(K495))</f>
        <v>Electronics</v>
      </c>
      <c r="AG495" t="str">
        <f>PROPER(TRIM(J495))</f>
        <v>North</v>
      </c>
      <c r="AH495" t="str">
        <f t="shared" si="14"/>
        <v>Electronics</v>
      </c>
      <c r="AI495" t="str">
        <f t="shared" si="15"/>
        <v>Electronics</v>
      </c>
      <c r="AK495">
        <f>IF(COUNTIF($A$2:A495,A495)=1,1,0)</f>
        <v>1</v>
      </c>
    </row>
    <row r="496" spans="1:37">
      <c r="A496" s="4" t="s">
        <v>1190</v>
      </c>
      <c r="B496" s="5" t="s">
        <v>284</v>
      </c>
      <c r="C496" s="5" t="s">
        <v>236</v>
      </c>
      <c r="D496" s="6">
        <v>45754</v>
      </c>
      <c r="E496" s="6">
        <v>45784</v>
      </c>
      <c r="F496" s="5" t="s">
        <v>285</v>
      </c>
      <c r="G496" s="5" t="s">
        <v>239</v>
      </c>
      <c r="H496" s="6">
        <v>29197</v>
      </c>
      <c r="I496" s="5" t="s">
        <v>286</v>
      </c>
      <c r="J496" s="5" t="s">
        <v>287</v>
      </c>
      <c r="K496" s="5" t="s">
        <v>243</v>
      </c>
      <c r="L496" s="5" t="s">
        <v>1191</v>
      </c>
      <c r="M496" s="5">
        <v>6</v>
      </c>
      <c r="N496" s="5">
        <v>55000</v>
      </c>
      <c r="O496" s="5">
        <v>20</v>
      </c>
      <c r="P496" s="5">
        <v>264000</v>
      </c>
      <c r="Q496" s="5">
        <v>3</v>
      </c>
      <c r="R496" s="5" t="s">
        <v>254</v>
      </c>
      <c r="S496" s="5" t="s">
        <v>312</v>
      </c>
      <c r="T496" s="5" t="s">
        <v>308</v>
      </c>
      <c r="U496" s="5">
        <v>9374249303</v>
      </c>
      <c r="V496" s="8" t="s">
        <v>257</v>
      </c>
      <c r="W496" t="str">
        <f>IF(OR(Q496&lt;=2,V496="Cancelled"),"Blacklisted",IF(AND(P496&gt;100000,Q496&gt;=4,O496&lt;=10%,V496="Completed"),"Platinum",IF(AND(P496&gt;=50000,Q496&gt;=3,V496="Completed"),"Gold",IF(AND(P496&lt;50000,V496="Completed"),"Silver",""))))</f>
        <v>Gold</v>
      </c>
      <c r="X496" t="str">
        <f>PROPER(TRIM(F496))</f>
        <v>Priya Patel</v>
      </c>
      <c r="Y496" t="str">
        <f>LEFT(F496,3)&amp;MID(B496,2,3)&amp;LEFT(I496,2)</f>
        <v>Pri002Mu</v>
      </c>
      <c r="Z496" t="str">
        <f>IF(ISNUMBER(SEARCH("@",T496)),LOWER(TRIM(T496)),"invalid email")</f>
        <v>priya.patel@company.com</v>
      </c>
      <c r="AA496" t="str">
        <f ca="1">IF(H495="","",IFERROR(DATEDIF(IF(ISNUMBER(H495),H495,DATE(VALUE(RIGHT(H495,4)),VALUE(MID(H495,3,2)),VALUE(LEFT(H495,2)))),TODAY(),"Y"),""))</f>
        <v/>
      </c>
      <c r="AB496" t="str">
        <f>IF(OR(D496="",E496=""),"",IFERROR(DATE(MID(E496,7,4),MID(E496,4,2),LEFT(E496,2))-DATE(MID(D496,7,4),MID(D496,4,2),LEFT(D496,2)),""))</f>
        <v/>
      </c>
      <c r="AC496" t="str">
        <f>IF(E496="","Pending",IF(AB496&lt;=5,"On time","Delayed"))</f>
        <v>Delayed</v>
      </c>
      <c r="AD496" s="29" t="str">
        <f>IF(TRIM(S496)="","Not Assigned",S496)</f>
        <v>Karan</v>
      </c>
      <c r="AE496" t="str">
        <f>PROPER(TRIM(F496))</f>
        <v>Priya Patel</v>
      </c>
      <c r="AF496" t="str">
        <f>PROPER(TRIM(K496))</f>
        <v>Electronics</v>
      </c>
      <c r="AG496" t="str">
        <f>PROPER(TRIM(J496))</f>
        <v>West</v>
      </c>
      <c r="AH496" t="str">
        <f t="shared" si="14"/>
        <v>Electronics</v>
      </c>
      <c r="AI496" t="str">
        <f t="shared" si="15"/>
        <v>Electronics</v>
      </c>
      <c r="AK496">
        <f>IF(COUNTIF($A$2:A496,A496)=1,1,0)</f>
        <v>1</v>
      </c>
    </row>
    <row r="497" spans="1:37">
      <c r="A497" s="9" t="s">
        <v>1192</v>
      </c>
      <c r="B497" s="10" t="s">
        <v>284</v>
      </c>
      <c r="C497" s="10" t="s">
        <v>280</v>
      </c>
      <c r="D497" s="10" t="s">
        <v>50</v>
      </c>
      <c r="E497" s="10" t="s">
        <v>300</v>
      </c>
      <c r="F497" s="10" t="s">
        <v>285</v>
      </c>
      <c r="G497" s="10" t="s">
        <v>239</v>
      </c>
      <c r="H497" s="10" t="s">
        <v>1193</v>
      </c>
      <c r="I497" s="10" t="s">
        <v>241</v>
      </c>
      <c r="J497" s="10" t="s">
        <v>242</v>
      </c>
      <c r="K497" s="10" t="s">
        <v>15</v>
      </c>
      <c r="L497" s="10" t="s">
        <v>282</v>
      </c>
      <c r="M497" s="10">
        <v>20</v>
      </c>
      <c r="N497" s="10">
        <v>3500</v>
      </c>
      <c r="O497" s="10">
        <v>0</v>
      </c>
      <c r="P497" s="10">
        <v>70000</v>
      </c>
      <c r="Q497" s="10">
        <v>1</v>
      </c>
      <c r="R497" s="10" t="s">
        <v>245</v>
      </c>
      <c r="S497" s="10" t="s">
        <v>312</v>
      </c>
      <c r="T497" s="10" t="s">
        <v>308</v>
      </c>
      <c r="U497" s="10">
        <v>9810334941</v>
      </c>
      <c r="V497" s="12" t="s">
        <v>248</v>
      </c>
      <c r="W497" t="str">
        <f>IF(OR(Q497&lt;=2,V497="Cancelled"),"Blacklisted",IF(AND(P497&gt;100000,Q497&gt;=4,O497&lt;=10%,V497="Completed"),"Platinum",IF(AND(P497&gt;=50000,Q497&gt;=3,V497="Completed"),"Gold",IF(AND(P497&lt;50000,V497="Completed"),"Silver",""))))</f>
        <v>Blacklisted</v>
      </c>
      <c r="X497" t="str">
        <f>PROPER(TRIM(F497))</f>
        <v>Priya Patel</v>
      </c>
      <c r="Y497" t="str">
        <f>LEFT(F497,3)&amp;MID(B497,2,3)&amp;LEFT(I497,2)</f>
        <v>Pri002Be</v>
      </c>
      <c r="Z497" t="str">
        <f>IF(ISNUMBER(SEARCH("@",T497)),LOWER(TRIM(T497)),"invalid email")</f>
        <v>priya.patel@company.com</v>
      </c>
      <c r="AA497">
        <f ca="1">IF(H496="","",IFERROR(DATEDIF(IF(ISNUMBER(H496),H496,DATE(VALUE(RIGHT(H496,4)),VALUE(MID(H496,3,2)),VALUE(LEFT(H496,2)))),TODAY(),"Y"),""))</f>
        <v>46</v>
      </c>
      <c r="AB497">
        <f>IF(OR(D497="",E497=""),"",IFERROR(DATE(MID(E497,7,4),MID(E497,4,2),LEFT(E497,2))-DATE(MID(D497,7,4),MID(D497,4,2),LEFT(D497,2)),""))</f>
        <v>7</v>
      </c>
      <c r="AC497" t="str">
        <f>IF(E497="","Pending",IF(AB497&lt;=5,"On time","Delayed"))</f>
        <v>Delayed</v>
      </c>
      <c r="AD497" s="29" t="str">
        <f>IF(TRIM(S497)="","Not Assigned",S497)</f>
        <v>Karan</v>
      </c>
      <c r="AE497" t="str">
        <f>PROPER(TRIM(F497))</f>
        <v>Priya Patel</v>
      </c>
      <c r="AF497" t="str">
        <f>PROPER(TRIM(K497))</f>
        <v>Home Appliances</v>
      </c>
      <c r="AG497" t="str">
        <f>PROPER(TRIM(J497))</f>
        <v>South</v>
      </c>
      <c r="AH497" t="str">
        <f t="shared" si="14"/>
        <v>Home Appliances</v>
      </c>
      <c r="AI497" t="str">
        <f t="shared" si="15"/>
        <v>Home Appliances</v>
      </c>
      <c r="AK497">
        <f>IF(COUNTIF($A$2:A497,A497)=1,1,0)</f>
        <v>1</v>
      </c>
    </row>
  </sheetData>
  <conditionalFormatting sqref="O2:O497">
    <cfRule type="expression" dxfId="0" priority="1">
      <formula>$O2&gt;20%</formula>
    </cfRule>
  </conditionalFormatting>
  <dataValidations count="2">
    <dataValidation type="whole" allowBlank="1" showInputMessage="1" showErrorMessage="1" sqref="AH2 M2:M497" xr:uid="{2FB26CD2-77E4-45B0-BE62-3AE72CAC4AEF}">
      <formula1>1</formula1>
      <formula2>20</formula2>
    </dataValidation>
    <dataValidation type="custom" allowBlank="1" showInputMessage="1" showErrorMessage="1" sqref="R2:R497" xr:uid="{0476242B-A04A-4FC7-9FEF-8D5D9AEA4C12}">
      <formula1>"UPI,Cash,Card,NetBanking"</formula1>
    </dataValidation>
  </dataValidations>
  <hyperlinks>
    <hyperlink ref="T2" r:id="rId1" xr:uid="{E2939BC0-02E0-472B-B22C-382636712B2C}"/>
    <hyperlink ref="T6" r:id="rId2" xr:uid="{9FB47325-7DF0-40F9-A25B-BC020F2E095C}"/>
    <hyperlink ref="T8" r:id="rId3" xr:uid="{A025C93D-573B-4834-935B-8AEFF614E5E6}"/>
    <hyperlink ref="T12" r:id="rId4" xr:uid="{89427000-C904-415C-8D5E-0B793A576336}"/>
    <hyperlink ref="T13" r:id="rId5" xr:uid="{983C5BB0-67DA-41C5-9724-ADEB2470D92D}"/>
    <hyperlink ref="T17" r:id="rId6" xr:uid="{781CC1A8-D55A-4F6F-B8BD-BF0AA4FD8660}"/>
    <hyperlink ref="T58" r:id="rId7" xr:uid="{088D2036-5AC8-45D0-94D8-84622008F4F0}"/>
    <hyperlink ref="T69" r:id="rId8" xr:uid="{1E823BBD-E420-4517-B9B3-D8E1EF30C1B3}"/>
    <hyperlink ref="T290" r:id="rId9" xr:uid="{AE825367-4A30-4914-A2E6-0B74D2926E7D}"/>
    <hyperlink ref="T446" r:id="rId10" xr:uid="{6F0FF4F3-7AC2-48F1-8819-F65A79B4DC19}"/>
    <hyperlink ref="T459" r:id="rId11" xr:uid="{E2C4CDE6-E8AF-446C-A091-0080976D6190}"/>
    <hyperlink ref="T475" r:id="rId12" xr:uid="{C759BB64-50E7-4C70-88A3-37C7C6D0E049}"/>
    <hyperlink ref="T485" r:id="rId13" xr:uid="{BCA69193-1246-43B8-B7F9-86519D657C5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B3A0-8AE7-43C2-9883-BA062488809A}">
  <dimension ref="A1:AG501"/>
  <sheetViews>
    <sheetView topLeftCell="Z1" workbookViewId="0">
      <selection activeCell="AI9" sqref="AI9"/>
    </sheetView>
  </sheetViews>
  <sheetFormatPr defaultRowHeight="15"/>
  <cols>
    <col min="1" max="1" width="24.140625" customWidth="1"/>
    <col min="4" max="5" width="12" customWidth="1"/>
    <col min="6" max="6" width="10" customWidth="1"/>
    <col min="7" max="7" width="10.85546875" customWidth="1"/>
    <col min="8" max="8" width="12.28515625" customWidth="1"/>
    <col min="9" max="9" width="15.140625" customWidth="1"/>
    <col min="15" max="15" width="13.7109375" customWidth="1"/>
    <col min="17" max="17" width="13.5703125" customWidth="1"/>
    <col min="18" max="18" width="10.28515625" customWidth="1"/>
    <col min="21" max="21" width="13.42578125" customWidth="1"/>
    <col min="25" max="25" width="12" customWidth="1"/>
    <col min="26" max="26" width="12.140625" customWidth="1"/>
    <col min="27" max="27" width="24.42578125" customWidth="1"/>
    <col min="28" max="28" width="15.28515625" customWidth="1"/>
    <col min="29" max="29" width="20.140625" customWidth="1"/>
    <col min="31" max="31" width="13.140625" customWidth="1"/>
    <col min="33" max="33" width="15.28515625" customWidth="1"/>
  </cols>
  <sheetData>
    <row r="1" spans="1:33">
      <c r="A1" t="s">
        <v>1225</v>
      </c>
      <c r="D1" s="1" t="s">
        <v>1226</v>
      </c>
      <c r="E1" s="2" t="s">
        <v>209</v>
      </c>
      <c r="F1" s="2" t="s">
        <v>210</v>
      </c>
      <c r="G1" s="2" t="s">
        <v>3</v>
      </c>
      <c r="H1" s="2" t="s">
        <v>211</v>
      </c>
      <c r="I1" s="2" t="s">
        <v>212</v>
      </c>
      <c r="J1" s="2" t="s">
        <v>213</v>
      </c>
      <c r="K1" s="2" t="s">
        <v>214</v>
      </c>
      <c r="L1" s="2" t="s">
        <v>215</v>
      </c>
      <c r="M1" s="2" t="s">
        <v>19</v>
      </c>
      <c r="N1" s="2" t="s">
        <v>13</v>
      </c>
      <c r="O1" s="2" t="s">
        <v>216</v>
      </c>
      <c r="P1" s="2" t="s">
        <v>217</v>
      </c>
      <c r="Q1" s="2" t="s">
        <v>218</v>
      </c>
      <c r="R1" s="2" t="s">
        <v>219</v>
      </c>
      <c r="S1" s="2" t="s">
        <v>220</v>
      </c>
      <c r="T1" s="2" t="s">
        <v>221</v>
      </c>
      <c r="U1" s="2" t="s">
        <v>222</v>
      </c>
      <c r="V1" s="2" t="s">
        <v>223</v>
      </c>
      <c r="W1" s="2" t="s">
        <v>224</v>
      </c>
      <c r="X1" s="2" t="s">
        <v>225</v>
      </c>
      <c r="Y1" s="3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</row>
    <row r="2" spans="1:33">
      <c r="D2" s="4" t="s">
        <v>234</v>
      </c>
      <c r="E2" s="5" t="s">
        <v>249</v>
      </c>
      <c r="F2" s="5" t="s">
        <v>250</v>
      </c>
      <c r="G2" s="5" t="s">
        <v>70</v>
      </c>
      <c r="H2" s="5" t="s">
        <v>115</v>
      </c>
      <c r="I2" s="5" t="s">
        <v>251</v>
      </c>
      <c r="J2" s="5" t="s">
        <v>239</v>
      </c>
      <c r="K2" s="6">
        <v>27767</v>
      </c>
      <c r="L2" s="5" t="s">
        <v>252</v>
      </c>
      <c r="M2" s="5" t="s">
        <v>242</v>
      </c>
      <c r="N2" s="5" t="s">
        <v>15</v>
      </c>
      <c r="O2" s="5" t="s">
        <v>253</v>
      </c>
      <c r="P2" s="5">
        <v>4</v>
      </c>
      <c r="Q2" s="5">
        <v>2200</v>
      </c>
      <c r="R2" s="5">
        <v>10</v>
      </c>
      <c r="S2" s="5">
        <v>7920</v>
      </c>
      <c r="T2" s="5">
        <v>4</v>
      </c>
      <c r="U2" s="5" t="s">
        <v>254</v>
      </c>
      <c r="V2" s="5" t="s">
        <v>255</v>
      </c>
      <c r="W2" s="7" t="s">
        <v>256</v>
      </c>
      <c r="X2" s="5">
        <v>9431429797</v>
      </c>
      <c r="Y2" s="8" t="s">
        <v>257</v>
      </c>
      <c r="Z2" t="str">
        <f>IF(OR(T2&lt;=2,Y2="Cancelled"),"Blacklisted",IF(AND(S2&gt;100000,T2&gt;=4,R2&lt;=10%,Y2="Completed"),"Platinum",IF(AND(S2&gt;=50000,T2&gt;=3,Y2="Completed"),"Gold",IF(AND(S2&lt;50000,Y2="Completed"),"Silver",""))))</f>
        <v>Silver</v>
      </c>
      <c r="AA2" t="str">
        <f>PROPER(TRIM(I2))</f>
        <v>Kavya Nair</v>
      </c>
      <c r="AB2" t="str">
        <f>LEFT(I2,3)&amp;MID(E2,2,3)&amp;LEFT(L2,2)</f>
        <v>Kav008Hy</v>
      </c>
      <c r="AC2" t="str">
        <f>IF(ISNUMBER(SEARCH("@",W2)),LOWER(TRIM(W2)),"invalid email")</f>
        <v>kavya.nair@company.com</v>
      </c>
      <c r="AD2">
        <f ca="1">DATEDIF(K2,TODAY(),"Y")</f>
        <v>50</v>
      </c>
      <c r="AE2">
        <f>IF(OR(G2="",H2=""),"",IFERROR(DATE(MID(H2,7,4),MID(H2,4,2),LEFT(H2,2))-DATE(MID(G2,7,4),MID(G2,4,2),LEFT(G2,2)),""))</f>
        <v>4</v>
      </c>
      <c r="AF2" t="str">
        <f>IF(H2="","Pending",IF(AE2&lt;=5,"On time","Delayed"))</f>
        <v>On time</v>
      </c>
      <c r="AG2" s="29" t="str">
        <f>IFERROR(DATE(VALUE(RIGHT(D2,4)),VALUE(MID(D2,FIND("/",D2)+1,2)),1),"")</f>
        <v/>
      </c>
    </row>
    <row r="3" spans="1:33">
      <c r="A3" t="s">
        <v>1227</v>
      </c>
      <c r="B3" t="s">
        <v>250</v>
      </c>
      <c r="D3" s="4" t="s">
        <v>234</v>
      </c>
      <c r="E3" s="10" t="s">
        <v>249</v>
      </c>
      <c r="F3" s="10" t="s">
        <v>258</v>
      </c>
      <c r="G3" s="10" t="s">
        <v>165</v>
      </c>
      <c r="H3" s="11">
        <v>45752</v>
      </c>
      <c r="I3" s="10" t="s">
        <v>251</v>
      </c>
      <c r="J3" s="10" t="s">
        <v>239</v>
      </c>
      <c r="K3" s="10" t="s">
        <v>259</v>
      </c>
      <c r="L3" s="10" t="s">
        <v>260</v>
      </c>
      <c r="M3" s="10" t="s">
        <v>261</v>
      </c>
      <c r="N3" s="10" t="s">
        <v>243</v>
      </c>
      <c r="O3" s="10" t="s">
        <v>262</v>
      </c>
      <c r="P3" s="10">
        <v>17</v>
      </c>
      <c r="Q3" s="10">
        <v>12000</v>
      </c>
      <c r="R3" s="10">
        <v>10</v>
      </c>
      <c r="S3" s="10">
        <v>183600</v>
      </c>
      <c r="T3" s="10">
        <v>1</v>
      </c>
      <c r="U3" s="10" t="s">
        <v>245</v>
      </c>
      <c r="V3" s="10" t="s">
        <v>263</v>
      </c>
      <c r="W3" s="10" t="s">
        <v>264</v>
      </c>
      <c r="X3" s="10">
        <v>9129865339</v>
      </c>
      <c r="Y3" s="12" t="s">
        <v>257</v>
      </c>
      <c r="Z3" t="str">
        <f t="shared" ref="Z3:Z66" si="0">IF(OR(T3&lt;=2,Y3="Cancelled"),"Blacklisted",IF(AND(S3&gt;100000,T3&gt;=4,R3&lt;=10%,Y3="Completed"),"Platinum",IF(AND(S3&gt;=50000,T3&gt;=3,Y3="Completed"),"Gold",IF(AND(S3&lt;50000,Y3="Completed"),"Silver",""))))</f>
        <v>Blacklisted</v>
      </c>
      <c r="AA3" t="str">
        <f t="shared" ref="AA3:AA66" si="1">PROPER(TRIM(I3))</f>
        <v>Kavya Nair</v>
      </c>
      <c r="AB3" t="str">
        <f t="shared" ref="AB3:AB66" si="2">LEFT(I3,3)&amp;MID(E3,2,3)&amp;LEFT(L3,2)</f>
        <v>Kav008De</v>
      </c>
      <c r="AC3" t="str">
        <f>IF(ISNUMBER(SEARCH("@",W3)),LOWER(TRIM(W3)),"invalid email")</f>
        <v>kavya.nair@company.com</v>
      </c>
      <c r="AD3">
        <f ca="1">IF(K2="","",IFERROR(DATEDIF(IF(ISNUMBER(K2),K2,DATE(VALUE(RIGHT(K2,4)),VALUE(MID(K2,3,2)),VALUE(LEFT(K2,2)))),TODAY(),"Y"),""))</f>
        <v>50</v>
      </c>
      <c r="AE3" t="str">
        <f t="shared" ref="AE3:AE66" si="3">IF(OR(G3="",H3=""),"",IFERROR(DATE(MID(H3,7,4),MID(H3,4,2),LEFT(H3,2))-DATE(MID(G3,7,4),MID(G3,4,2),LEFT(G3,2)),""))</f>
        <v/>
      </c>
      <c r="AF3" t="str">
        <f t="shared" ref="AF3:AF66" si="4">IF(H3="","Pending",IF(AE3&lt;=5,"On time","Delayed"))</f>
        <v>Delayed</v>
      </c>
      <c r="AG3" s="29" t="str">
        <f t="shared" ref="AG3:AG37" si="5">IFERROR(DATE(VALUE(RIGHT(D3,4)),VALUE(MID(D3,FIND("/",D3)+1,2)),1),"")</f>
        <v/>
      </c>
    </row>
    <row r="4" spans="1:33">
      <c r="D4" s="4" t="s">
        <v>234</v>
      </c>
      <c r="E4" s="5" t="s">
        <v>235</v>
      </c>
      <c r="F4" s="5" t="s">
        <v>236</v>
      </c>
      <c r="G4" s="6">
        <v>45725</v>
      </c>
      <c r="H4" s="5" t="s">
        <v>237</v>
      </c>
      <c r="I4" s="5" t="s">
        <v>238</v>
      </c>
      <c r="J4" s="5" t="s">
        <v>239</v>
      </c>
      <c r="K4" s="5" t="s">
        <v>240</v>
      </c>
      <c r="L4" s="5" t="s">
        <v>241</v>
      </c>
      <c r="M4" s="5" t="s">
        <v>242</v>
      </c>
      <c r="N4" s="5" t="s">
        <v>243</v>
      </c>
      <c r="O4" s="5" t="s">
        <v>244</v>
      </c>
      <c r="P4" s="5">
        <v>5</v>
      </c>
      <c r="Q4" s="5">
        <v>55000</v>
      </c>
      <c r="R4" s="5">
        <v>5</v>
      </c>
      <c r="S4" s="5">
        <v>261250</v>
      </c>
      <c r="T4" s="5">
        <v>3</v>
      </c>
      <c r="U4" s="5" t="s">
        <v>245</v>
      </c>
      <c r="V4" s="5" t="s">
        <v>246</v>
      </c>
      <c r="W4" s="5" t="s">
        <v>247</v>
      </c>
      <c r="X4" s="5">
        <v>9380975626</v>
      </c>
      <c r="Y4" s="8" t="s">
        <v>248</v>
      </c>
      <c r="Z4" t="str">
        <f t="shared" si="0"/>
        <v/>
      </c>
      <c r="AA4" t="str">
        <f t="shared" si="1"/>
        <v>Pooja Shah</v>
      </c>
      <c r="AB4" t="str">
        <f t="shared" si="2"/>
        <v>poo010Be</v>
      </c>
      <c r="AC4" t="str">
        <f t="shared" ref="AC4:AC67" si="6">IF(ISNUMBER(SEARCH("@",W4)),LOWER(TRIM(W4)),"invalid email")</f>
        <v>pooja.shah@company.com</v>
      </c>
      <c r="AD4" t="str">
        <f ca="1">IF(K3="","",IFERROR(DATEDIF(IF(ISNUMBER(K3),K3,DATE(VALUE(RIGHT(K3,4)),VALUE(MID(K3,3,2)),VALUE(LEFT(K3,2)))),TODAY(),"Y"),""))</f>
        <v/>
      </c>
      <c r="AE4" t="str">
        <f t="shared" si="3"/>
        <v/>
      </c>
      <c r="AF4" t="str">
        <f t="shared" si="4"/>
        <v>Delayed</v>
      </c>
      <c r="AG4" s="29" t="str">
        <f t="shared" si="5"/>
        <v/>
      </c>
    </row>
    <row r="5" spans="1:33">
      <c r="A5" t="s">
        <v>1228</v>
      </c>
      <c r="B5" t="str">
        <f>IFERROR(_xlfn.XLOOKUP($B$3,Sheet2!$F:$F,Sheet2!$O:$O),"Product Not Found")</f>
        <v>Iron</v>
      </c>
      <c r="D5" s="4" t="s">
        <v>234</v>
      </c>
      <c r="E5" s="10" t="s">
        <v>249</v>
      </c>
      <c r="F5" s="10" t="s">
        <v>250</v>
      </c>
      <c r="G5" s="10" t="s">
        <v>100</v>
      </c>
      <c r="H5" s="11">
        <v>46057</v>
      </c>
      <c r="I5" s="10" t="s">
        <v>251</v>
      </c>
      <c r="J5" s="10" t="s">
        <v>239</v>
      </c>
      <c r="K5" s="11">
        <v>38171</v>
      </c>
      <c r="L5" s="10" t="s">
        <v>241</v>
      </c>
      <c r="M5" s="10" t="s">
        <v>242</v>
      </c>
      <c r="N5" s="10" t="s">
        <v>15</v>
      </c>
      <c r="O5" s="10" t="s">
        <v>253</v>
      </c>
      <c r="P5" s="10">
        <v>5</v>
      </c>
      <c r="Q5" s="10">
        <v>2200</v>
      </c>
      <c r="R5" s="10">
        <v>5</v>
      </c>
      <c r="S5" s="10">
        <v>10450</v>
      </c>
      <c r="T5" s="10">
        <v>5</v>
      </c>
      <c r="U5" s="10" t="s">
        <v>245</v>
      </c>
      <c r="V5" s="10" t="s">
        <v>246</v>
      </c>
      <c r="W5" s="13" t="s">
        <v>264</v>
      </c>
      <c r="X5" s="10">
        <v>9600261125</v>
      </c>
      <c r="Y5" s="12" t="s">
        <v>265</v>
      </c>
      <c r="Z5" t="str">
        <f t="shared" si="0"/>
        <v>Blacklisted</v>
      </c>
      <c r="AA5" t="str">
        <f t="shared" si="1"/>
        <v>Kavya Nair</v>
      </c>
      <c r="AB5" t="str">
        <f t="shared" si="2"/>
        <v>Kav008Be</v>
      </c>
      <c r="AC5" t="str">
        <f t="shared" si="6"/>
        <v>kavya.nair@company.com</v>
      </c>
      <c r="AD5" t="str">
        <f t="shared" ref="AD5:AD68" ca="1" si="7">IF(K4="","",IFERROR(DATEDIF(IF(ISNUMBER(K4),K4,DATE(VALUE(RIGHT(K4,4)),VALUE(MID(K4,3,2)),VALUE(LEFT(K4,2)))),TODAY(),"Y"),""))</f>
        <v/>
      </c>
      <c r="AE5" t="str">
        <f t="shared" si="3"/>
        <v/>
      </c>
      <c r="AF5" t="str">
        <f t="shared" si="4"/>
        <v>Delayed</v>
      </c>
      <c r="AG5" s="29" t="str">
        <f t="shared" si="5"/>
        <v/>
      </c>
    </row>
    <row r="6" spans="1:33">
      <c r="B6" s="20"/>
      <c r="D6" s="4" t="s">
        <v>234</v>
      </c>
      <c r="E6" s="5" t="s">
        <v>266</v>
      </c>
      <c r="F6" s="5" t="s">
        <v>267</v>
      </c>
      <c r="G6" s="5" t="s">
        <v>170</v>
      </c>
      <c r="H6" s="6">
        <v>45848</v>
      </c>
      <c r="I6" s="5" t="s">
        <v>268</v>
      </c>
      <c r="J6" s="5" t="s">
        <v>269</v>
      </c>
      <c r="K6" s="5" t="s">
        <v>270</v>
      </c>
      <c r="L6" s="5" t="s">
        <v>260</v>
      </c>
      <c r="M6" s="5" t="s">
        <v>261</v>
      </c>
      <c r="N6" s="5" t="s">
        <v>243</v>
      </c>
      <c r="O6" s="5" t="s">
        <v>271</v>
      </c>
      <c r="P6" s="5">
        <v>8</v>
      </c>
      <c r="Q6" s="5">
        <v>1200</v>
      </c>
      <c r="R6" s="5">
        <v>5</v>
      </c>
      <c r="S6" s="5">
        <v>9120</v>
      </c>
      <c r="T6" s="5">
        <v>2</v>
      </c>
      <c r="U6" s="5" t="s">
        <v>272</v>
      </c>
      <c r="V6" s="5" t="s">
        <v>246</v>
      </c>
      <c r="W6" s="5" t="s">
        <v>273</v>
      </c>
      <c r="X6" s="5">
        <v>9724635978</v>
      </c>
      <c r="Y6" s="8" t="s">
        <v>248</v>
      </c>
      <c r="Z6" t="str">
        <f t="shared" si="0"/>
        <v>Blacklisted</v>
      </c>
      <c r="AA6" t="str">
        <f t="shared" si="1"/>
        <v>Mohit Verma</v>
      </c>
      <c r="AB6" t="str">
        <f t="shared" si="2"/>
        <v>Moh009De</v>
      </c>
      <c r="AC6" t="str">
        <f t="shared" si="6"/>
        <v>mohit.verma@company.com</v>
      </c>
      <c r="AD6">
        <f t="shared" ca="1" si="7"/>
        <v>22</v>
      </c>
      <c r="AE6" t="str">
        <f t="shared" si="3"/>
        <v/>
      </c>
      <c r="AF6" t="str">
        <f t="shared" si="4"/>
        <v>Delayed</v>
      </c>
      <c r="AG6" s="29" t="str">
        <f t="shared" si="5"/>
        <v/>
      </c>
    </row>
    <row r="7" spans="1:33">
      <c r="A7" t="s">
        <v>13</v>
      </c>
      <c r="B7" s="20" t="str">
        <f>IFERROR(_xlfn.XLOOKUP($B$3,Sheet2!$F:$F,Sheet2!$N:$N),"Product Not Found")</f>
        <v>Home Appliances</v>
      </c>
      <c r="D7" s="9" t="s">
        <v>274</v>
      </c>
      <c r="E7" s="10" t="s">
        <v>275</v>
      </c>
      <c r="F7" s="10" t="s">
        <v>250</v>
      </c>
      <c r="G7" s="11">
        <v>46113</v>
      </c>
      <c r="H7" s="11">
        <v>46357</v>
      </c>
      <c r="I7" s="10" t="s">
        <v>276</v>
      </c>
      <c r="J7" s="10" t="s">
        <v>269</v>
      </c>
      <c r="K7" s="11">
        <v>32326</v>
      </c>
      <c r="L7" s="10" t="s">
        <v>252</v>
      </c>
      <c r="M7" s="10" t="s">
        <v>242</v>
      </c>
      <c r="N7" s="10" t="s">
        <v>15</v>
      </c>
      <c r="O7" s="10" t="s">
        <v>253</v>
      </c>
      <c r="P7" s="10">
        <v>4</v>
      </c>
      <c r="Q7" s="10">
        <v>2200</v>
      </c>
      <c r="R7" s="10">
        <v>0</v>
      </c>
      <c r="S7" s="10">
        <v>8800</v>
      </c>
      <c r="T7" s="10">
        <v>1</v>
      </c>
      <c r="U7" s="10" t="s">
        <v>277</v>
      </c>
      <c r="V7" s="10" t="s">
        <v>255</v>
      </c>
      <c r="W7" s="10" t="s">
        <v>278</v>
      </c>
      <c r="X7" s="10">
        <v>9780584905</v>
      </c>
      <c r="Y7" s="12" t="s">
        <v>257</v>
      </c>
      <c r="Z7" t="str">
        <f t="shared" si="0"/>
        <v>Blacklisted</v>
      </c>
      <c r="AA7" t="str">
        <f t="shared" si="1"/>
        <v>Arjun Rao</v>
      </c>
      <c r="AB7" t="str">
        <f t="shared" si="2"/>
        <v>arj007Hy</v>
      </c>
      <c r="AC7" t="str">
        <f t="shared" si="6"/>
        <v>arjun.rao@company.com</v>
      </c>
      <c r="AD7" t="str">
        <f t="shared" ca="1" si="7"/>
        <v/>
      </c>
      <c r="AE7" t="str">
        <f t="shared" si="3"/>
        <v/>
      </c>
      <c r="AF7" t="str">
        <f t="shared" si="4"/>
        <v>Delayed</v>
      </c>
      <c r="AG7" s="29" t="str">
        <f t="shared" si="5"/>
        <v/>
      </c>
    </row>
    <row r="8" spans="1:33">
      <c r="B8" s="20"/>
      <c r="D8" s="4" t="s">
        <v>279</v>
      </c>
      <c r="E8" s="5" t="s">
        <v>249</v>
      </c>
      <c r="F8" s="5" t="s">
        <v>280</v>
      </c>
      <c r="G8" s="5" t="s">
        <v>203</v>
      </c>
      <c r="H8" s="5" t="s">
        <v>139</v>
      </c>
      <c r="I8" s="5" t="s">
        <v>251</v>
      </c>
      <c r="J8" s="5" t="s">
        <v>239</v>
      </c>
      <c r="K8" s="5" t="s">
        <v>281</v>
      </c>
      <c r="L8" s="5" t="s">
        <v>252</v>
      </c>
      <c r="M8" s="5" t="s">
        <v>242</v>
      </c>
      <c r="N8" s="5" t="s">
        <v>15</v>
      </c>
      <c r="O8" s="5" t="s">
        <v>282</v>
      </c>
      <c r="P8" s="5">
        <v>2</v>
      </c>
      <c r="Q8" s="5">
        <v>3500</v>
      </c>
      <c r="R8" s="5">
        <v>5</v>
      </c>
      <c r="S8" s="5">
        <v>6650</v>
      </c>
      <c r="T8" s="5">
        <v>1</v>
      </c>
      <c r="U8" s="5" t="s">
        <v>277</v>
      </c>
      <c r="V8" s="5" t="s">
        <v>255</v>
      </c>
      <c r="W8" s="5" t="s">
        <v>264</v>
      </c>
      <c r="X8" s="5">
        <v>9958252176</v>
      </c>
      <c r="Y8" s="8" t="s">
        <v>257</v>
      </c>
      <c r="Z8" t="str">
        <f t="shared" si="0"/>
        <v>Blacklisted</v>
      </c>
      <c r="AA8" t="str">
        <f t="shared" si="1"/>
        <v>Kavya Nair</v>
      </c>
      <c r="AB8" t="str">
        <f t="shared" si="2"/>
        <v>Kav008Hy</v>
      </c>
      <c r="AC8" t="str">
        <f t="shared" si="6"/>
        <v>kavya.nair@company.com</v>
      </c>
      <c r="AD8">
        <f t="shared" ca="1" si="7"/>
        <v>38</v>
      </c>
      <c r="AE8">
        <f t="shared" si="3"/>
        <v>359</v>
      </c>
      <c r="AF8" t="str">
        <f t="shared" si="4"/>
        <v>Delayed</v>
      </c>
      <c r="AG8" s="29" t="str">
        <f t="shared" si="5"/>
        <v/>
      </c>
    </row>
    <row r="9" spans="1:33">
      <c r="A9" t="s">
        <v>1229</v>
      </c>
      <c r="B9" s="20">
        <f>_xlfn.XLOOKUP($B$3,Sheet2!$F:$F,Sheet2!$Q:$Q,"Product Not Found")</f>
        <v>2200</v>
      </c>
      <c r="D9" s="9" t="s">
        <v>283</v>
      </c>
      <c r="E9" s="10" t="s">
        <v>284</v>
      </c>
      <c r="F9" s="10" t="s">
        <v>258</v>
      </c>
      <c r="G9" s="10" t="s">
        <v>12</v>
      </c>
      <c r="H9" s="10" t="s">
        <v>77</v>
      </c>
      <c r="I9" s="10" t="s">
        <v>285</v>
      </c>
      <c r="J9" s="10" t="s">
        <v>239</v>
      </c>
      <c r="K9" s="11">
        <v>34883</v>
      </c>
      <c r="L9" s="10" t="s">
        <v>286</v>
      </c>
      <c r="M9" s="10" t="s">
        <v>287</v>
      </c>
      <c r="N9" s="10" t="s">
        <v>243</v>
      </c>
      <c r="O9" s="10" t="s">
        <v>262</v>
      </c>
      <c r="P9" s="10">
        <v>14</v>
      </c>
      <c r="Q9" s="10">
        <v>12000</v>
      </c>
      <c r="R9" s="10">
        <v>15</v>
      </c>
      <c r="S9" s="10">
        <v>142800</v>
      </c>
      <c r="T9" s="10">
        <v>4</v>
      </c>
      <c r="U9" s="10" t="s">
        <v>245</v>
      </c>
      <c r="V9" s="10" t="s">
        <v>255</v>
      </c>
      <c r="W9" s="13" t="s">
        <v>288</v>
      </c>
      <c r="X9" s="10">
        <v>9705521654</v>
      </c>
      <c r="Y9" s="12" t="s">
        <v>257</v>
      </c>
      <c r="Z9" t="str">
        <f t="shared" si="0"/>
        <v>Gold</v>
      </c>
      <c r="AA9" t="str">
        <f t="shared" si="1"/>
        <v>Priya Patel</v>
      </c>
      <c r="AB9" t="str">
        <f t="shared" si="2"/>
        <v>Pri002Mu</v>
      </c>
      <c r="AC9" t="str">
        <f t="shared" si="6"/>
        <v>priya.patel@company.com</v>
      </c>
      <c r="AD9" t="str">
        <f t="shared" ca="1" si="7"/>
        <v/>
      </c>
      <c r="AE9">
        <f t="shared" si="3"/>
        <v>6</v>
      </c>
      <c r="AF9" t="str">
        <f t="shared" si="4"/>
        <v>Delayed</v>
      </c>
      <c r="AG9" s="29" t="str">
        <f t="shared" si="5"/>
        <v/>
      </c>
    </row>
    <row r="10" spans="1:33">
      <c r="B10" s="20"/>
      <c r="D10" s="4" t="s">
        <v>289</v>
      </c>
      <c r="E10" s="5" t="s">
        <v>249</v>
      </c>
      <c r="F10" s="5" t="s">
        <v>258</v>
      </c>
      <c r="G10" s="5" t="s">
        <v>202</v>
      </c>
      <c r="H10" s="6">
        <v>46055</v>
      </c>
      <c r="I10" s="5" t="s">
        <v>290</v>
      </c>
      <c r="J10" s="5" t="s">
        <v>239</v>
      </c>
      <c r="K10" s="6">
        <v>35585</v>
      </c>
      <c r="L10" s="5" t="s">
        <v>291</v>
      </c>
      <c r="M10" s="5" t="s">
        <v>287</v>
      </c>
      <c r="N10" s="5" t="s">
        <v>243</v>
      </c>
      <c r="O10" s="5" t="s">
        <v>262</v>
      </c>
      <c r="P10" s="5">
        <v>4</v>
      </c>
      <c r="Q10" s="5">
        <v>12000</v>
      </c>
      <c r="R10" s="5">
        <v>15</v>
      </c>
      <c r="S10" s="5">
        <v>40800</v>
      </c>
      <c r="T10" s="5">
        <v>4</v>
      </c>
      <c r="U10" s="5" t="s">
        <v>277</v>
      </c>
      <c r="V10" s="5" t="s">
        <v>292</v>
      </c>
      <c r="W10" s="5" t="s">
        <v>264</v>
      </c>
      <c r="X10" s="5">
        <v>9588041011</v>
      </c>
      <c r="Y10" s="8" t="s">
        <v>257</v>
      </c>
      <c r="Z10" t="str">
        <f t="shared" si="0"/>
        <v>Silver</v>
      </c>
      <c r="AA10" t="str">
        <f t="shared" si="1"/>
        <v>Kavya Nair</v>
      </c>
      <c r="AB10" t="str">
        <f t="shared" si="2"/>
        <v>kav008Pu</v>
      </c>
      <c r="AC10" t="str">
        <f t="shared" si="6"/>
        <v>kavya.nair@company.com</v>
      </c>
      <c r="AD10">
        <f t="shared" ca="1" si="7"/>
        <v>31</v>
      </c>
      <c r="AE10" t="str">
        <f t="shared" si="3"/>
        <v/>
      </c>
      <c r="AF10" t="str">
        <f t="shared" si="4"/>
        <v>Delayed</v>
      </c>
      <c r="AG10" s="29" t="str">
        <f t="shared" si="5"/>
        <v/>
      </c>
    </row>
    <row r="11" spans="1:33">
      <c r="A11" t="s">
        <v>1230</v>
      </c>
      <c r="B11" s="20" t="str">
        <f>_xlfn.XLOOKUP($B$3,Sheet2!$F:$F,Sheet2!$V:$V,"Product Not Found")</f>
        <v>Ritika</v>
      </c>
      <c r="D11" s="9" t="s">
        <v>293</v>
      </c>
      <c r="E11" s="10" t="s">
        <v>284</v>
      </c>
      <c r="F11" s="10" t="s">
        <v>294</v>
      </c>
      <c r="G11" s="10" t="s">
        <v>140</v>
      </c>
      <c r="H11" s="10" t="s">
        <v>163</v>
      </c>
      <c r="I11" s="10" t="s">
        <v>285</v>
      </c>
      <c r="J11" s="10" t="s">
        <v>239</v>
      </c>
      <c r="K11" s="11">
        <v>33055</v>
      </c>
      <c r="L11" s="10" t="s">
        <v>286</v>
      </c>
      <c r="M11" s="10" t="s">
        <v>287</v>
      </c>
      <c r="N11" s="10" t="s">
        <v>295</v>
      </c>
      <c r="O11" s="10" t="s">
        <v>296</v>
      </c>
      <c r="P11" s="10">
        <v>6</v>
      </c>
      <c r="Q11" s="10">
        <v>60</v>
      </c>
      <c r="R11" s="10">
        <v>0</v>
      </c>
      <c r="S11" s="10">
        <v>360</v>
      </c>
      <c r="T11" s="10">
        <v>4</v>
      </c>
      <c r="U11" s="10" t="s">
        <v>272</v>
      </c>
      <c r="V11" s="10" t="s">
        <v>292</v>
      </c>
      <c r="W11" s="13" t="s">
        <v>297</v>
      </c>
      <c r="X11" s="10">
        <v>9340540608</v>
      </c>
      <c r="Y11" s="12" t="s">
        <v>257</v>
      </c>
      <c r="Z11" t="str">
        <f t="shared" si="0"/>
        <v>Silver</v>
      </c>
      <c r="AA11" t="str">
        <f t="shared" si="1"/>
        <v>Priya Patel</v>
      </c>
      <c r="AB11" t="str">
        <f t="shared" si="2"/>
        <v>Pri002Mu</v>
      </c>
      <c r="AC11" t="str">
        <f t="shared" si="6"/>
        <v>priya.patel@company.com</v>
      </c>
      <c r="AD11">
        <f t="shared" ca="1" si="7"/>
        <v>29</v>
      </c>
      <c r="AE11">
        <f t="shared" si="3"/>
        <v>2</v>
      </c>
      <c r="AF11" t="str">
        <f t="shared" si="4"/>
        <v>On time</v>
      </c>
      <c r="AG11" s="29" t="str">
        <f t="shared" si="5"/>
        <v/>
      </c>
    </row>
    <row r="12" spans="1:33">
      <c r="D12" s="4" t="s">
        <v>298</v>
      </c>
      <c r="E12" s="5" t="s">
        <v>299</v>
      </c>
      <c r="F12" s="5" t="s">
        <v>250</v>
      </c>
      <c r="G12" s="5" t="s">
        <v>83</v>
      </c>
      <c r="H12" s="5" t="s">
        <v>300</v>
      </c>
      <c r="I12" s="5" t="s">
        <v>301</v>
      </c>
      <c r="J12" s="5" t="s">
        <v>269</v>
      </c>
      <c r="K12" s="6">
        <v>30229</v>
      </c>
      <c r="L12" s="5" t="s">
        <v>260</v>
      </c>
      <c r="M12" s="5" t="s">
        <v>261</v>
      </c>
      <c r="N12" s="5" t="s">
        <v>15</v>
      </c>
      <c r="O12" s="5" t="s">
        <v>253</v>
      </c>
      <c r="P12" s="5">
        <v>-3</v>
      </c>
      <c r="Q12" s="5">
        <v>2200</v>
      </c>
      <c r="R12" s="5">
        <v>0</v>
      </c>
      <c r="S12" s="5">
        <v>35200</v>
      </c>
      <c r="T12" s="5">
        <v>2</v>
      </c>
      <c r="U12" s="5" t="s">
        <v>272</v>
      </c>
      <c r="V12" s="5" t="s">
        <v>263</v>
      </c>
      <c r="W12" s="5" t="s">
        <v>302</v>
      </c>
      <c r="X12" s="5">
        <v>9521710321</v>
      </c>
      <c r="Y12" s="8" t="s">
        <v>248</v>
      </c>
      <c r="Z12" t="str">
        <f t="shared" si="0"/>
        <v>Blacklisted</v>
      </c>
      <c r="AA12" t="str">
        <f t="shared" si="1"/>
        <v>Rohit Singh</v>
      </c>
      <c r="AB12" t="str">
        <f t="shared" si="2"/>
        <v>Roh003De</v>
      </c>
      <c r="AC12" t="str">
        <f t="shared" si="6"/>
        <v>rohit.singh@company.com</v>
      </c>
      <c r="AD12">
        <f t="shared" ca="1" si="7"/>
        <v>36</v>
      </c>
      <c r="AE12">
        <f t="shared" si="3"/>
        <v>4</v>
      </c>
      <c r="AF12" t="str">
        <f t="shared" si="4"/>
        <v>On time</v>
      </c>
      <c r="AG12" s="29" t="str">
        <f t="shared" si="5"/>
        <v/>
      </c>
    </row>
    <row r="13" spans="1:33">
      <c r="D13" s="9" t="s">
        <v>303</v>
      </c>
      <c r="E13" s="10" t="s">
        <v>249</v>
      </c>
      <c r="F13" s="10" t="s">
        <v>280</v>
      </c>
      <c r="G13" s="11">
        <v>45872</v>
      </c>
      <c r="H13" s="10" t="s">
        <v>304</v>
      </c>
      <c r="I13" s="10" t="s">
        <v>251</v>
      </c>
      <c r="J13" s="10" t="s">
        <v>239</v>
      </c>
      <c r="K13" s="10" t="s">
        <v>305</v>
      </c>
      <c r="L13" s="10" t="s">
        <v>306</v>
      </c>
      <c r="M13" s="10" t="s">
        <v>287</v>
      </c>
      <c r="N13" s="10" t="s">
        <v>15</v>
      </c>
      <c r="O13" s="10" t="s">
        <v>282</v>
      </c>
      <c r="P13" s="10">
        <v>10</v>
      </c>
      <c r="Q13" s="10">
        <v>3500</v>
      </c>
      <c r="R13" s="10">
        <v>5</v>
      </c>
      <c r="S13" s="10">
        <v>33250</v>
      </c>
      <c r="T13" s="10">
        <v>5</v>
      </c>
      <c r="U13" s="10" t="s">
        <v>272</v>
      </c>
      <c r="V13" s="10" t="s">
        <v>246</v>
      </c>
      <c r="W13" s="10" t="s">
        <v>264</v>
      </c>
      <c r="X13" s="10">
        <v>9123535241</v>
      </c>
      <c r="Y13" s="12" t="s">
        <v>265</v>
      </c>
      <c r="Z13" t="str">
        <f t="shared" si="0"/>
        <v>Blacklisted</v>
      </c>
      <c r="AA13" t="str">
        <f t="shared" si="1"/>
        <v>Kavya Nair</v>
      </c>
      <c r="AB13" t="str">
        <f t="shared" si="2"/>
        <v>Kav008Ah</v>
      </c>
      <c r="AC13" t="str">
        <f>IF(ISNUMBER(SEARCH("@",W13)),LOWER(TRIM(W13)),"invalid email")</f>
        <v>kavya.nair@company.com</v>
      </c>
      <c r="AD13">
        <f t="shared" ca="1" si="7"/>
        <v>44</v>
      </c>
      <c r="AE13" t="str">
        <f t="shared" si="3"/>
        <v/>
      </c>
      <c r="AF13" t="str">
        <f t="shared" si="4"/>
        <v>Delayed</v>
      </c>
      <c r="AG13" s="29" t="str">
        <f t="shared" si="5"/>
        <v/>
      </c>
    </row>
    <row r="14" spans="1:33">
      <c r="D14" s="4" t="s">
        <v>307</v>
      </c>
      <c r="E14" s="5" t="s">
        <v>284</v>
      </c>
      <c r="F14" s="5" t="s">
        <v>250</v>
      </c>
      <c r="G14" s="6">
        <v>45931</v>
      </c>
      <c r="H14" s="5" t="s">
        <v>31</v>
      </c>
      <c r="I14" s="5" t="s">
        <v>285</v>
      </c>
      <c r="J14" s="5" t="s">
        <v>239</v>
      </c>
      <c r="K14" s="6">
        <v>33762</v>
      </c>
      <c r="L14" s="5" t="s">
        <v>291</v>
      </c>
      <c r="M14" s="5" t="s">
        <v>287</v>
      </c>
      <c r="N14" s="5" t="s">
        <v>15</v>
      </c>
      <c r="O14" s="5" t="s">
        <v>253</v>
      </c>
      <c r="P14" s="5">
        <v>15</v>
      </c>
      <c r="Q14" s="5">
        <v>2200</v>
      </c>
      <c r="R14" s="5">
        <v>10</v>
      </c>
      <c r="S14" s="5">
        <v>29700</v>
      </c>
      <c r="T14" s="5">
        <v>1</v>
      </c>
      <c r="U14" s="5" t="s">
        <v>277</v>
      </c>
      <c r="V14" s="5" t="s">
        <v>292</v>
      </c>
      <c r="W14" s="5" t="s">
        <v>308</v>
      </c>
      <c r="X14" s="5">
        <v>9367316892</v>
      </c>
      <c r="Y14" s="8" t="s">
        <v>248</v>
      </c>
      <c r="Z14" t="str">
        <f t="shared" si="0"/>
        <v>Blacklisted</v>
      </c>
      <c r="AA14" t="str">
        <f t="shared" si="1"/>
        <v>Priya Patel</v>
      </c>
      <c r="AB14" t="str">
        <f t="shared" si="2"/>
        <v>Pri002Pu</v>
      </c>
      <c r="AC14" t="str">
        <f t="shared" si="6"/>
        <v>priya.patel@company.com</v>
      </c>
      <c r="AD14" t="str">
        <f t="shared" ca="1" si="7"/>
        <v/>
      </c>
      <c r="AE14" t="str">
        <f t="shared" si="3"/>
        <v/>
      </c>
      <c r="AF14" t="str">
        <f t="shared" si="4"/>
        <v>Delayed</v>
      </c>
      <c r="AG14" s="29" t="str">
        <f t="shared" si="5"/>
        <v/>
      </c>
    </row>
    <row r="15" spans="1:33">
      <c r="D15" s="9" t="s">
        <v>309</v>
      </c>
      <c r="E15" s="10" t="s">
        <v>299</v>
      </c>
      <c r="F15" s="10" t="s">
        <v>250</v>
      </c>
      <c r="G15" s="11">
        <v>45903</v>
      </c>
      <c r="H15" s="10" t="s">
        <v>10</v>
      </c>
      <c r="I15" s="10" t="s">
        <v>310</v>
      </c>
      <c r="J15" s="10" t="s">
        <v>269</v>
      </c>
      <c r="K15" s="10" t="s">
        <v>311</v>
      </c>
      <c r="L15" s="10" t="s">
        <v>286</v>
      </c>
      <c r="M15" s="10" t="s">
        <v>287</v>
      </c>
      <c r="N15" s="10" t="s">
        <v>15</v>
      </c>
      <c r="O15" s="10" t="s">
        <v>253</v>
      </c>
      <c r="P15" s="10">
        <v>17</v>
      </c>
      <c r="Q15" s="10">
        <v>2200</v>
      </c>
      <c r="R15" s="10">
        <v>5</v>
      </c>
      <c r="S15" s="10">
        <v>35530</v>
      </c>
      <c r="T15" s="10">
        <v>1</v>
      </c>
      <c r="U15" s="10" t="s">
        <v>254</v>
      </c>
      <c r="V15" s="10" t="s">
        <v>312</v>
      </c>
      <c r="W15" s="13" t="s">
        <v>313</v>
      </c>
      <c r="X15" s="10">
        <v>9778489803</v>
      </c>
      <c r="Y15" s="12" t="s">
        <v>257</v>
      </c>
      <c r="Z15" t="str">
        <f t="shared" si="0"/>
        <v>Blacklisted</v>
      </c>
      <c r="AA15" t="str">
        <f t="shared" si="1"/>
        <v>Rohit Singh</v>
      </c>
      <c r="AB15" t="str">
        <f t="shared" si="2"/>
        <v>roh003Mu</v>
      </c>
      <c r="AC15" t="str">
        <f t="shared" si="6"/>
        <v>rohit.singh@company.com</v>
      </c>
      <c r="AD15">
        <f t="shared" ca="1" si="7"/>
        <v>34</v>
      </c>
      <c r="AE15" t="str">
        <f t="shared" si="3"/>
        <v/>
      </c>
      <c r="AF15" t="str">
        <f t="shared" si="4"/>
        <v>Delayed</v>
      </c>
      <c r="AG15" s="29" t="str">
        <f t="shared" si="5"/>
        <v/>
      </c>
    </row>
    <row r="16" spans="1:33">
      <c r="D16" s="4" t="s">
        <v>314</v>
      </c>
      <c r="E16" s="5" t="s">
        <v>249</v>
      </c>
      <c r="F16" s="5" t="s">
        <v>280</v>
      </c>
      <c r="G16" s="5" t="s">
        <v>157</v>
      </c>
      <c r="H16" s="6">
        <v>45846</v>
      </c>
      <c r="I16" s="5" t="s">
        <v>315</v>
      </c>
      <c r="J16" s="5" t="s">
        <v>239</v>
      </c>
      <c r="K16" s="5" t="s">
        <v>316</v>
      </c>
      <c r="L16" s="5" t="s">
        <v>286</v>
      </c>
      <c r="M16" s="5" t="s">
        <v>287</v>
      </c>
      <c r="N16" s="5" t="s">
        <v>15</v>
      </c>
      <c r="O16" s="5" t="s">
        <v>282</v>
      </c>
      <c r="P16" s="5">
        <v>15</v>
      </c>
      <c r="Q16" s="5">
        <v>3500</v>
      </c>
      <c r="R16" s="5">
        <v>15</v>
      </c>
      <c r="S16" s="5">
        <v>44625</v>
      </c>
      <c r="T16" s="5">
        <v>2</v>
      </c>
      <c r="U16" s="5" t="s">
        <v>254</v>
      </c>
      <c r="V16" s="5" t="s">
        <v>292</v>
      </c>
      <c r="W16" s="7" t="s">
        <v>264</v>
      </c>
      <c r="X16" s="5">
        <v>9582960180</v>
      </c>
      <c r="Y16" s="8" t="s">
        <v>265</v>
      </c>
      <c r="Z16" t="str">
        <f t="shared" si="0"/>
        <v>Blacklisted</v>
      </c>
      <c r="AA16" t="str">
        <f t="shared" si="1"/>
        <v>Kavya Nair</v>
      </c>
      <c r="AB16" t="str">
        <f t="shared" si="2"/>
        <v>Kav008Mu</v>
      </c>
      <c r="AC16" t="str">
        <f t="shared" si="6"/>
        <v>kavya.nair@company.com</v>
      </c>
      <c r="AD16" t="str">
        <f t="shared" ca="1" si="7"/>
        <v/>
      </c>
      <c r="AE16" t="str">
        <f t="shared" si="3"/>
        <v/>
      </c>
      <c r="AF16" t="str">
        <f t="shared" si="4"/>
        <v>Delayed</v>
      </c>
      <c r="AG16" s="29" t="str">
        <f t="shared" si="5"/>
        <v/>
      </c>
    </row>
    <row r="17" spans="4:33">
      <c r="D17" s="9" t="s">
        <v>317</v>
      </c>
      <c r="E17" s="10" t="s">
        <v>235</v>
      </c>
      <c r="F17" s="10" t="s">
        <v>267</v>
      </c>
      <c r="G17" s="11">
        <v>46238</v>
      </c>
      <c r="H17" s="11">
        <v>46330</v>
      </c>
      <c r="I17" s="10" t="s">
        <v>318</v>
      </c>
      <c r="J17" s="10" t="s">
        <v>239</v>
      </c>
      <c r="K17" s="11">
        <v>37564</v>
      </c>
      <c r="L17" s="10" t="s">
        <v>252</v>
      </c>
      <c r="M17" s="10" t="s">
        <v>242</v>
      </c>
      <c r="N17" s="10" t="s">
        <v>243</v>
      </c>
      <c r="O17" s="10" t="s">
        <v>271</v>
      </c>
      <c r="P17" s="10">
        <v>3</v>
      </c>
      <c r="Q17" s="10">
        <v>1200</v>
      </c>
      <c r="R17" s="10">
        <v>5</v>
      </c>
      <c r="S17" s="10">
        <v>3420</v>
      </c>
      <c r="T17" s="10">
        <v>5</v>
      </c>
      <c r="U17" s="10" t="s">
        <v>277</v>
      </c>
      <c r="V17" s="10" t="s">
        <v>255</v>
      </c>
      <c r="W17" s="10" t="s">
        <v>319</v>
      </c>
      <c r="X17" s="10">
        <v>9611394005</v>
      </c>
      <c r="Y17" s="12" t="s">
        <v>257</v>
      </c>
      <c r="Z17" t="str">
        <f t="shared" si="0"/>
        <v>Silver</v>
      </c>
      <c r="AA17" t="str">
        <f t="shared" si="1"/>
        <v>Pooja Shah</v>
      </c>
      <c r="AB17" t="str">
        <f t="shared" si="2"/>
        <v>Poo010Hy</v>
      </c>
      <c r="AC17" t="str">
        <f t="shared" si="6"/>
        <v>invalid email</v>
      </c>
      <c r="AD17" t="str">
        <f t="shared" ca="1" si="7"/>
        <v/>
      </c>
      <c r="AE17" t="str">
        <f t="shared" si="3"/>
        <v/>
      </c>
      <c r="AF17" t="str">
        <f t="shared" si="4"/>
        <v>Delayed</v>
      </c>
      <c r="AG17" s="29" t="str">
        <f t="shared" si="5"/>
        <v/>
      </c>
    </row>
    <row r="18" spans="4:33">
      <c r="D18" s="4" t="s">
        <v>320</v>
      </c>
      <c r="E18" s="5" t="s">
        <v>321</v>
      </c>
      <c r="F18" s="5" t="s">
        <v>322</v>
      </c>
      <c r="G18" s="5" t="s">
        <v>108</v>
      </c>
      <c r="H18" s="6">
        <v>46084</v>
      </c>
      <c r="I18" s="5" t="s">
        <v>323</v>
      </c>
      <c r="J18" s="5" t="s">
        <v>239</v>
      </c>
      <c r="K18" s="5" t="s">
        <v>324</v>
      </c>
      <c r="L18" s="5" t="s">
        <v>291</v>
      </c>
      <c r="M18" s="5" t="s">
        <v>287</v>
      </c>
      <c r="N18" s="5" t="s">
        <v>15</v>
      </c>
      <c r="O18" s="5" t="s">
        <v>325</v>
      </c>
      <c r="P18" s="5">
        <v>13</v>
      </c>
      <c r="Q18" s="5">
        <v>8500</v>
      </c>
      <c r="R18" s="5">
        <v>20</v>
      </c>
      <c r="S18" s="5">
        <v>88400</v>
      </c>
      <c r="T18" s="5">
        <v>4</v>
      </c>
      <c r="U18" s="5" t="s">
        <v>272</v>
      </c>
      <c r="V18" s="5" t="s">
        <v>263</v>
      </c>
      <c r="W18" s="5" t="s">
        <v>326</v>
      </c>
      <c r="X18" s="5">
        <v>9692599404</v>
      </c>
      <c r="Y18" s="8" t="s">
        <v>248</v>
      </c>
      <c r="Z18" t="str">
        <f t="shared" si="0"/>
        <v/>
      </c>
      <c r="AA18" t="str">
        <f t="shared" si="1"/>
        <v>Amit Sharma</v>
      </c>
      <c r="AB18" t="str">
        <f t="shared" si="2"/>
        <v>Ami004Pu</v>
      </c>
      <c r="AC18" t="str">
        <f t="shared" si="6"/>
        <v>anita.gupta@company.com</v>
      </c>
      <c r="AD18">
        <f t="shared" ca="1" si="7"/>
        <v>23</v>
      </c>
      <c r="AE18" t="str">
        <f t="shared" si="3"/>
        <v/>
      </c>
      <c r="AF18" t="str">
        <f t="shared" si="4"/>
        <v>Delayed</v>
      </c>
      <c r="AG18" s="29" t="str">
        <f t="shared" si="5"/>
        <v/>
      </c>
    </row>
    <row r="19" spans="4:33">
      <c r="D19" s="9" t="s">
        <v>327</v>
      </c>
      <c r="E19" s="10" t="s">
        <v>275</v>
      </c>
      <c r="F19" s="10" t="s">
        <v>322</v>
      </c>
      <c r="G19" s="10" t="s">
        <v>176</v>
      </c>
      <c r="H19" s="11">
        <v>46145</v>
      </c>
      <c r="I19" s="10" t="s">
        <v>328</v>
      </c>
      <c r="J19" s="10" t="s">
        <v>269</v>
      </c>
      <c r="K19" s="11">
        <v>32761</v>
      </c>
      <c r="L19" s="10" t="s">
        <v>306</v>
      </c>
      <c r="M19" s="10" t="s">
        <v>287</v>
      </c>
      <c r="N19" s="10" t="s">
        <v>15</v>
      </c>
      <c r="O19" s="10" t="s">
        <v>325</v>
      </c>
      <c r="P19" s="10">
        <v>4</v>
      </c>
      <c r="Q19" s="10">
        <v>8500</v>
      </c>
      <c r="R19" s="10">
        <v>20</v>
      </c>
      <c r="S19" s="10">
        <v>27200</v>
      </c>
      <c r="T19" s="10">
        <v>5</v>
      </c>
      <c r="U19" s="10" t="s">
        <v>272</v>
      </c>
      <c r="V19" s="10" t="s">
        <v>246</v>
      </c>
      <c r="W19" s="10" t="s">
        <v>278</v>
      </c>
      <c r="X19" s="10">
        <v>9426119622</v>
      </c>
      <c r="Y19" s="12" t="s">
        <v>248</v>
      </c>
      <c r="Z19" t="str">
        <f t="shared" si="0"/>
        <v/>
      </c>
      <c r="AA19" t="str">
        <f t="shared" si="1"/>
        <v>Arjun Rao</v>
      </c>
      <c r="AB19" t="str">
        <f t="shared" si="2"/>
        <v>Arj007Ah</v>
      </c>
      <c r="AC19" t="str">
        <f t="shared" si="6"/>
        <v>arjun.rao@company.com</v>
      </c>
      <c r="AD19" t="str">
        <f t="shared" ca="1" si="7"/>
        <v/>
      </c>
      <c r="AE19" t="str">
        <f t="shared" si="3"/>
        <v/>
      </c>
      <c r="AF19" t="str">
        <f t="shared" si="4"/>
        <v>Delayed</v>
      </c>
      <c r="AG19" s="29" t="str">
        <f t="shared" si="5"/>
        <v/>
      </c>
    </row>
    <row r="20" spans="4:33">
      <c r="D20" s="4" t="s">
        <v>329</v>
      </c>
      <c r="E20" s="5" t="s">
        <v>275</v>
      </c>
      <c r="F20" s="5" t="s">
        <v>330</v>
      </c>
      <c r="G20" s="6">
        <v>45669</v>
      </c>
      <c r="H20" s="6">
        <v>45759</v>
      </c>
      <c r="I20" s="5" t="s">
        <v>331</v>
      </c>
      <c r="J20" s="5" t="s">
        <v>269</v>
      </c>
      <c r="K20" s="5" t="s">
        <v>332</v>
      </c>
      <c r="L20" s="5" t="s">
        <v>286</v>
      </c>
      <c r="M20" s="5" t="s">
        <v>287</v>
      </c>
      <c r="N20" s="5" t="s">
        <v>243</v>
      </c>
      <c r="O20" s="5" t="s">
        <v>333</v>
      </c>
      <c r="P20" s="5">
        <v>9</v>
      </c>
      <c r="Q20" s="5">
        <v>700</v>
      </c>
      <c r="R20" s="5">
        <v>5</v>
      </c>
      <c r="S20" s="5">
        <v>5985</v>
      </c>
      <c r="T20" s="5">
        <v>3</v>
      </c>
      <c r="U20" s="5" t="s">
        <v>277</v>
      </c>
      <c r="V20" s="5" t="s">
        <v>255</v>
      </c>
      <c r="W20" s="7" t="s">
        <v>334</v>
      </c>
      <c r="X20" s="5">
        <v>9184436009</v>
      </c>
      <c r="Y20" s="8" t="s">
        <v>248</v>
      </c>
      <c r="Z20" t="str">
        <f t="shared" si="0"/>
        <v/>
      </c>
      <c r="AA20" t="str">
        <f t="shared" si="1"/>
        <v>Arjun Rao</v>
      </c>
      <c r="AB20" t="str">
        <f t="shared" si="2"/>
        <v>arj007Mu</v>
      </c>
      <c r="AC20" t="str">
        <f t="shared" si="6"/>
        <v>arjun.rao@company.com</v>
      </c>
      <c r="AD20">
        <f t="shared" ca="1" si="7"/>
        <v>37</v>
      </c>
      <c r="AE20" t="str">
        <f t="shared" si="3"/>
        <v/>
      </c>
      <c r="AF20" t="str">
        <f t="shared" si="4"/>
        <v>Delayed</v>
      </c>
      <c r="AG20" s="29" t="str">
        <f t="shared" si="5"/>
        <v/>
      </c>
    </row>
    <row r="21" spans="4:33">
      <c r="D21" s="9" t="s">
        <v>335</v>
      </c>
      <c r="E21" s="10" t="s">
        <v>249</v>
      </c>
      <c r="F21" s="10" t="s">
        <v>236</v>
      </c>
      <c r="G21" s="10" t="s">
        <v>144</v>
      </c>
      <c r="H21" s="11">
        <v>45723</v>
      </c>
      <c r="I21" s="10" t="s">
        <v>251</v>
      </c>
      <c r="J21" s="10" t="s">
        <v>239</v>
      </c>
      <c r="K21" s="11">
        <v>32876</v>
      </c>
      <c r="L21" s="10" t="s">
        <v>306</v>
      </c>
      <c r="M21" s="10" t="s">
        <v>287</v>
      </c>
      <c r="N21" s="10" t="s">
        <v>243</v>
      </c>
      <c r="O21" s="10" t="s">
        <v>244</v>
      </c>
      <c r="P21" s="10">
        <v>8</v>
      </c>
      <c r="Q21" s="10">
        <v>55000</v>
      </c>
      <c r="R21" s="10">
        <v>20</v>
      </c>
      <c r="S21" s="10">
        <v>352000</v>
      </c>
      <c r="T21" s="10">
        <v>1</v>
      </c>
      <c r="U21" s="10" t="s">
        <v>254</v>
      </c>
      <c r="V21" s="10" t="s">
        <v>312</v>
      </c>
      <c r="W21" s="10" t="s">
        <v>264</v>
      </c>
      <c r="X21" s="10">
        <v>9263774934</v>
      </c>
      <c r="Y21" s="12" t="s">
        <v>257</v>
      </c>
      <c r="Z21" t="str">
        <f t="shared" si="0"/>
        <v>Blacklisted</v>
      </c>
      <c r="AA21" t="str">
        <f t="shared" si="1"/>
        <v>Kavya Nair</v>
      </c>
      <c r="AB21" t="str">
        <f t="shared" si="2"/>
        <v>Kav008Ah</v>
      </c>
      <c r="AC21" t="str">
        <f t="shared" si="6"/>
        <v>kavya.nair@company.com</v>
      </c>
      <c r="AD21" t="str">
        <f t="shared" ca="1" si="7"/>
        <v/>
      </c>
      <c r="AE21" t="str">
        <f t="shared" si="3"/>
        <v/>
      </c>
      <c r="AF21" t="str">
        <f t="shared" si="4"/>
        <v>Delayed</v>
      </c>
      <c r="AG21" s="29" t="str">
        <f t="shared" si="5"/>
        <v/>
      </c>
    </row>
    <row r="22" spans="4:33">
      <c r="D22" s="4" t="s">
        <v>336</v>
      </c>
      <c r="E22" s="5" t="s">
        <v>299</v>
      </c>
      <c r="F22" s="5" t="s">
        <v>330</v>
      </c>
      <c r="G22" s="5" t="s">
        <v>153</v>
      </c>
      <c r="H22" s="6">
        <v>45782</v>
      </c>
      <c r="I22" s="5" t="s">
        <v>301</v>
      </c>
      <c r="J22" s="5" t="s">
        <v>269</v>
      </c>
      <c r="K22" s="5" t="s">
        <v>337</v>
      </c>
      <c r="L22" s="5" t="s">
        <v>260</v>
      </c>
      <c r="M22" s="5" t="s">
        <v>261</v>
      </c>
      <c r="N22" s="5" t="s">
        <v>338</v>
      </c>
      <c r="O22" s="5" t="s">
        <v>333</v>
      </c>
      <c r="P22" s="5">
        <v>10</v>
      </c>
      <c r="Q22" s="5">
        <v>700</v>
      </c>
      <c r="R22" s="5">
        <v>20</v>
      </c>
      <c r="S22" s="5">
        <v>5600</v>
      </c>
      <c r="T22" s="5">
        <v>4</v>
      </c>
      <c r="U22" s="5" t="s">
        <v>272</v>
      </c>
      <c r="V22" s="5" t="s">
        <v>246</v>
      </c>
      <c r="W22" s="5" t="s">
        <v>302</v>
      </c>
      <c r="X22" s="5">
        <v>9473159572</v>
      </c>
      <c r="Y22" s="8" t="s">
        <v>265</v>
      </c>
      <c r="Z22" t="str">
        <f t="shared" si="0"/>
        <v>Blacklisted</v>
      </c>
      <c r="AA22" t="str">
        <f t="shared" si="1"/>
        <v>Rohit Singh</v>
      </c>
      <c r="AB22" t="str">
        <f>LEFT(I22,3)&amp;MID(E22,2,3)&amp;LEFT(L22,2)</f>
        <v>Roh003De</v>
      </c>
      <c r="AC22" t="str">
        <f t="shared" si="6"/>
        <v>rohit.singh@company.com</v>
      </c>
      <c r="AD22">
        <f t="shared" ca="1" si="7"/>
        <v>36</v>
      </c>
      <c r="AE22" t="str">
        <f t="shared" si="3"/>
        <v/>
      </c>
      <c r="AF22" t="str">
        <f t="shared" si="4"/>
        <v>Delayed</v>
      </c>
      <c r="AG22" s="29" t="str">
        <f t="shared" si="5"/>
        <v/>
      </c>
    </row>
    <row r="23" spans="4:33">
      <c r="D23" s="9" t="s">
        <v>339</v>
      </c>
      <c r="E23" s="10" t="s">
        <v>249</v>
      </c>
      <c r="F23" s="10" t="s">
        <v>280</v>
      </c>
      <c r="G23" s="11">
        <v>45717</v>
      </c>
      <c r="H23" s="11">
        <v>45870</v>
      </c>
      <c r="I23" s="10" t="s">
        <v>290</v>
      </c>
      <c r="J23" s="10" t="s">
        <v>239</v>
      </c>
      <c r="K23" s="10" t="s">
        <v>340</v>
      </c>
      <c r="L23" s="10" t="s">
        <v>241</v>
      </c>
      <c r="M23" s="10" t="s">
        <v>242</v>
      </c>
      <c r="N23" s="10" t="s">
        <v>15</v>
      </c>
      <c r="O23" s="10" t="s">
        <v>282</v>
      </c>
      <c r="P23" s="10">
        <v>1</v>
      </c>
      <c r="Q23" s="10">
        <v>3500</v>
      </c>
      <c r="R23" s="10">
        <v>5</v>
      </c>
      <c r="S23" s="10">
        <v>3325</v>
      </c>
      <c r="T23" s="10">
        <v>3</v>
      </c>
      <c r="U23" s="10" t="s">
        <v>277</v>
      </c>
      <c r="V23" s="10" t="s">
        <v>292</v>
      </c>
      <c r="W23" s="10" t="s">
        <v>264</v>
      </c>
      <c r="X23" s="10">
        <v>9660493688</v>
      </c>
      <c r="Y23" s="12" t="s">
        <v>265</v>
      </c>
      <c r="Z23" t="str">
        <f t="shared" si="0"/>
        <v>Blacklisted</v>
      </c>
      <c r="AA23" t="str">
        <f t="shared" si="1"/>
        <v>Kavya Nair</v>
      </c>
      <c r="AB23" t="str">
        <f t="shared" si="2"/>
        <v>kav008Be</v>
      </c>
      <c r="AC23" t="str">
        <f t="shared" si="6"/>
        <v>kavya.nair@company.com</v>
      </c>
      <c r="AD23" t="str">
        <f t="shared" ca="1" si="7"/>
        <v/>
      </c>
      <c r="AE23" t="str">
        <f t="shared" si="3"/>
        <v/>
      </c>
      <c r="AF23" t="str">
        <f t="shared" si="4"/>
        <v>Delayed</v>
      </c>
      <c r="AG23" s="29" t="str">
        <f t="shared" si="5"/>
        <v/>
      </c>
    </row>
    <row r="24" spans="4:33">
      <c r="D24" s="4" t="s">
        <v>341</v>
      </c>
      <c r="E24" s="5" t="s">
        <v>284</v>
      </c>
      <c r="F24" s="5" t="s">
        <v>330</v>
      </c>
      <c r="G24" s="5" t="s">
        <v>77</v>
      </c>
      <c r="H24" s="5" t="s">
        <v>196</v>
      </c>
      <c r="I24" s="5" t="s">
        <v>285</v>
      </c>
      <c r="J24" s="5" t="s">
        <v>239</v>
      </c>
      <c r="K24" s="6">
        <v>30779</v>
      </c>
      <c r="L24" s="5" t="s">
        <v>342</v>
      </c>
      <c r="M24" s="5" t="s">
        <v>261</v>
      </c>
      <c r="N24" s="5" t="s">
        <v>243</v>
      </c>
      <c r="O24" s="5" t="s">
        <v>333</v>
      </c>
      <c r="P24" s="5">
        <v>19</v>
      </c>
      <c r="Q24" s="5">
        <v>700</v>
      </c>
      <c r="R24" s="5">
        <v>15</v>
      </c>
      <c r="S24" s="5">
        <v>11305</v>
      </c>
      <c r="T24" s="5">
        <v>3</v>
      </c>
      <c r="U24" s="5" t="s">
        <v>245</v>
      </c>
      <c r="V24" s="5" t="s">
        <v>312</v>
      </c>
      <c r="W24" s="5" t="s">
        <v>308</v>
      </c>
      <c r="X24" s="5">
        <v>9513325819</v>
      </c>
      <c r="Y24" s="8" t="s">
        <v>248</v>
      </c>
      <c r="Z24" t="str">
        <f t="shared" si="0"/>
        <v/>
      </c>
      <c r="AA24" t="str">
        <f t="shared" si="1"/>
        <v>Priya Patel</v>
      </c>
      <c r="AB24" t="str">
        <f t="shared" si="2"/>
        <v>Pri002Ja</v>
      </c>
      <c r="AC24" t="str">
        <f t="shared" si="6"/>
        <v>priya.patel@company.com</v>
      </c>
      <c r="AD24" t="str">
        <f t="shared" ca="1" si="7"/>
        <v/>
      </c>
      <c r="AE24">
        <f t="shared" si="3"/>
        <v>11</v>
      </c>
      <c r="AF24" t="str">
        <f t="shared" si="4"/>
        <v>Delayed</v>
      </c>
      <c r="AG24" s="29" t="str">
        <f t="shared" si="5"/>
        <v/>
      </c>
    </row>
    <row r="25" spans="4:33">
      <c r="D25" s="9" t="s">
        <v>343</v>
      </c>
      <c r="E25" s="10" t="s">
        <v>266</v>
      </c>
      <c r="F25" s="10" t="s">
        <v>236</v>
      </c>
      <c r="G25" s="10" t="s">
        <v>117</v>
      </c>
      <c r="H25" s="11">
        <v>46023</v>
      </c>
      <c r="I25" s="10" t="s">
        <v>268</v>
      </c>
      <c r="J25" s="10" t="s">
        <v>269</v>
      </c>
      <c r="K25" s="10" t="s">
        <v>344</v>
      </c>
      <c r="L25" s="10" t="s">
        <v>241</v>
      </c>
      <c r="M25" s="10" t="s">
        <v>242</v>
      </c>
      <c r="N25" s="10" t="s">
        <v>243</v>
      </c>
      <c r="O25" s="10" t="s">
        <v>244</v>
      </c>
      <c r="P25" s="10">
        <v>12</v>
      </c>
      <c r="Q25" s="10">
        <v>55000</v>
      </c>
      <c r="R25" s="10">
        <v>0</v>
      </c>
      <c r="S25" s="10">
        <v>660000</v>
      </c>
      <c r="T25" s="10">
        <v>1</v>
      </c>
      <c r="U25" s="10" t="s">
        <v>272</v>
      </c>
      <c r="V25" s="10" t="s">
        <v>263</v>
      </c>
      <c r="W25" s="10" t="s">
        <v>273</v>
      </c>
      <c r="X25" s="10">
        <v>9641063242</v>
      </c>
      <c r="Y25" s="12" t="s">
        <v>248</v>
      </c>
      <c r="Z25" t="str">
        <f t="shared" si="0"/>
        <v>Blacklisted</v>
      </c>
      <c r="AA25" t="str">
        <f t="shared" si="1"/>
        <v>Mohit Verma</v>
      </c>
      <c r="AB25" t="str">
        <f t="shared" si="2"/>
        <v>Moh009Be</v>
      </c>
      <c r="AC25" t="str">
        <f t="shared" si="6"/>
        <v>mohit.verma@company.com</v>
      </c>
      <c r="AD25">
        <f t="shared" ca="1" si="7"/>
        <v>42</v>
      </c>
      <c r="AE25" t="str">
        <f t="shared" si="3"/>
        <v/>
      </c>
      <c r="AF25" t="str">
        <f t="shared" si="4"/>
        <v>Delayed</v>
      </c>
      <c r="AG25" s="29" t="str">
        <f t="shared" si="5"/>
        <v/>
      </c>
    </row>
    <row r="26" spans="4:33">
      <c r="D26" s="4" t="s">
        <v>345</v>
      </c>
      <c r="E26" s="5" t="s">
        <v>346</v>
      </c>
      <c r="F26" s="5" t="s">
        <v>347</v>
      </c>
      <c r="G26" s="6">
        <v>46269</v>
      </c>
      <c r="H26" s="5" t="s">
        <v>90</v>
      </c>
      <c r="I26" s="5" t="s">
        <v>348</v>
      </c>
      <c r="J26" s="5" t="s">
        <v>269</v>
      </c>
      <c r="K26" s="6">
        <v>33305</v>
      </c>
      <c r="L26" s="5" t="s">
        <v>286</v>
      </c>
      <c r="M26" s="5" t="s">
        <v>287</v>
      </c>
      <c r="N26" s="5" t="s">
        <v>295</v>
      </c>
      <c r="O26" s="5" t="s">
        <v>349</v>
      </c>
      <c r="P26" s="5">
        <v>1</v>
      </c>
      <c r="Q26" s="5">
        <v>20</v>
      </c>
      <c r="R26" s="5">
        <v>5</v>
      </c>
      <c r="S26" s="5">
        <v>19</v>
      </c>
      <c r="T26" s="5">
        <v>5</v>
      </c>
      <c r="U26" s="5" t="s">
        <v>272</v>
      </c>
      <c r="V26" s="5" t="s">
        <v>255</v>
      </c>
      <c r="W26" s="5" t="s">
        <v>350</v>
      </c>
      <c r="X26" s="5">
        <v>9277372518</v>
      </c>
      <c r="Y26" s="8" t="s">
        <v>265</v>
      </c>
      <c r="Z26" t="str">
        <f t="shared" si="0"/>
        <v>Blacklisted</v>
      </c>
      <c r="AA26" t="str">
        <f t="shared" si="1"/>
        <v>Vikas Mehta</v>
      </c>
      <c r="AB26" t="str">
        <f t="shared" si="2"/>
        <v>Vik005Mu</v>
      </c>
      <c r="AC26" t="str">
        <f t="shared" si="6"/>
        <v>vikas.mehta@company.com</v>
      </c>
      <c r="AD26" t="str">
        <f t="shared" ca="1" si="7"/>
        <v/>
      </c>
      <c r="AE26" t="str">
        <f t="shared" si="3"/>
        <v/>
      </c>
      <c r="AF26" t="str">
        <f t="shared" si="4"/>
        <v>Delayed</v>
      </c>
      <c r="AG26" s="29" t="str">
        <f t="shared" si="5"/>
        <v/>
      </c>
    </row>
    <row r="27" spans="4:33">
      <c r="D27" s="9" t="s">
        <v>351</v>
      </c>
      <c r="E27" s="10" t="s">
        <v>275</v>
      </c>
      <c r="F27" s="10" t="s">
        <v>347</v>
      </c>
      <c r="G27" s="10" t="s">
        <v>134</v>
      </c>
      <c r="H27" s="11">
        <v>45695</v>
      </c>
      <c r="I27" s="10" t="s">
        <v>328</v>
      </c>
      <c r="J27" s="10" t="s">
        <v>269</v>
      </c>
      <c r="K27" s="11">
        <v>28441</v>
      </c>
      <c r="L27" s="10" t="s">
        <v>286</v>
      </c>
      <c r="M27" s="10" t="s">
        <v>287</v>
      </c>
      <c r="N27" s="10" t="s">
        <v>295</v>
      </c>
      <c r="O27" s="10" t="s">
        <v>349</v>
      </c>
      <c r="P27" s="10">
        <v>2</v>
      </c>
      <c r="Q27" s="10">
        <v>20</v>
      </c>
      <c r="R27" s="10">
        <v>15</v>
      </c>
      <c r="S27" s="10">
        <v>34</v>
      </c>
      <c r="T27" s="10">
        <v>1</v>
      </c>
      <c r="U27" s="10" t="s">
        <v>277</v>
      </c>
      <c r="V27" s="10" t="s">
        <v>255</v>
      </c>
      <c r="W27" s="10" t="s">
        <v>278</v>
      </c>
      <c r="X27" s="10">
        <v>9193154372</v>
      </c>
      <c r="Y27" s="12" t="s">
        <v>248</v>
      </c>
      <c r="Z27" t="str">
        <f t="shared" si="0"/>
        <v>Blacklisted</v>
      </c>
      <c r="AA27" t="str">
        <f t="shared" si="1"/>
        <v>Arjun Rao</v>
      </c>
      <c r="AB27" t="str">
        <f t="shared" si="2"/>
        <v>Arj007Mu</v>
      </c>
      <c r="AC27" t="str">
        <f t="shared" si="6"/>
        <v>arjun.rao@company.com</v>
      </c>
      <c r="AD27">
        <f t="shared" ca="1" si="7"/>
        <v>35</v>
      </c>
      <c r="AE27" t="str">
        <f t="shared" si="3"/>
        <v/>
      </c>
      <c r="AF27" t="str">
        <f t="shared" si="4"/>
        <v>Delayed</v>
      </c>
      <c r="AG27" s="29" t="str">
        <f t="shared" si="5"/>
        <v/>
      </c>
    </row>
    <row r="28" spans="4:33">
      <c r="D28" s="4" t="s">
        <v>352</v>
      </c>
      <c r="E28" s="5" t="s">
        <v>266</v>
      </c>
      <c r="F28" s="5" t="s">
        <v>280</v>
      </c>
      <c r="G28" s="5" t="s">
        <v>112</v>
      </c>
      <c r="H28" s="5" t="s">
        <v>143</v>
      </c>
      <c r="I28" s="5" t="s">
        <v>268</v>
      </c>
      <c r="J28" s="5" t="s">
        <v>269</v>
      </c>
      <c r="K28" s="6">
        <v>33818</v>
      </c>
      <c r="L28" s="5" t="s">
        <v>306</v>
      </c>
      <c r="M28" s="5" t="s">
        <v>287</v>
      </c>
      <c r="N28" s="5" t="s">
        <v>15</v>
      </c>
      <c r="O28" s="5" t="s">
        <v>282</v>
      </c>
      <c r="P28" s="5">
        <v>12</v>
      </c>
      <c r="Q28" s="5">
        <v>3500</v>
      </c>
      <c r="R28" s="5">
        <v>15</v>
      </c>
      <c r="S28" s="5">
        <v>35700</v>
      </c>
      <c r="T28" s="5">
        <v>4</v>
      </c>
      <c r="U28" s="5" t="s">
        <v>254</v>
      </c>
      <c r="V28" s="5" t="s">
        <v>263</v>
      </c>
      <c r="W28" s="5" t="s">
        <v>273</v>
      </c>
      <c r="X28" s="5">
        <v>9400073244</v>
      </c>
      <c r="Y28" s="8" t="s">
        <v>265</v>
      </c>
      <c r="Z28" t="str">
        <f t="shared" si="0"/>
        <v>Blacklisted</v>
      </c>
      <c r="AA28" t="str">
        <f t="shared" si="1"/>
        <v>Mohit Verma</v>
      </c>
      <c r="AB28" t="str">
        <f t="shared" si="2"/>
        <v>Moh009Ah</v>
      </c>
      <c r="AC28" t="str">
        <f t="shared" si="6"/>
        <v>mohit.verma@company.com</v>
      </c>
      <c r="AD28">
        <f t="shared" ca="1" si="7"/>
        <v>48</v>
      </c>
      <c r="AE28">
        <f t="shared" si="3"/>
        <v>3</v>
      </c>
      <c r="AF28" t="str">
        <f t="shared" si="4"/>
        <v>On time</v>
      </c>
      <c r="AG28" s="29" t="str">
        <f t="shared" si="5"/>
        <v/>
      </c>
    </row>
    <row r="29" spans="4:33">
      <c r="D29" s="9" t="s">
        <v>353</v>
      </c>
      <c r="E29" s="10" t="s">
        <v>249</v>
      </c>
      <c r="F29" s="10" t="s">
        <v>267</v>
      </c>
      <c r="G29" s="10" t="s">
        <v>11</v>
      </c>
      <c r="H29" s="10" t="s">
        <v>354</v>
      </c>
      <c r="I29" s="10" t="s">
        <v>251</v>
      </c>
      <c r="J29" s="10" t="s">
        <v>239</v>
      </c>
      <c r="K29" s="11">
        <v>38113</v>
      </c>
      <c r="L29" s="10" t="s">
        <v>306</v>
      </c>
      <c r="M29" s="10" t="s">
        <v>287</v>
      </c>
      <c r="N29" s="10" t="s">
        <v>243</v>
      </c>
      <c r="O29" s="10" t="s">
        <v>271</v>
      </c>
      <c r="P29" s="10">
        <v>11</v>
      </c>
      <c r="Q29" s="10">
        <v>1200</v>
      </c>
      <c r="R29" s="10">
        <v>0</v>
      </c>
      <c r="S29" s="10">
        <v>13200</v>
      </c>
      <c r="T29" s="10">
        <v>2</v>
      </c>
      <c r="U29" s="10" t="s">
        <v>277</v>
      </c>
      <c r="V29" s="10" t="s">
        <v>312</v>
      </c>
      <c r="W29" s="10" t="s">
        <v>264</v>
      </c>
      <c r="X29" s="10">
        <v>9771556720</v>
      </c>
      <c r="Y29" s="12" t="s">
        <v>257</v>
      </c>
      <c r="Z29" t="str">
        <f t="shared" si="0"/>
        <v>Blacklisted</v>
      </c>
      <c r="AA29" t="str">
        <f t="shared" si="1"/>
        <v>Kavya Nair</v>
      </c>
      <c r="AB29" t="str">
        <f t="shared" si="2"/>
        <v>Kav008Ah</v>
      </c>
      <c r="AC29" t="str">
        <f t="shared" si="6"/>
        <v>kavya.nair@company.com</v>
      </c>
      <c r="AD29">
        <f t="shared" ca="1" si="7"/>
        <v>34</v>
      </c>
      <c r="AE29">
        <f t="shared" si="3"/>
        <v>7</v>
      </c>
      <c r="AF29" t="str">
        <f t="shared" si="4"/>
        <v>Delayed</v>
      </c>
      <c r="AG29" s="29" t="str">
        <f t="shared" si="5"/>
        <v/>
      </c>
    </row>
    <row r="30" spans="4:33">
      <c r="D30" s="4" t="s">
        <v>355</v>
      </c>
      <c r="E30" s="5" t="s">
        <v>299</v>
      </c>
      <c r="F30" s="5" t="s">
        <v>322</v>
      </c>
      <c r="G30" s="6">
        <v>45878</v>
      </c>
      <c r="H30" s="5" t="s">
        <v>356</v>
      </c>
      <c r="I30" s="5" t="s">
        <v>301</v>
      </c>
      <c r="J30" s="5" t="s">
        <v>269</v>
      </c>
      <c r="K30" s="6">
        <v>37203</v>
      </c>
      <c r="L30" s="5" t="s">
        <v>291</v>
      </c>
      <c r="M30" s="5" t="s">
        <v>287</v>
      </c>
      <c r="N30" s="5" t="s">
        <v>15</v>
      </c>
      <c r="O30" s="5" t="s">
        <v>325</v>
      </c>
      <c r="P30" s="5">
        <v>6</v>
      </c>
      <c r="Q30" s="5">
        <v>8500</v>
      </c>
      <c r="R30" s="5">
        <v>65</v>
      </c>
      <c r="S30" s="5">
        <v>51000</v>
      </c>
      <c r="T30" s="5">
        <v>1</v>
      </c>
      <c r="U30" s="5" t="s">
        <v>272</v>
      </c>
      <c r="V30" s="5" t="s">
        <v>246</v>
      </c>
      <c r="W30" s="5" t="s">
        <v>302</v>
      </c>
      <c r="X30" s="5">
        <v>9127480734</v>
      </c>
      <c r="Y30" s="8" t="s">
        <v>257</v>
      </c>
      <c r="Z30" t="str">
        <f t="shared" si="0"/>
        <v>Blacklisted</v>
      </c>
      <c r="AA30" t="str">
        <f t="shared" si="1"/>
        <v>Rohit Singh</v>
      </c>
      <c r="AB30" t="str">
        <f t="shared" si="2"/>
        <v>Roh003Pu</v>
      </c>
      <c r="AC30" t="str">
        <f t="shared" si="6"/>
        <v>rohit.singh@company.com</v>
      </c>
      <c r="AD30">
        <f t="shared" ca="1" si="7"/>
        <v>22</v>
      </c>
      <c r="AE30" t="str">
        <f t="shared" si="3"/>
        <v/>
      </c>
      <c r="AF30" t="str">
        <f t="shared" si="4"/>
        <v>Delayed</v>
      </c>
      <c r="AG30" s="29" t="str">
        <f t="shared" si="5"/>
        <v/>
      </c>
    </row>
    <row r="31" spans="4:33">
      <c r="D31" s="9" t="s">
        <v>357</v>
      </c>
      <c r="E31" s="10" t="s">
        <v>358</v>
      </c>
      <c r="F31" s="10" t="s">
        <v>294</v>
      </c>
      <c r="G31" s="11">
        <v>46327</v>
      </c>
      <c r="H31" s="10" t="s">
        <v>41</v>
      </c>
      <c r="I31" s="10" t="s">
        <v>359</v>
      </c>
      <c r="J31" s="10" t="s">
        <v>239</v>
      </c>
      <c r="K31" s="11">
        <v>29680</v>
      </c>
      <c r="L31" s="10" t="s">
        <v>291</v>
      </c>
      <c r="M31" s="10" t="s">
        <v>287</v>
      </c>
      <c r="N31" s="10" t="s">
        <v>295</v>
      </c>
      <c r="O31" s="10" t="s">
        <v>296</v>
      </c>
      <c r="P31" s="10">
        <v>2</v>
      </c>
      <c r="Q31" s="10">
        <v>60</v>
      </c>
      <c r="R31" s="10">
        <v>5</v>
      </c>
      <c r="S31" s="10">
        <v>114</v>
      </c>
      <c r="T31" s="10">
        <v>3</v>
      </c>
      <c r="U31" s="10" t="s">
        <v>254</v>
      </c>
      <c r="V31" s="10" t="s">
        <v>312</v>
      </c>
      <c r="W31" s="10" t="s">
        <v>360</v>
      </c>
      <c r="X31" s="10">
        <v>9512997042</v>
      </c>
      <c r="Y31" s="12" t="s">
        <v>265</v>
      </c>
      <c r="Z31" t="str">
        <f t="shared" si="0"/>
        <v>Blacklisted</v>
      </c>
      <c r="AA31" t="str">
        <f t="shared" si="1"/>
        <v>Sneha Joshi</v>
      </c>
      <c r="AB31" t="str">
        <f t="shared" si="2"/>
        <v>Sne006Pu</v>
      </c>
      <c r="AC31" t="str">
        <f t="shared" si="6"/>
        <v>sneha.joshi@company.com</v>
      </c>
      <c r="AD31">
        <f t="shared" ca="1" si="7"/>
        <v>24</v>
      </c>
      <c r="AE31" t="str">
        <f t="shared" si="3"/>
        <v/>
      </c>
      <c r="AF31" t="str">
        <f t="shared" si="4"/>
        <v>Delayed</v>
      </c>
      <c r="AG31" s="29" t="str">
        <f t="shared" si="5"/>
        <v/>
      </c>
    </row>
    <row r="32" spans="4:33">
      <c r="D32" s="4" t="s">
        <v>361</v>
      </c>
      <c r="E32" s="5" t="s">
        <v>249</v>
      </c>
      <c r="F32" s="5" t="s">
        <v>362</v>
      </c>
      <c r="G32" s="5" t="s">
        <v>48</v>
      </c>
      <c r="H32" s="5" t="s">
        <v>156</v>
      </c>
      <c r="I32" s="5" t="s">
        <v>251</v>
      </c>
      <c r="J32" s="5" t="s">
        <v>239</v>
      </c>
      <c r="K32" s="6">
        <v>35102</v>
      </c>
      <c r="L32" s="5" t="s">
        <v>241</v>
      </c>
      <c r="M32" s="5" t="s">
        <v>242</v>
      </c>
      <c r="N32" s="5" t="s">
        <v>295</v>
      </c>
      <c r="O32" s="5" t="s">
        <v>363</v>
      </c>
      <c r="P32" s="5">
        <v>19</v>
      </c>
      <c r="Q32" s="5">
        <v>45</v>
      </c>
      <c r="R32" s="5">
        <v>20</v>
      </c>
      <c r="S32" s="5">
        <v>684</v>
      </c>
      <c r="T32" s="5">
        <v>4</v>
      </c>
      <c r="U32" s="5" t="s">
        <v>245</v>
      </c>
      <c r="V32" s="5" t="s">
        <v>246</v>
      </c>
      <c r="W32" s="5" t="s">
        <v>264</v>
      </c>
      <c r="X32" s="5">
        <v>9372748661</v>
      </c>
      <c r="Y32" s="8" t="s">
        <v>265</v>
      </c>
      <c r="Z32" t="str">
        <f t="shared" si="0"/>
        <v>Blacklisted</v>
      </c>
      <c r="AA32" t="str">
        <f t="shared" si="1"/>
        <v>Kavya Nair</v>
      </c>
      <c r="AB32" t="str">
        <f t="shared" si="2"/>
        <v>Kav008Be</v>
      </c>
      <c r="AC32" t="str">
        <f t="shared" si="6"/>
        <v>kavya.nair@company.com</v>
      </c>
      <c r="AD32">
        <f t="shared" ca="1" si="7"/>
        <v>45</v>
      </c>
      <c r="AE32">
        <f t="shared" si="3"/>
        <v>10</v>
      </c>
      <c r="AF32" t="str">
        <f t="shared" si="4"/>
        <v>Delayed</v>
      </c>
      <c r="AG32" s="29" t="str">
        <f t="shared" si="5"/>
        <v/>
      </c>
    </row>
    <row r="33" spans="4:33">
      <c r="D33" s="9" t="s">
        <v>364</v>
      </c>
      <c r="E33" s="10" t="s">
        <v>284</v>
      </c>
      <c r="F33" s="10" t="s">
        <v>258</v>
      </c>
      <c r="G33" s="11">
        <v>45664</v>
      </c>
      <c r="H33" s="10" t="s">
        <v>365</v>
      </c>
      <c r="I33" s="10" t="s">
        <v>285</v>
      </c>
      <c r="J33" s="10" t="s">
        <v>239</v>
      </c>
      <c r="K33" s="10" t="s">
        <v>366</v>
      </c>
      <c r="L33" s="10" t="s">
        <v>306</v>
      </c>
      <c r="M33" s="10" t="s">
        <v>287</v>
      </c>
      <c r="N33" s="10" t="s">
        <v>243</v>
      </c>
      <c r="O33" s="10" t="s">
        <v>262</v>
      </c>
      <c r="P33" s="10">
        <v>11</v>
      </c>
      <c r="Q33" s="10">
        <v>12000</v>
      </c>
      <c r="R33" s="10">
        <v>0</v>
      </c>
      <c r="S33" s="10">
        <v>132000</v>
      </c>
      <c r="T33" s="10">
        <v>3</v>
      </c>
      <c r="U33" s="10" t="s">
        <v>277</v>
      </c>
      <c r="V33" s="10" t="s">
        <v>255</v>
      </c>
      <c r="W33" s="10" t="s">
        <v>308</v>
      </c>
      <c r="X33" s="10">
        <v>9570437805</v>
      </c>
      <c r="Y33" s="12" t="s">
        <v>248</v>
      </c>
      <c r="Z33" t="str">
        <f t="shared" si="0"/>
        <v/>
      </c>
      <c r="AA33" t="str">
        <f t="shared" si="1"/>
        <v>Priya Patel</v>
      </c>
      <c r="AB33" t="str">
        <f t="shared" si="2"/>
        <v>Pri002Ah</v>
      </c>
      <c r="AC33" t="str">
        <f t="shared" si="6"/>
        <v>priya.patel@company.com</v>
      </c>
      <c r="AD33">
        <f t="shared" ca="1" si="7"/>
        <v>30</v>
      </c>
      <c r="AE33" t="str">
        <f t="shared" si="3"/>
        <v/>
      </c>
      <c r="AF33" t="str">
        <f t="shared" si="4"/>
        <v>Delayed</v>
      </c>
      <c r="AG33" s="29" t="str">
        <f t="shared" si="5"/>
        <v/>
      </c>
    </row>
    <row r="34" spans="4:33">
      <c r="D34" s="4" t="s">
        <v>367</v>
      </c>
      <c r="E34" s="5" t="s">
        <v>358</v>
      </c>
      <c r="F34" s="5" t="s">
        <v>250</v>
      </c>
      <c r="G34" s="6">
        <v>45841</v>
      </c>
      <c r="H34" s="5" t="s">
        <v>304</v>
      </c>
      <c r="I34" s="5" t="s">
        <v>359</v>
      </c>
      <c r="J34" s="5" t="s">
        <v>239</v>
      </c>
      <c r="K34" s="5" t="s">
        <v>368</v>
      </c>
      <c r="L34" s="5" t="s">
        <v>241</v>
      </c>
      <c r="M34" s="5" t="s">
        <v>242</v>
      </c>
      <c r="N34" s="5" t="s">
        <v>15</v>
      </c>
      <c r="O34" s="5" t="s">
        <v>253</v>
      </c>
      <c r="P34" s="5">
        <v>20</v>
      </c>
      <c r="Q34" s="5">
        <v>2200</v>
      </c>
      <c r="R34" s="5">
        <v>5</v>
      </c>
      <c r="S34" s="5">
        <v>41800</v>
      </c>
      <c r="T34" s="5">
        <v>1</v>
      </c>
      <c r="U34" s="5" t="s">
        <v>254</v>
      </c>
      <c r="V34" s="5" t="s">
        <v>263</v>
      </c>
      <c r="W34" s="5" t="s">
        <v>360</v>
      </c>
      <c r="X34" s="5">
        <v>9310669113</v>
      </c>
      <c r="Y34" s="8" t="s">
        <v>248</v>
      </c>
      <c r="Z34" t="str">
        <f t="shared" si="0"/>
        <v>Blacklisted</v>
      </c>
      <c r="AA34" t="str">
        <f t="shared" si="1"/>
        <v>Sneha Joshi</v>
      </c>
      <c r="AB34" t="str">
        <f t="shared" si="2"/>
        <v>Sne006Be</v>
      </c>
      <c r="AC34" t="str">
        <f t="shared" si="6"/>
        <v>sneha.joshi@company.com</v>
      </c>
      <c r="AD34" t="str">
        <f t="shared" ca="1" si="7"/>
        <v/>
      </c>
      <c r="AE34" t="str">
        <f t="shared" si="3"/>
        <v/>
      </c>
      <c r="AF34" t="str">
        <f t="shared" si="4"/>
        <v>Delayed</v>
      </c>
      <c r="AG34" s="29" t="str">
        <f t="shared" si="5"/>
        <v/>
      </c>
    </row>
    <row r="35" spans="4:33">
      <c r="D35" s="9" t="s">
        <v>369</v>
      </c>
      <c r="E35" s="10" t="s">
        <v>275</v>
      </c>
      <c r="F35" s="10" t="s">
        <v>347</v>
      </c>
      <c r="G35" s="10" t="s">
        <v>134</v>
      </c>
      <c r="H35" s="11">
        <v>45754</v>
      </c>
      <c r="I35" s="10" t="s">
        <v>328</v>
      </c>
      <c r="J35" s="10" t="s">
        <v>269</v>
      </c>
      <c r="K35" s="10" t="s">
        <v>370</v>
      </c>
      <c r="L35" s="10" t="s">
        <v>306</v>
      </c>
      <c r="M35" s="10" t="s">
        <v>287</v>
      </c>
      <c r="N35" s="10" t="s">
        <v>295</v>
      </c>
      <c r="O35" s="10" t="s">
        <v>349</v>
      </c>
      <c r="P35" s="10">
        <v>3</v>
      </c>
      <c r="Q35" s="10">
        <v>20</v>
      </c>
      <c r="R35" s="10">
        <v>0</v>
      </c>
      <c r="S35" s="10">
        <v>60</v>
      </c>
      <c r="T35" s="10">
        <v>2</v>
      </c>
      <c r="U35" s="10" t="s">
        <v>272</v>
      </c>
      <c r="V35" s="10" t="s">
        <v>255</v>
      </c>
      <c r="W35" s="10" t="s">
        <v>371</v>
      </c>
      <c r="X35" s="10">
        <v>9437132894</v>
      </c>
      <c r="Y35" s="12" t="s">
        <v>265</v>
      </c>
      <c r="Z35" t="str">
        <f t="shared" si="0"/>
        <v>Blacklisted</v>
      </c>
      <c r="AA35" t="str">
        <f t="shared" si="1"/>
        <v>Arjun Rao</v>
      </c>
      <c r="AB35" t="str">
        <f t="shared" si="2"/>
        <v>Arj007Ah</v>
      </c>
      <c r="AC35" t="str">
        <f t="shared" si="6"/>
        <v>invalid email</v>
      </c>
      <c r="AD35" t="str">
        <f t="shared" ca="1" si="7"/>
        <v/>
      </c>
      <c r="AE35" t="str">
        <f t="shared" si="3"/>
        <v/>
      </c>
      <c r="AF35" t="str">
        <f t="shared" si="4"/>
        <v>Delayed</v>
      </c>
      <c r="AG35" s="29" t="str">
        <f t="shared" si="5"/>
        <v/>
      </c>
    </row>
    <row r="36" spans="4:33">
      <c r="D36" s="4" t="s">
        <v>372</v>
      </c>
      <c r="E36" s="5" t="s">
        <v>299</v>
      </c>
      <c r="F36" s="5" t="s">
        <v>362</v>
      </c>
      <c r="G36" s="6">
        <v>45910</v>
      </c>
      <c r="H36" s="5" t="s">
        <v>84</v>
      </c>
      <c r="I36" s="5" t="s">
        <v>301</v>
      </c>
      <c r="J36" s="5" t="s">
        <v>269</v>
      </c>
      <c r="K36" s="5" t="s">
        <v>373</v>
      </c>
      <c r="L36" s="5" t="s">
        <v>291</v>
      </c>
      <c r="M36" s="5" t="s">
        <v>287</v>
      </c>
      <c r="N36" s="5" t="s">
        <v>295</v>
      </c>
      <c r="O36" s="5" t="s">
        <v>363</v>
      </c>
      <c r="P36" s="5">
        <v>18</v>
      </c>
      <c r="Q36" s="5">
        <v>45</v>
      </c>
      <c r="R36" s="5">
        <v>20</v>
      </c>
      <c r="S36" s="5">
        <v>648</v>
      </c>
      <c r="T36" s="5">
        <v>4</v>
      </c>
      <c r="U36" s="5" t="s">
        <v>245</v>
      </c>
      <c r="V36" s="5" t="s">
        <v>255</v>
      </c>
      <c r="W36" s="5" t="s">
        <v>302</v>
      </c>
      <c r="X36" s="5">
        <v>9762437243</v>
      </c>
      <c r="Y36" s="8" t="s">
        <v>265</v>
      </c>
      <c r="Z36" t="str">
        <f t="shared" si="0"/>
        <v>Blacklisted</v>
      </c>
      <c r="AA36" t="str">
        <f t="shared" si="1"/>
        <v>Rohit Singh</v>
      </c>
      <c r="AB36" t="str">
        <f t="shared" si="2"/>
        <v>Roh003Pu</v>
      </c>
      <c r="AC36" t="str">
        <f t="shared" si="6"/>
        <v>rohit.singh@company.com</v>
      </c>
      <c r="AD36" t="str">
        <f t="shared" ca="1" si="7"/>
        <v/>
      </c>
      <c r="AE36" t="str">
        <f t="shared" si="3"/>
        <v/>
      </c>
      <c r="AF36" t="str">
        <f t="shared" si="4"/>
        <v>Delayed</v>
      </c>
      <c r="AG36" s="29" t="str">
        <f t="shared" si="5"/>
        <v/>
      </c>
    </row>
    <row r="37" spans="4:33">
      <c r="D37" s="9" t="s">
        <v>374</v>
      </c>
      <c r="E37" s="10" t="s">
        <v>299</v>
      </c>
      <c r="F37" s="10" t="s">
        <v>267</v>
      </c>
      <c r="G37" s="10" t="s">
        <v>85</v>
      </c>
      <c r="H37" s="10" t="s">
        <v>375</v>
      </c>
      <c r="I37" s="10" t="s">
        <v>301</v>
      </c>
      <c r="J37" s="10" t="s">
        <v>269</v>
      </c>
      <c r="K37" s="11">
        <v>29043</v>
      </c>
      <c r="L37" s="10" t="s">
        <v>241</v>
      </c>
      <c r="M37" s="10" t="s">
        <v>242</v>
      </c>
      <c r="N37" s="10" t="s">
        <v>243</v>
      </c>
      <c r="O37" s="10" t="s">
        <v>271</v>
      </c>
      <c r="P37" s="10">
        <v>4</v>
      </c>
      <c r="Q37" s="10">
        <v>1200</v>
      </c>
      <c r="R37" s="10">
        <v>20</v>
      </c>
      <c r="S37" s="10">
        <v>3840</v>
      </c>
      <c r="T37" s="10">
        <v>3</v>
      </c>
      <c r="U37" s="10" t="s">
        <v>245</v>
      </c>
      <c r="V37" s="10" t="s">
        <v>246</v>
      </c>
      <c r="W37" s="10" t="s">
        <v>302</v>
      </c>
      <c r="X37" s="10">
        <v>9149046970</v>
      </c>
      <c r="Y37" s="12" t="s">
        <v>257</v>
      </c>
      <c r="Z37" t="str">
        <f t="shared" si="0"/>
        <v>Silver</v>
      </c>
      <c r="AA37" t="str">
        <f t="shared" si="1"/>
        <v>Rohit Singh</v>
      </c>
      <c r="AB37" t="str">
        <f>LEFT(I37,3)&amp;MID(E37,2,3)&amp;LEFT(L37,2)</f>
        <v>Roh003Be</v>
      </c>
      <c r="AC37" t="str">
        <f t="shared" si="6"/>
        <v>rohit.singh@company.com</v>
      </c>
      <c r="AD37" t="str">
        <f t="shared" ca="1" si="7"/>
        <v/>
      </c>
      <c r="AE37">
        <f t="shared" si="3"/>
        <v>7</v>
      </c>
      <c r="AF37" t="str">
        <f t="shared" si="4"/>
        <v>Delayed</v>
      </c>
      <c r="AG37" s="29" t="str">
        <f t="shared" si="5"/>
        <v/>
      </c>
    </row>
    <row r="38" spans="4:33">
      <c r="D38" s="4" t="s">
        <v>376</v>
      </c>
      <c r="E38" s="5" t="s">
        <v>266</v>
      </c>
      <c r="F38" s="5" t="s">
        <v>236</v>
      </c>
      <c r="G38" s="6">
        <v>45788</v>
      </c>
      <c r="H38" s="5" t="s">
        <v>377</v>
      </c>
      <c r="I38" s="5" t="s">
        <v>268</v>
      </c>
      <c r="J38" s="5" t="s">
        <v>269</v>
      </c>
      <c r="K38" s="5" t="s">
        <v>378</v>
      </c>
      <c r="L38" s="5" t="s">
        <v>379</v>
      </c>
      <c r="M38" s="5" t="s">
        <v>21</v>
      </c>
      <c r="N38" s="5" t="s">
        <v>243</v>
      </c>
      <c r="O38" s="5" t="s">
        <v>244</v>
      </c>
      <c r="P38" s="5">
        <v>10</v>
      </c>
      <c r="Q38" s="5">
        <v>55000</v>
      </c>
      <c r="R38" s="5">
        <v>0</v>
      </c>
      <c r="S38" s="5">
        <v>550000</v>
      </c>
      <c r="T38" s="5">
        <v>1</v>
      </c>
      <c r="U38" s="5" t="s">
        <v>277</v>
      </c>
      <c r="V38" s="5" t="s">
        <v>263</v>
      </c>
      <c r="W38" s="5" t="s">
        <v>273</v>
      </c>
      <c r="X38" s="5">
        <v>9869182901</v>
      </c>
      <c r="Y38" s="8" t="s">
        <v>265</v>
      </c>
      <c r="Z38" t="str">
        <f t="shared" si="0"/>
        <v>Blacklisted</v>
      </c>
      <c r="AA38" t="str">
        <f t="shared" si="1"/>
        <v>Mohit Verma</v>
      </c>
      <c r="AB38" t="str">
        <f t="shared" si="2"/>
        <v>Moh009Ko</v>
      </c>
      <c r="AC38" t="str">
        <f t="shared" si="6"/>
        <v>mohit.verma@company.com</v>
      </c>
      <c r="AD38">
        <f t="shared" ca="1" si="7"/>
        <v>47</v>
      </c>
      <c r="AE38" t="str">
        <f t="shared" si="3"/>
        <v/>
      </c>
      <c r="AF38" t="str">
        <f t="shared" si="4"/>
        <v>Delayed</v>
      </c>
    </row>
    <row r="39" spans="4:33">
      <c r="D39" s="9" t="s">
        <v>380</v>
      </c>
      <c r="E39" s="10" t="s">
        <v>358</v>
      </c>
      <c r="F39" s="10" t="s">
        <v>280</v>
      </c>
      <c r="G39" s="11">
        <v>46237</v>
      </c>
      <c r="H39" s="10" t="s">
        <v>354</v>
      </c>
      <c r="I39" s="10" t="s">
        <v>359</v>
      </c>
      <c r="J39" s="10" t="s">
        <v>239</v>
      </c>
      <c r="K39" s="10" t="s">
        <v>381</v>
      </c>
      <c r="L39" s="10" t="s">
        <v>260</v>
      </c>
      <c r="M39" s="10" t="s">
        <v>261</v>
      </c>
      <c r="N39" s="10" t="s">
        <v>15</v>
      </c>
      <c r="O39" s="10" t="s">
        <v>282</v>
      </c>
      <c r="P39" s="10">
        <v>20</v>
      </c>
      <c r="Q39" s="10">
        <v>3500</v>
      </c>
      <c r="R39" s="10">
        <v>10</v>
      </c>
      <c r="S39" s="10">
        <v>63000</v>
      </c>
      <c r="T39" s="10">
        <v>3</v>
      </c>
      <c r="U39" s="10" t="s">
        <v>272</v>
      </c>
      <c r="V39" s="10" t="s">
        <v>263</v>
      </c>
      <c r="W39" s="10" t="s">
        <v>360</v>
      </c>
      <c r="X39" s="10">
        <v>9283578533</v>
      </c>
      <c r="Y39" s="12" t="s">
        <v>265</v>
      </c>
      <c r="Z39" t="str">
        <f t="shared" si="0"/>
        <v>Blacklisted</v>
      </c>
      <c r="AA39" t="str">
        <f t="shared" si="1"/>
        <v>Sneha Joshi</v>
      </c>
      <c r="AB39" t="str">
        <f t="shared" si="2"/>
        <v>Sne006De</v>
      </c>
      <c r="AC39" t="str">
        <f t="shared" si="6"/>
        <v>sneha.joshi@company.com</v>
      </c>
      <c r="AD39" t="str">
        <f t="shared" ca="1" si="7"/>
        <v/>
      </c>
      <c r="AE39" t="str">
        <f t="shared" si="3"/>
        <v/>
      </c>
      <c r="AF39" t="str">
        <f t="shared" si="4"/>
        <v>Delayed</v>
      </c>
    </row>
    <row r="40" spans="4:33">
      <c r="D40" s="4" t="s">
        <v>382</v>
      </c>
      <c r="E40" s="5" t="s">
        <v>249</v>
      </c>
      <c r="F40" s="5" t="s">
        <v>347</v>
      </c>
      <c r="G40" s="5" t="s">
        <v>7</v>
      </c>
      <c r="H40" s="5" t="s">
        <v>75</v>
      </c>
      <c r="I40" s="5" t="s">
        <v>251</v>
      </c>
      <c r="J40" s="5" t="s">
        <v>239</v>
      </c>
      <c r="K40" s="5" t="s">
        <v>383</v>
      </c>
      <c r="L40" s="5" t="s">
        <v>291</v>
      </c>
      <c r="M40" s="5" t="s">
        <v>287</v>
      </c>
      <c r="N40" s="5" t="s">
        <v>295</v>
      </c>
      <c r="O40" s="5" t="s">
        <v>349</v>
      </c>
      <c r="P40" s="5">
        <v>5</v>
      </c>
      <c r="Q40" s="5">
        <v>1200</v>
      </c>
      <c r="R40" s="5">
        <v>0</v>
      </c>
      <c r="S40" s="5">
        <v>100</v>
      </c>
      <c r="T40" s="5">
        <v>1</v>
      </c>
      <c r="U40" s="5" t="s">
        <v>254</v>
      </c>
      <c r="V40" s="5" t="s">
        <v>263</v>
      </c>
      <c r="W40" s="5" t="s">
        <v>264</v>
      </c>
      <c r="X40" s="5">
        <v>9963005771</v>
      </c>
      <c r="Y40" s="8" t="s">
        <v>265</v>
      </c>
      <c r="Z40" t="str">
        <f t="shared" si="0"/>
        <v>Blacklisted</v>
      </c>
      <c r="AA40" t="str">
        <f t="shared" si="1"/>
        <v>Kavya Nair</v>
      </c>
      <c r="AB40" t="str">
        <f t="shared" si="2"/>
        <v>Kav008Pu</v>
      </c>
      <c r="AC40" t="str">
        <f t="shared" si="6"/>
        <v>kavya.nair@company.com</v>
      </c>
      <c r="AD40" t="str">
        <f t="shared" ca="1" si="7"/>
        <v/>
      </c>
      <c r="AE40">
        <f t="shared" si="3"/>
        <v>6</v>
      </c>
      <c r="AF40" t="str">
        <f t="shared" si="4"/>
        <v>Delayed</v>
      </c>
    </row>
    <row r="41" spans="4:33">
      <c r="D41" s="9" t="s">
        <v>384</v>
      </c>
      <c r="E41" s="10" t="s">
        <v>235</v>
      </c>
      <c r="F41" s="10" t="s">
        <v>322</v>
      </c>
      <c r="G41" s="11">
        <v>45787</v>
      </c>
      <c r="H41" s="10" t="s">
        <v>37</v>
      </c>
      <c r="I41" s="10" t="s">
        <v>318</v>
      </c>
      <c r="J41" s="10" t="s">
        <v>239</v>
      </c>
      <c r="K41" s="10" t="s">
        <v>385</v>
      </c>
      <c r="L41" s="10" t="s">
        <v>286</v>
      </c>
      <c r="M41" s="10" t="s">
        <v>287</v>
      </c>
      <c r="N41" s="10" t="s">
        <v>15</v>
      </c>
      <c r="O41" s="10" t="s">
        <v>325</v>
      </c>
      <c r="P41" s="10">
        <v>20</v>
      </c>
      <c r="Q41" s="10">
        <v>8500</v>
      </c>
      <c r="R41" s="10">
        <v>0</v>
      </c>
      <c r="S41" s="10">
        <v>170000</v>
      </c>
      <c r="T41" s="10">
        <v>1</v>
      </c>
      <c r="U41" s="10" t="s">
        <v>277</v>
      </c>
      <c r="V41" s="10" t="s">
        <v>292</v>
      </c>
      <c r="W41" s="10" t="s">
        <v>247</v>
      </c>
      <c r="X41" s="10">
        <v>9484632635</v>
      </c>
      <c r="Y41" s="12" t="s">
        <v>265</v>
      </c>
      <c r="Z41" t="str">
        <f t="shared" si="0"/>
        <v>Blacklisted</v>
      </c>
      <c r="AA41" t="str">
        <f t="shared" si="1"/>
        <v>Pooja Shah</v>
      </c>
      <c r="AB41" t="str">
        <f t="shared" si="2"/>
        <v>Poo010Mu</v>
      </c>
      <c r="AC41" t="str">
        <f t="shared" si="6"/>
        <v>pooja.shah@company.com</v>
      </c>
      <c r="AD41" t="str">
        <f t="shared" ca="1" si="7"/>
        <v/>
      </c>
      <c r="AE41" t="str">
        <f t="shared" si="3"/>
        <v/>
      </c>
      <c r="AF41" t="str">
        <f t="shared" si="4"/>
        <v>Delayed</v>
      </c>
    </row>
    <row r="42" spans="4:33">
      <c r="D42" s="4" t="s">
        <v>386</v>
      </c>
      <c r="E42" s="5" t="s">
        <v>275</v>
      </c>
      <c r="F42" s="5" t="s">
        <v>294</v>
      </c>
      <c r="G42" s="6">
        <v>46297</v>
      </c>
      <c r="H42" s="6">
        <v>46358</v>
      </c>
      <c r="I42" s="5" t="s">
        <v>328</v>
      </c>
      <c r="J42" s="5" t="s">
        <v>269</v>
      </c>
      <c r="K42" s="6">
        <v>34491</v>
      </c>
      <c r="L42" s="5" t="s">
        <v>241</v>
      </c>
      <c r="M42" s="5" t="s">
        <v>242</v>
      </c>
      <c r="N42" s="5" t="s">
        <v>295</v>
      </c>
      <c r="O42" s="5" t="s">
        <v>296</v>
      </c>
      <c r="P42" s="5">
        <v>8</v>
      </c>
      <c r="Q42" s="5">
        <v>60</v>
      </c>
      <c r="R42" s="5">
        <v>15</v>
      </c>
      <c r="S42" s="5">
        <v>408</v>
      </c>
      <c r="T42" s="5">
        <v>5</v>
      </c>
      <c r="U42" s="5" t="s">
        <v>277</v>
      </c>
      <c r="V42" s="5" t="s">
        <v>263</v>
      </c>
      <c r="W42" s="5" t="s">
        <v>278</v>
      </c>
      <c r="X42" s="5">
        <v>9276319484</v>
      </c>
      <c r="Y42" s="8" t="s">
        <v>248</v>
      </c>
      <c r="Z42" t="str">
        <f t="shared" si="0"/>
        <v/>
      </c>
      <c r="AA42" t="str">
        <f t="shared" si="1"/>
        <v>Arjun Rao</v>
      </c>
      <c r="AB42" t="str">
        <f t="shared" si="2"/>
        <v>Arj007Be</v>
      </c>
      <c r="AC42" t="str">
        <f t="shared" si="6"/>
        <v>arjun.rao@company.com</v>
      </c>
      <c r="AD42" t="str">
        <f t="shared" ca="1" si="7"/>
        <v/>
      </c>
      <c r="AE42" t="str">
        <f t="shared" si="3"/>
        <v/>
      </c>
      <c r="AF42" t="str">
        <f t="shared" si="4"/>
        <v>Delayed</v>
      </c>
    </row>
    <row r="43" spans="4:33">
      <c r="D43" s="9" t="s">
        <v>387</v>
      </c>
      <c r="E43" s="10" t="s">
        <v>235</v>
      </c>
      <c r="F43" s="10" t="s">
        <v>280</v>
      </c>
      <c r="G43" s="11">
        <v>45753</v>
      </c>
      <c r="H43" s="10" t="s">
        <v>48</v>
      </c>
      <c r="I43" s="10" t="s">
        <v>318</v>
      </c>
      <c r="J43" s="10" t="s">
        <v>239</v>
      </c>
      <c r="K43" s="10" t="s">
        <v>388</v>
      </c>
      <c r="L43" s="10" t="s">
        <v>291</v>
      </c>
      <c r="M43" s="10" t="s">
        <v>287</v>
      </c>
      <c r="N43" s="10" t="s">
        <v>15</v>
      </c>
      <c r="O43" s="10" t="s">
        <v>282</v>
      </c>
      <c r="P43" s="10">
        <v>8</v>
      </c>
      <c r="Q43" s="10">
        <v>3500</v>
      </c>
      <c r="R43" s="10">
        <v>5</v>
      </c>
      <c r="S43" s="10">
        <v>26600</v>
      </c>
      <c r="T43" s="10">
        <v>1</v>
      </c>
      <c r="U43" s="10" t="s">
        <v>272</v>
      </c>
      <c r="V43" s="10" t="s">
        <v>292</v>
      </c>
      <c r="W43" s="10" t="s">
        <v>247</v>
      </c>
      <c r="X43" s="10">
        <v>9619034852</v>
      </c>
      <c r="Y43" s="12" t="s">
        <v>248</v>
      </c>
      <c r="Z43" t="str">
        <f t="shared" si="0"/>
        <v>Blacklisted</v>
      </c>
      <c r="AA43" t="str">
        <f t="shared" si="1"/>
        <v>Pooja Shah</v>
      </c>
      <c r="AB43" t="str">
        <f t="shared" si="2"/>
        <v>Poo010Pu</v>
      </c>
      <c r="AC43" t="str">
        <f t="shared" si="6"/>
        <v>pooja.shah@company.com</v>
      </c>
      <c r="AD43">
        <f t="shared" ca="1" si="7"/>
        <v>32</v>
      </c>
      <c r="AE43" t="str">
        <f t="shared" si="3"/>
        <v/>
      </c>
      <c r="AF43" t="str">
        <f t="shared" si="4"/>
        <v>Delayed</v>
      </c>
    </row>
    <row r="44" spans="4:33">
      <c r="D44" s="4" t="s">
        <v>389</v>
      </c>
      <c r="E44" s="5" t="s">
        <v>266</v>
      </c>
      <c r="F44" s="5" t="s">
        <v>322</v>
      </c>
      <c r="G44" s="6">
        <v>46236</v>
      </c>
      <c r="H44" s="5" t="s">
        <v>24</v>
      </c>
      <c r="I44" s="5" t="s">
        <v>268</v>
      </c>
      <c r="J44" s="5" t="s">
        <v>269</v>
      </c>
      <c r="K44" s="5" t="s">
        <v>390</v>
      </c>
      <c r="L44" s="5" t="s">
        <v>342</v>
      </c>
      <c r="M44" s="5" t="s">
        <v>261</v>
      </c>
      <c r="N44" s="5" t="s">
        <v>15</v>
      </c>
      <c r="O44" s="5" t="s">
        <v>325</v>
      </c>
      <c r="P44" s="5">
        <v>1</v>
      </c>
      <c r="Q44" s="5">
        <v>8500</v>
      </c>
      <c r="R44" s="5">
        <v>0</v>
      </c>
      <c r="S44" s="5">
        <v>8500</v>
      </c>
      <c r="T44" s="5">
        <v>2</v>
      </c>
      <c r="U44" s="5" t="s">
        <v>272</v>
      </c>
      <c r="V44" s="5" t="s">
        <v>292</v>
      </c>
      <c r="W44" s="5" t="s">
        <v>273</v>
      </c>
      <c r="X44" s="5">
        <v>9636416962</v>
      </c>
      <c r="Y44" s="8" t="s">
        <v>248</v>
      </c>
      <c r="Z44" t="str">
        <f t="shared" si="0"/>
        <v>Blacklisted</v>
      </c>
      <c r="AA44" t="str">
        <f t="shared" si="1"/>
        <v>Mohit Verma</v>
      </c>
      <c r="AB44" t="str">
        <f t="shared" si="2"/>
        <v>Moh009Ja</v>
      </c>
      <c r="AC44" t="str">
        <f t="shared" si="6"/>
        <v>mohit.verma@company.com</v>
      </c>
      <c r="AD44" t="str">
        <f t="shared" ca="1" si="7"/>
        <v/>
      </c>
      <c r="AE44" t="str">
        <f t="shared" si="3"/>
        <v/>
      </c>
      <c r="AF44" t="str">
        <f t="shared" si="4"/>
        <v>Delayed</v>
      </c>
    </row>
    <row r="45" spans="4:33">
      <c r="D45" s="9" t="s">
        <v>391</v>
      </c>
      <c r="E45" s="10" t="s">
        <v>392</v>
      </c>
      <c r="F45" s="10" t="s">
        <v>362</v>
      </c>
      <c r="G45" s="10" t="s">
        <v>195</v>
      </c>
      <c r="H45" s="10" t="s">
        <v>393</v>
      </c>
      <c r="I45" s="10" t="s">
        <v>394</v>
      </c>
      <c r="J45" s="10" t="s">
        <v>269</v>
      </c>
      <c r="K45" s="11">
        <v>33489</v>
      </c>
      <c r="L45" s="10" t="s">
        <v>291</v>
      </c>
      <c r="M45" s="10" t="s">
        <v>287</v>
      </c>
      <c r="N45" s="10" t="s">
        <v>295</v>
      </c>
      <c r="O45" s="10" t="s">
        <v>363</v>
      </c>
      <c r="P45" s="10">
        <v>8</v>
      </c>
      <c r="Q45" s="10">
        <v>45</v>
      </c>
      <c r="R45" s="10">
        <v>15</v>
      </c>
      <c r="S45" s="10">
        <v>306</v>
      </c>
      <c r="T45" s="10">
        <v>2</v>
      </c>
      <c r="U45" s="10" t="s">
        <v>272</v>
      </c>
      <c r="V45" s="10" t="s">
        <v>246</v>
      </c>
      <c r="W45" s="10" t="s">
        <v>395</v>
      </c>
      <c r="X45" s="10">
        <v>9357133880</v>
      </c>
      <c r="Y45" s="12" t="s">
        <v>257</v>
      </c>
      <c r="Z45" t="str">
        <f t="shared" si="0"/>
        <v>Blacklisted</v>
      </c>
      <c r="AA45" t="str">
        <f t="shared" si="1"/>
        <v>Amit Sharma</v>
      </c>
      <c r="AB45" t="str">
        <f t="shared" si="2"/>
        <v>ami001Pu</v>
      </c>
      <c r="AC45" t="str">
        <f t="shared" si="6"/>
        <v>amit.sharma@company.com</v>
      </c>
      <c r="AD45" t="str">
        <f t="shared" ca="1" si="7"/>
        <v/>
      </c>
      <c r="AE45">
        <f t="shared" si="3"/>
        <v>1</v>
      </c>
      <c r="AF45" t="str">
        <f t="shared" si="4"/>
        <v>On time</v>
      </c>
    </row>
    <row r="46" spans="4:33">
      <c r="D46" s="4" t="s">
        <v>396</v>
      </c>
      <c r="E46" s="5" t="s">
        <v>358</v>
      </c>
      <c r="F46" s="5" t="s">
        <v>250</v>
      </c>
      <c r="G46" s="5" t="s">
        <v>141</v>
      </c>
      <c r="H46" s="5" t="s">
        <v>178</v>
      </c>
      <c r="I46" s="5" t="s">
        <v>359</v>
      </c>
      <c r="J46" s="5" t="s">
        <v>239</v>
      </c>
      <c r="K46" s="5" t="s">
        <v>397</v>
      </c>
      <c r="L46" s="5" t="s">
        <v>291</v>
      </c>
      <c r="M46" s="5" t="s">
        <v>287</v>
      </c>
      <c r="N46" s="5" t="s">
        <v>15</v>
      </c>
      <c r="O46" s="5" t="s">
        <v>253</v>
      </c>
      <c r="P46" s="5">
        <v>16</v>
      </c>
      <c r="Q46" s="5">
        <v>2200</v>
      </c>
      <c r="R46" s="5">
        <v>5</v>
      </c>
      <c r="S46" s="5">
        <v>33440</v>
      </c>
      <c r="T46" s="5">
        <v>5</v>
      </c>
      <c r="U46" s="5" t="s">
        <v>272</v>
      </c>
      <c r="V46" s="5" t="s">
        <v>246</v>
      </c>
      <c r="W46" s="5" t="s">
        <v>360</v>
      </c>
      <c r="X46" s="5">
        <v>9575210324</v>
      </c>
      <c r="Y46" s="8" t="s">
        <v>265</v>
      </c>
      <c r="Z46" t="str">
        <f t="shared" si="0"/>
        <v>Blacklisted</v>
      </c>
      <c r="AA46" t="str">
        <f t="shared" si="1"/>
        <v>Sneha Joshi</v>
      </c>
      <c r="AB46" t="str">
        <f t="shared" si="2"/>
        <v>Sne006Pu</v>
      </c>
      <c r="AC46" t="str">
        <f t="shared" si="6"/>
        <v>sneha.joshi@company.com</v>
      </c>
      <c r="AD46">
        <f t="shared" ca="1" si="7"/>
        <v>35</v>
      </c>
      <c r="AE46">
        <f t="shared" si="3"/>
        <v>3</v>
      </c>
      <c r="AF46" t="str">
        <f t="shared" si="4"/>
        <v>On time</v>
      </c>
    </row>
    <row r="47" spans="4:33">
      <c r="D47" s="9" t="s">
        <v>398</v>
      </c>
      <c r="E47" s="10" t="s">
        <v>266</v>
      </c>
      <c r="F47" s="10" t="s">
        <v>280</v>
      </c>
      <c r="G47" s="10" t="s">
        <v>20</v>
      </c>
      <c r="H47" s="10" t="s">
        <v>126</v>
      </c>
      <c r="I47" s="10" t="s">
        <v>268</v>
      </c>
      <c r="J47" s="10" t="s">
        <v>269</v>
      </c>
      <c r="K47" s="10" t="s">
        <v>399</v>
      </c>
      <c r="L47" s="10" t="s">
        <v>241</v>
      </c>
      <c r="M47" s="10" t="s">
        <v>242</v>
      </c>
      <c r="N47" s="10" t="s">
        <v>15</v>
      </c>
      <c r="O47" s="10" t="s">
        <v>282</v>
      </c>
      <c r="P47" s="10">
        <v>19</v>
      </c>
      <c r="Q47" s="10">
        <v>3500</v>
      </c>
      <c r="R47" s="10">
        <v>20</v>
      </c>
      <c r="S47" s="10">
        <v>53200</v>
      </c>
      <c r="T47" s="10">
        <v>3</v>
      </c>
      <c r="U47" s="10" t="s">
        <v>254</v>
      </c>
      <c r="V47" s="10" t="s">
        <v>312</v>
      </c>
      <c r="W47" s="10" t="s">
        <v>273</v>
      </c>
      <c r="X47" s="10">
        <v>9276080204</v>
      </c>
      <c r="Y47" s="12" t="s">
        <v>265</v>
      </c>
      <c r="Z47" t="str">
        <f t="shared" si="0"/>
        <v>Blacklisted</v>
      </c>
      <c r="AA47" t="str">
        <f t="shared" si="1"/>
        <v>Mohit Verma</v>
      </c>
      <c r="AB47" t="str">
        <f t="shared" si="2"/>
        <v>Moh009Be</v>
      </c>
      <c r="AC47" t="str">
        <f t="shared" si="6"/>
        <v>mohit.verma@company.com</v>
      </c>
      <c r="AD47" t="str">
        <f t="shared" ca="1" si="7"/>
        <v/>
      </c>
      <c r="AE47">
        <f t="shared" si="3"/>
        <v>10</v>
      </c>
      <c r="AF47" t="str">
        <f t="shared" si="4"/>
        <v>Delayed</v>
      </c>
    </row>
    <row r="48" spans="4:33">
      <c r="D48" s="4" t="s">
        <v>400</v>
      </c>
      <c r="E48" s="5" t="s">
        <v>358</v>
      </c>
      <c r="F48" s="5" t="s">
        <v>330</v>
      </c>
      <c r="G48" s="6">
        <v>45971</v>
      </c>
      <c r="H48" s="5" t="s">
        <v>401</v>
      </c>
      <c r="I48" s="5" t="s">
        <v>359</v>
      </c>
      <c r="J48" s="5" t="s">
        <v>239</v>
      </c>
      <c r="K48" s="6">
        <v>36684</v>
      </c>
      <c r="L48" s="5" t="s">
        <v>291</v>
      </c>
      <c r="M48" s="5" t="s">
        <v>287</v>
      </c>
      <c r="N48" s="5" t="s">
        <v>243</v>
      </c>
      <c r="O48" s="5" t="s">
        <v>333</v>
      </c>
      <c r="P48" s="5">
        <v>15</v>
      </c>
      <c r="Q48" s="5">
        <v>700</v>
      </c>
      <c r="R48" s="5">
        <v>15</v>
      </c>
      <c r="S48" s="5">
        <v>8925</v>
      </c>
      <c r="T48" s="5">
        <v>4</v>
      </c>
      <c r="U48" s="5" t="s">
        <v>277</v>
      </c>
      <c r="V48" s="5" t="s">
        <v>292</v>
      </c>
      <c r="W48" s="5" t="s">
        <v>402</v>
      </c>
      <c r="X48" s="5">
        <v>9856624471</v>
      </c>
      <c r="Y48" s="8" t="s">
        <v>257</v>
      </c>
      <c r="Z48" t="str">
        <f t="shared" si="0"/>
        <v>Silver</v>
      </c>
      <c r="AA48" t="str">
        <f t="shared" si="1"/>
        <v>Sneha Joshi</v>
      </c>
      <c r="AB48" t="str">
        <f t="shared" si="2"/>
        <v>Sne006Pu</v>
      </c>
      <c r="AC48" t="str">
        <f t="shared" si="6"/>
        <v>invalid email</v>
      </c>
      <c r="AD48" t="str">
        <f t="shared" ca="1" si="7"/>
        <v/>
      </c>
      <c r="AE48" t="str">
        <f t="shared" si="3"/>
        <v/>
      </c>
      <c r="AF48" t="str">
        <f t="shared" si="4"/>
        <v>Delayed</v>
      </c>
    </row>
    <row r="49" spans="4:32">
      <c r="D49" s="9" t="s">
        <v>403</v>
      </c>
      <c r="E49" s="10" t="s">
        <v>358</v>
      </c>
      <c r="F49" s="10" t="s">
        <v>330</v>
      </c>
      <c r="G49" s="10" t="s">
        <v>171</v>
      </c>
      <c r="H49" s="11">
        <v>45728</v>
      </c>
      <c r="I49" s="10" t="s">
        <v>359</v>
      </c>
      <c r="J49" s="10" t="s">
        <v>239</v>
      </c>
      <c r="K49" s="10" t="s">
        <v>404</v>
      </c>
      <c r="L49" s="10" t="s">
        <v>342</v>
      </c>
      <c r="M49" s="10" t="s">
        <v>261</v>
      </c>
      <c r="N49" s="10" t="s">
        <v>243</v>
      </c>
      <c r="O49" s="10" t="s">
        <v>333</v>
      </c>
      <c r="P49" s="10">
        <v>19</v>
      </c>
      <c r="Q49" s="10">
        <v>700</v>
      </c>
      <c r="R49" s="10">
        <v>20</v>
      </c>
      <c r="S49" s="10">
        <v>10640</v>
      </c>
      <c r="T49" s="10">
        <v>1</v>
      </c>
      <c r="U49" s="10" t="s">
        <v>254</v>
      </c>
      <c r="V49" s="10" t="s">
        <v>292</v>
      </c>
      <c r="W49" s="10" t="s">
        <v>360</v>
      </c>
      <c r="X49" s="10">
        <v>9238141322</v>
      </c>
      <c r="Y49" s="12" t="s">
        <v>257</v>
      </c>
      <c r="Z49" t="str">
        <f t="shared" si="0"/>
        <v>Blacklisted</v>
      </c>
      <c r="AA49" t="str">
        <f t="shared" si="1"/>
        <v>Sneha Joshi</v>
      </c>
      <c r="AB49" t="str">
        <f t="shared" si="2"/>
        <v>Sne006Ja</v>
      </c>
      <c r="AC49" t="str">
        <f t="shared" si="6"/>
        <v>sneha.joshi@company.com</v>
      </c>
      <c r="AD49">
        <f t="shared" ca="1" si="7"/>
        <v>26</v>
      </c>
      <c r="AE49" t="str">
        <f t="shared" si="3"/>
        <v/>
      </c>
      <c r="AF49" t="str">
        <f t="shared" si="4"/>
        <v>Delayed</v>
      </c>
    </row>
    <row r="50" spans="4:32">
      <c r="D50" s="4" t="s">
        <v>405</v>
      </c>
      <c r="E50" s="5" t="s">
        <v>266</v>
      </c>
      <c r="F50" s="5" t="s">
        <v>258</v>
      </c>
      <c r="G50" s="14" t="s">
        <v>78</v>
      </c>
      <c r="H50" s="5"/>
      <c r="I50" s="5" t="s">
        <v>268</v>
      </c>
      <c r="J50" s="5" t="s">
        <v>269</v>
      </c>
      <c r="K50" s="6">
        <v>35130</v>
      </c>
      <c r="L50" s="5" t="s">
        <v>260</v>
      </c>
      <c r="M50" s="5" t="s">
        <v>261</v>
      </c>
      <c r="N50" s="5" t="s">
        <v>243</v>
      </c>
      <c r="O50" s="5" t="s">
        <v>262</v>
      </c>
      <c r="P50" s="5">
        <v>19</v>
      </c>
      <c r="Q50" s="5">
        <v>12000</v>
      </c>
      <c r="R50" s="5">
        <v>0</v>
      </c>
      <c r="S50" s="5">
        <v>228000</v>
      </c>
      <c r="T50" s="5">
        <v>1</v>
      </c>
      <c r="U50" s="5" t="s">
        <v>245</v>
      </c>
      <c r="V50" s="5" t="s">
        <v>246</v>
      </c>
      <c r="W50" s="5" t="s">
        <v>273</v>
      </c>
      <c r="X50" s="5">
        <v>9890380030</v>
      </c>
      <c r="Y50" s="8" t="s">
        <v>257</v>
      </c>
      <c r="Z50" t="str">
        <f t="shared" si="0"/>
        <v>Blacklisted</v>
      </c>
      <c r="AA50" t="str">
        <f t="shared" si="1"/>
        <v>Mohit Verma</v>
      </c>
      <c r="AB50" t="str">
        <f t="shared" si="2"/>
        <v>Moh009De</v>
      </c>
      <c r="AC50" t="str">
        <f t="shared" si="6"/>
        <v>mohit.verma@company.com</v>
      </c>
      <c r="AD50" t="str">
        <f t="shared" ca="1" si="7"/>
        <v/>
      </c>
      <c r="AE50" t="str">
        <f t="shared" si="3"/>
        <v/>
      </c>
      <c r="AF50" t="str">
        <f t="shared" si="4"/>
        <v>Pending</v>
      </c>
    </row>
    <row r="51" spans="4:32">
      <c r="D51" s="9" t="s">
        <v>406</v>
      </c>
      <c r="E51" s="10" t="s">
        <v>321</v>
      </c>
      <c r="F51" s="10" t="s">
        <v>267</v>
      </c>
      <c r="G51" s="10" t="s">
        <v>78</v>
      </c>
      <c r="H51" s="10" t="s">
        <v>407</v>
      </c>
      <c r="I51" s="10" t="s">
        <v>408</v>
      </c>
      <c r="J51" s="10" t="s">
        <v>239</v>
      </c>
      <c r="K51" s="10" t="s">
        <v>409</v>
      </c>
      <c r="L51" s="10" t="s">
        <v>291</v>
      </c>
      <c r="M51" s="10" t="s">
        <v>287</v>
      </c>
      <c r="N51" s="10" t="s">
        <v>243</v>
      </c>
      <c r="O51" s="10" t="s">
        <v>271</v>
      </c>
      <c r="P51" s="10">
        <v>6</v>
      </c>
      <c r="Q51" s="10">
        <v>1200</v>
      </c>
      <c r="R51" s="10">
        <v>5</v>
      </c>
      <c r="S51" s="10">
        <v>6840</v>
      </c>
      <c r="T51" s="10">
        <v>2</v>
      </c>
      <c r="U51" s="10" t="s">
        <v>254</v>
      </c>
      <c r="V51" s="10" t="s">
        <v>255</v>
      </c>
      <c r="W51" s="10" t="s">
        <v>326</v>
      </c>
      <c r="X51" s="10">
        <v>9495893170</v>
      </c>
      <c r="Y51" s="12" t="s">
        <v>248</v>
      </c>
      <c r="Z51" t="str">
        <f t="shared" si="0"/>
        <v>Blacklisted</v>
      </c>
      <c r="AA51" t="str">
        <f t="shared" si="1"/>
        <v>Anita Gupta</v>
      </c>
      <c r="AB51" t="str">
        <f t="shared" si="2"/>
        <v>Ani004Pu</v>
      </c>
      <c r="AC51" t="str">
        <f t="shared" si="6"/>
        <v>anita.gupta@company.com</v>
      </c>
      <c r="AD51">
        <f t="shared" ca="1" si="7"/>
        <v>30</v>
      </c>
      <c r="AE51">
        <f t="shared" si="3"/>
        <v>2</v>
      </c>
      <c r="AF51" t="str">
        <f t="shared" si="4"/>
        <v>On time</v>
      </c>
    </row>
    <row r="52" spans="4:32">
      <c r="D52" s="4" t="s">
        <v>410</v>
      </c>
      <c r="E52" s="5" t="s">
        <v>235</v>
      </c>
      <c r="F52" s="5" t="s">
        <v>250</v>
      </c>
      <c r="G52" s="5" t="s">
        <v>177</v>
      </c>
      <c r="H52" s="6">
        <v>45842</v>
      </c>
      <c r="I52" s="5" t="s">
        <v>411</v>
      </c>
      <c r="J52" s="5" t="s">
        <v>239</v>
      </c>
      <c r="K52" s="5" t="s">
        <v>412</v>
      </c>
      <c r="L52" s="5" t="s">
        <v>241</v>
      </c>
      <c r="M52" s="5" t="s">
        <v>242</v>
      </c>
      <c r="N52" s="5" t="s">
        <v>15</v>
      </c>
      <c r="O52" s="5" t="s">
        <v>253</v>
      </c>
      <c r="P52" s="5">
        <v>7</v>
      </c>
      <c r="Q52" s="5">
        <v>2200</v>
      </c>
      <c r="R52" s="5">
        <v>15</v>
      </c>
      <c r="S52" s="5">
        <v>13090</v>
      </c>
      <c r="T52" s="5">
        <v>1</v>
      </c>
      <c r="U52" s="5" t="s">
        <v>277</v>
      </c>
      <c r="V52" s="5" t="s">
        <v>246</v>
      </c>
      <c r="W52" s="5" t="s">
        <v>247</v>
      </c>
      <c r="X52" s="5">
        <v>9485166307</v>
      </c>
      <c r="Y52" s="8" t="s">
        <v>257</v>
      </c>
      <c r="Z52" t="str">
        <f t="shared" si="0"/>
        <v>Blacklisted</v>
      </c>
      <c r="AA52" t="str">
        <f t="shared" si="1"/>
        <v>Pooja Shah</v>
      </c>
      <c r="AB52" t="str">
        <f t="shared" si="2"/>
        <v>POo010Be</v>
      </c>
      <c r="AC52" t="str">
        <f t="shared" si="6"/>
        <v>pooja.shah@company.com</v>
      </c>
      <c r="AD52" t="str">
        <f t="shared" ca="1" si="7"/>
        <v/>
      </c>
      <c r="AE52" t="str">
        <f t="shared" si="3"/>
        <v/>
      </c>
      <c r="AF52" t="str">
        <f t="shared" si="4"/>
        <v>Delayed</v>
      </c>
    </row>
    <row r="53" spans="4:32">
      <c r="D53" s="9" t="s">
        <v>413</v>
      </c>
      <c r="E53" s="10" t="s">
        <v>284</v>
      </c>
      <c r="F53" s="10" t="s">
        <v>294</v>
      </c>
      <c r="G53" s="10" t="s">
        <v>146</v>
      </c>
      <c r="H53" s="10" t="s">
        <v>181</v>
      </c>
      <c r="I53" s="10" t="s">
        <v>285</v>
      </c>
      <c r="J53" s="10" t="s">
        <v>239</v>
      </c>
      <c r="K53" s="11">
        <v>36777</v>
      </c>
      <c r="L53" s="10" t="s">
        <v>342</v>
      </c>
      <c r="M53" s="10" t="s">
        <v>261</v>
      </c>
      <c r="N53" s="10" t="s">
        <v>295</v>
      </c>
      <c r="O53" s="10" t="s">
        <v>296</v>
      </c>
      <c r="P53" s="10">
        <v>8</v>
      </c>
      <c r="Q53" s="10">
        <v>60</v>
      </c>
      <c r="R53" s="10">
        <v>10</v>
      </c>
      <c r="S53" s="10">
        <v>432</v>
      </c>
      <c r="T53" s="10">
        <v>5</v>
      </c>
      <c r="U53" s="10" t="s">
        <v>272</v>
      </c>
      <c r="V53" s="10" t="s">
        <v>246</v>
      </c>
      <c r="W53" s="10" t="s">
        <v>308</v>
      </c>
      <c r="X53" s="10">
        <v>9924709648</v>
      </c>
      <c r="Y53" s="12" t="s">
        <v>265</v>
      </c>
      <c r="Z53" t="str">
        <f t="shared" si="0"/>
        <v>Blacklisted</v>
      </c>
      <c r="AA53" t="str">
        <f t="shared" si="1"/>
        <v>Priya Patel</v>
      </c>
      <c r="AB53" t="str">
        <f t="shared" si="2"/>
        <v>Pri002Ja</v>
      </c>
      <c r="AC53" t="str">
        <f t="shared" si="6"/>
        <v>priya.patel@company.com</v>
      </c>
      <c r="AD53" t="str">
        <f t="shared" ca="1" si="7"/>
        <v/>
      </c>
      <c r="AE53">
        <f t="shared" si="3"/>
        <v>3</v>
      </c>
      <c r="AF53" t="str">
        <f t="shared" si="4"/>
        <v>On time</v>
      </c>
    </row>
    <row r="54" spans="4:32">
      <c r="D54" s="4" t="s">
        <v>414</v>
      </c>
      <c r="E54" s="5" t="s">
        <v>346</v>
      </c>
      <c r="F54" s="5" t="s">
        <v>236</v>
      </c>
      <c r="G54" s="5" t="s">
        <v>82</v>
      </c>
      <c r="H54" s="5" t="s">
        <v>125</v>
      </c>
      <c r="I54" s="5" t="s">
        <v>348</v>
      </c>
      <c r="J54" s="5" t="s">
        <v>269</v>
      </c>
      <c r="K54" s="5" t="s">
        <v>415</v>
      </c>
      <c r="L54" s="5" t="s">
        <v>379</v>
      </c>
      <c r="M54" s="5" t="s">
        <v>21</v>
      </c>
      <c r="N54" s="5" t="s">
        <v>243</v>
      </c>
      <c r="O54" s="5" t="s">
        <v>244</v>
      </c>
      <c r="P54" s="5">
        <v>12</v>
      </c>
      <c r="Q54" s="5">
        <v>55000</v>
      </c>
      <c r="R54" s="5">
        <v>5</v>
      </c>
      <c r="S54" s="5">
        <v>627000</v>
      </c>
      <c r="T54" s="5">
        <v>2</v>
      </c>
      <c r="U54" s="5" t="s">
        <v>277</v>
      </c>
      <c r="V54" s="5" t="s">
        <v>263</v>
      </c>
      <c r="W54" s="5" t="s">
        <v>350</v>
      </c>
      <c r="X54" s="5">
        <v>9350554626</v>
      </c>
      <c r="Y54" s="8" t="s">
        <v>248</v>
      </c>
      <c r="Z54" t="str">
        <f t="shared" si="0"/>
        <v>Blacklisted</v>
      </c>
      <c r="AA54" t="str">
        <f t="shared" si="1"/>
        <v>Vikas Mehta</v>
      </c>
      <c r="AB54" t="str">
        <f t="shared" si="2"/>
        <v>Vik005Ko</v>
      </c>
      <c r="AC54" t="str">
        <f t="shared" si="6"/>
        <v>vikas.mehta@company.com</v>
      </c>
      <c r="AD54">
        <f t="shared" ca="1" si="7"/>
        <v>26</v>
      </c>
      <c r="AE54">
        <f t="shared" si="3"/>
        <v>4</v>
      </c>
      <c r="AF54" t="str">
        <f t="shared" si="4"/>
        <v>On time</v>
      </c>
    </row>
    <row r="55" spans="4:32">
      <c r="D55" s="9" t="s">
        <v>416</v>
      </c>
      <c r="E55" s="10" t="s">
        <v>249</v>
      </c>
      <c r="F55" s="10" t="s">
        <v>330</v>
      </c>
      <c r="G55" s="10" t="s">
        <v>168</v>
      </c>
      <c r="H55" s="11">
        <v>45785</v>
      </c>
      <c r="I55" s="10" t="s">
        <v>251</v>
      </c>
      <c r="J55" s="10" t="s">
        <v>239</v>
      </c>
      <c r="K55" s="11">
        <v>27488</v>
      </c>
      <c r="L55" s="10" t="s">
        <v>342</v>
      </c>
      <c r="M55" s="10" t="s">
        <v>261</v>
      </c>
      <c r="N55" s="10" t="s">
        <v>243</v>
      </c>
      <c r="O55" s="10" t="s">
        <v>333</v>
      </c>
      <c r="P55" s="10">
        <v>3</v>
      </c>
      <c r="Q55" s="10">
        <v>700</v>
      </c>
      <c r="R55" s="10">
        <v>0</v>
      </c>
      <c r="S55" s="10">
        <v>2100</v>
      </c>
      <c r="T55" s="10">
        <v>3</v>
      </c>
      <c r="U55" s="10" t="s">
        <v>272</v>
      </c>
      <c r="V55" s="10" t="s">
        <v>312</v>
      </c>
      <c r="W55" s="10" t="s">
        <v>264</v>
      </c>
      <c r="X55" s="10">
        <v>9743295580</v>
      </c>
      <c r="Y55" s="12" t="s">
        <v>265</v>
      </c>
      <c r="Z55" t="str">
        <f t="shared" si="0"/>
        <v>Blacklisted</v>
      </c>
      <c r="AA55" t="str">
        <f t="shared" si="1"/>
        <v>Kavya Nair</v>
      </c>
      <c r="AB55" t="str">
        <f t="shared" si="2"/>
        <v>Kav008Ja</v>
      </c>
      <c r="AC55" t="str">
        <f t="shared" si="6"/>
        <v>kavya.nair@company.com</v>
      </c>
      <c r="AD55" t="str">
        <f t="shared" ca="1" si="7"/>
        <v/>
      </c>
      <c r="AE55" t="str">
        <f t="shared" si="3"/>
        <v/>
      </c>
      <c r="AF55" t="str">
        <f t="shared" si="4"/>
        <v>Delayed</v>
      </c>
    </row>
    <row r="56" spans="4:32">
      <c r="D56" s="4" t="s">
        <v>417</v>
      </c>
      <c r="E56" s="5" t="s">
        <v>299</v>
      </c>
      <c r="F56" s="5" t="s">
        <v>294</v>
      </c>
      <c r="G56" s="5" t="s">
        <v>98</v>
      </c>
      <c r="H56" s="5" t="s">
        <v>150</v>
      </c>
      <c r="I56" s="5" t="s">
        <v>418</v>
      </c>
      <c r="J56" s="5" t="s">
        <v>269</v>
      </c>
      <c r="K56" s="6">
        <v>28076</v>
      </c>
      <c r="L56" s="5" t="s">
        <v>306</v>
      </c>
      <c r="M56" s="5" t="s">
        <v>287</v>
      </c>
      <c r="N56" s="5" t="s">
        <v>295</v>
      </c>
      <c r="O56" s="5" t="s">
        <v>296</v>
      </c>
      <c r="P56" s="5">
        <v>19</v>
      </c>
      <c r="Q56" s="5">
        <v>60</v>
      </c>
      <c r="R56" s="5">
        <v>15</v>
      </c>
      <c r="S56" s="5">
        <v>969</v>
      </c>
      <c r="T56" s="5">
        <v>4</v>
      </c>
      <c r="U56" s="5" t="s">
        <v>272</v>
      </c>
      <c r="V56" s="5" t="s">
        <v>263</v>
      </c>
      <c r="W56" s="5" t="s">
        <v>302</v>
      </c>
      <c r="X56" s="5">
        <v>9822926495</v>
      </c>
      <c r="Y56" s="8" t="s">
        <v>265</v>
      </c>
      <c r="Z56" t="str">
        <f t="shared" si="0"/>
        <v>Blacklisted</v>
      </c>
      <c r="AA56" t="str">
        <f t="shared" si="1"/>
        <v>Rohit Singh</v>
      </c>
      <c r="AB56" t="str">
        <f t="shared" si="2"/>
        <v>RoH003Ah</v>
      </c>
      <c r="AC56" t="str">
        <f t="shared" si="6"/>
        <v>rohit.singh@company.com</v>
      </c>
      <c r="AD56">
        <f t="shared" ca="1" si="7"/>
        <v>51</v>
      </c>
      <c r="AE56">
        <f t="shared" si="3"/>
        <v>5</v>
      </c>
      <c r="AF56" t="str">
        <f t="shared" si="4"/>
        <v>On time</v>
      </c>
    </row>
    <row r="57" spans="4:32">
      <c r="D57" s="9" t="s">
        <v>419</v>
      </c>
      <c r="E57" s="10" t="s">
        <v>392</v>
      </c>
      <c r="F57" s="10" t="s">
        <v>294</v>
      </c>
      <c r="G57" s="11">
        <v>45938</v>
      </c>
      <c r="H57" s="11">
        <v>45969</v>
      </c>
      <c r="I57" s="10" t="s">
        <v>323</v>
      </c>
      <c r="J57" s="10" t="s">
        <v>269</v>
      </c>
      <c r="K57" s="11">
        <v>28926</v>
      </c>
      <c r="L57" s="10" t="s">
        <v>342</v>
      </c>
      <c r="M57" s="10" t="s">
        <v>261</v>
      </c>
      <c r="N57" s="10" t="s">
        <v>295</v>
      </c>
      <c r="O57" s="10" t="s">
        <v>296</v>
      </c>
      <c r="P57" s="10">
        <v>9</v>
      </c>
      <c r="Q57" s="10">
        <v>60</v>
      </c>
      <c r="R57" s="10">
        <v>20</v>
      </c>
      <c r="S57" s="10">
        <v>432</v>
      </c>
      <c r="T57" s="10">
        <v>1</v>
      </c>
      <c r="U57" s="10" t="s">
        <v>245</v>
      </c>
      <c r="V57" s="10" t="s">
        <v>292</v>
      </c>
      <c r="W57" s="10" t="s">
        <v>395</v>
      </c>
      <c r="X57" s="10">
        <v>9518298190</v>
      </c>
      <c r="Y57" s="12" t="s">
        <v>248</v>
      </c>
      <c r="Z57" t="str">
        <f t="shared" si="0"/>
        <v>Blacklisted</v>
      </c>
      <c r="AA57" t="str">
        <f t="shared" si="1"/>
        <v>Amit Sharma</v>
      </c>
      <c r="AB57" t="str">
        <f t="shared" si="2"/>
        <v>Ami001Ja</v>
      </c>
      <c r="AC57" t="str">
        <f t="shared" si="6"/>
        <v>amit.sharma@company.com</v>
      </c>
      <c r="AD57">
        <f t="shared" ca="1" si="7"/>
        <v>49</v>
      </c>
      <c r="AE57" t="str">
        <f t="shared" si="3"/>
        <v/>
      </c>
      <c r="AF57" t="str">
        <f t="shared" si="4"/>
        <v>Delayed</v>
      </c>
    </row>
    <row r="58" spans="4:32">
      <c r="D58" s="4" t="s">
        <v>420</v>
      </c>
      <c r="E58" s="5" t="s">
        <v>392</v>
      </c>
      <c r="F58" s="5" t="s">
        <v>330</v>
      </c>
      <c r="G58" s="5" t="s">
        <v>131</v>
      </c>
      <c r="H58" s="5" t="s">
        <v>421</v>
      </c>
      <c r="I58" s="5" t="s">
        <v>323</v>
      </c>
      <c r="J58" s="5" t="s">
        <v>269</v>
      </c>
      <c r="K58" s="5" t="s">
        <v>422</v>
      </c>
      <c r="L58" s="5" t="s">
        <v>241</v>
      </c>
      <c r="M58" s="5" t="s">
        <v>242</v>
      </c>
      <c r="N58" s="5" t="s">
        <v>243</v>
      </c>
      <c r="O58" s="5" t="s">
        <v>333</v>
      </c>
      <c r="P58" s="5">
        <v>6</v>
      </c>
      <c r="Q58" s="5">
        <v>700</v>
      </c>
      <c r="R58" s="5">
        <v>0</v>
      </c>
      <c r="S58" s="5">
        <v>4200</v>
      </c>
      <c r="T58" s="5">
        <v>4</v>
      </c>
      <c r="U58" s="5" t="s">
        <v>277</v>
      </c>
      <c r="V58" s="5" t="s">
        <v>263</v>
      </c>
      <c r="W58" s="5" t="s">
        <v>423</v>
      </c>
      <c r="X58" s="5">
        <v>9366223547</v>
      </c>
      <c r="Y58" s="8" t="s">
        <v>265</v>
      </c>
      <c r="Z58" t="str">
        <f t="shared" si="0"/>
        <v>Blacklisted</v>
      </c>
      <c r="AA58" t="str">
        <f t="shared" si="1"/>
        <v>Amit Sharma</v>
      </c>
      <c r="AB58" t="str">
        <f t="shared" si="2"/>
        <v>Ami001Be</v>
      </c>
      <c r="AC58" t="str">
        <f t="shared" si="6"/>
        <v>invalid email</v>
      </c>
      <c r="AD58">
        <f t="shared" ca="1" si="7"/>
        <v>47</v>
      </c>
      <c r="AE58">
        <f t="shared" si="3"/>
        <v>6</v>
      </c>
      <c r="AF58" t="str">
        <f t="shared" si="4"/>
        <v>Delayed</v>
      </c>
    </row>
    <row r="59" spans="4:32">
      <c r="D59" s="9" t="s">
        <v>424</v>
      </c>
      <c r="E59" s="10" t="s">
        <v>299</v>
      </c>
      <c r="F59" s="10" t="s">
        <v>362</v>
      </c>
      <c r="G59" s="10" t="s">
        <v>11</v>
      </c>
      <c r="H59" s="10" t="s">
        <v>425</v>
      </c>
      <c r="I59" s="10" t="s">
        <v>301</v>
      </c>
      <c r="J59" s="10" t="s">
        <v>269</v>
      </c>
      <c r="K59" s="10" t="s">
        <v>426</v>
      </c>
      <c r="L59" s="10" t="s">
        <v>260</v>
      </c>
      <c r="M59" s="10" t="s">
        <v>261</v>
      </c>
      <c r="N59" s="10" t="s">
        <v>295</v>
      </c>
      <c r="O59" s="10" t="s">
        <v>363</v>
      </c>
      <c r="P59" s="10">
        <v>18</v>
      </c>
      <c r="Q59" s="10">
        <v>45</v>
      </c>
      <c r="R59" s="10">
        <v>5</v>
      </c>
      <c r="S59" s="10">
        <v>769.5</v>
      </c>
      <c r="T59" s="10">
        <v>1</v>
      </c>
      <c r="U59" s="10" t="s">
        <v>272</v>
      </c>
      <c r="V59" s="10" t="s">
        <v>246</v>
      </c>
      <c r="W59" s="10" t="s">
        <v>302</v>
      </c>
      <c r="X59" s="10">
        <v>9701988524</v>
      </c>
      <c r="Y59" s="12" t="s">
        <v>248</v>
      </c>
      <c r="Z59" t="str">
        <f t="shared" si="0"/>
        <v>Blacklisted</v>
      </c>
      <c r="AA59" t="str">
        <f t="shared" si="1"/>
        <v>Rohit Singh</v>
      </c>
      <c r="AB59" t="str">
        <f t="shared" si="2"/>
        <v>Roh003De</v>
      </c>
      <c r="AC59" t="str">
        <f t="shared" si="6"/>
        <v>rohit.singh@company.com</v>
      </c>
      <c r="AD59" t="str">
        <f t="shared" ca="1" si="7"/>
        <v/>
      </c>
      <c r="AE59">
        <f t="shared" si="3"/>
        <v>6</v>
      </c>
      <c r="AF59" t="str">
        <f t="shared" si="4"/>
        <v>Delayed</v>
      </c>
    </row>
    <row r="60" spans="4:32">
      <c r="D60" s="4" t="s">
        <v>427</v>
      </c>
      <c r="E60" s="5" t="s">
        <v>275</v>
      </c>
      <c r="F60" s="5" t="s">
        <v>347</v>
      </c>
      <c r="G60" s="5" t="s">
        <v>35</v>
      </c>
      <c r="H60" s="5" t="s">
        <v>156</v>
      </c>
      <c r="I60" s="5" t="s">
        <v>328</v>
      </c>
      <c r="J60" s="5" t="s">
        <v>269</v>
      </c>
      <c r="K60" s="5" t="s">
        <v>428</v>
      </c>
      <c r="L60" s="5" t="s">
        <v>342</v>
      </c>
      <c r="M60" s="5" t="s">
        <v>261</v>
      </c>
      <c r="N60" s="5" t="s">
        <v>295</v>
      </c>
      <c r="O60" s="5" t="s">
        <v>349</v>
      </c>
      <c r="P60" s="5">
        <v>8</v>
      </c>
      <c r="Q60" s="5">
        <v>20</v>
      </c>
      <c r="R60" s="5">
        <v>5</v>
      </c>
      <c r="S60" s="5">
        <v>152</v>
      </c>
      <c r="T60" s="5">
        <v>1</v>
      </c>
      <c r="U60" s="5" t="s">
        <v>272</v>
      </c>
      <c r="V60" s="5" t="s">
        <v>255</v>
      </c>
      <c r="W60" s="5" t="s">
        <v>278</v>
      </c>
      <c r="X60" s="5">
        <v>9836327649</v>
      </c>
      <c r="Y60" s="8" t="s">
        <v>429</v>
      </c>
      <c r="Z60" t="str">
        <f t="shared" si="0"/>
        <v>Blacklisted</v>
      </c>
      <c r="AA60" t="str">
        <f t="shared" si="1"/>
        <v>Arjun Rao</v>
      </c>
      <c r="AB60" t="str">
        <f t="shared" si="2"/>
        <v>Arj007Ja</v>
      </c>
      <c r="AC60" t="str">
        <f t="shared" si="6"/>
        <v>arjun.rao@company.com</v>
      </c>
      <c r="AD60" t="str">
        <f t="shared" ca="1" si="7"/>
        <v/>
      </c>
      <c r="AE60">
        <f t="shared" si="3"/>
        <v>11</v>
      </c>
      <c r="AF60" t="str">
        <f t="shared" si="4"/>
        <v>Delayed</v>
      </c>
    </row>
    <row r="61" spans="4:32">
      <c r="D61" s="9" t="s">
        <v>430</v>
      </c>
      <c r="E61" s="10" t="s">
        <v>346</v>
      </c>
      <c r="F61" s="10" t="s">
        <v>330</v>
      </c>
      <c r="G61" s="11">
        <v>45780</v>
      </c>
      <c r="H61" s="11">
        <v>45811</v>
      </c>
      <c r="I61" s="10" t="s">
        <v>348</v>
      </c>
      <c r="J61" s="10" t="s">
        <v>269</v>
      </c>
      <c r="K61" s="11">
        <v>29039</v>
      </c>
      <c r="L61" s="10" t="s">
        <v>342</v>
      </c>
      <c r="M61" s="10" t="s">
        <v>261</v>
      </c>
      <c r="N61" s="10" t="s">
        <v>243</v>
      </c>
      <c r="O61" s="10" t="s">
        <v>333</v>
      </c>
      <c r="P61" s="10">
        <v>8</v>
      </c>
      <c r="Q61" s="10">
        <v>700</v>
      </c>
      <c r="R61" s="10">
        <v>10</v>
      </c>
      <c r="S61" s="10">
        <v>5040</v>
      </c>
      <c r="T61" s="10">
        <v>1</v>
      </c>
      <c r="U61" s="10" t="s">
        <v>245</v>
      </c>
      <c r="V61" s="10" t="s">
        <v>246</v>
      </c>
      <c r="W61" s="13" t="s">
        <v>431</v>
      </c>
      <c r="X61" s="10">
        <v>9261800516</v>
      </c>
      <c r="Y61" s="12" t="s">
        <v>265</v>
      </c>
      <c r="Z61" t="str">
        <f t="shared" si="0"/>
        <v>Blacklisted</v>
      </c>
      <c r="AA61" t="str">
        <f t="shared" si="1"/>
        <v>Vikas Mehta</v>
      </c>
      <c r="AB61" t="str">
        <f t="shared" si="2"/>
        <v>Vik005Ja</v>
      </c>
      <c r="AC61" t="str">
        <f t="shared" si="6"/>
        <v>vikas.mehta@company.com</v>
      </c>
      <c r="AD61" t="str">
        <f t="shared" ca="1" si="7"/>
        <v/>
      </c>
      <c r="AE61" t="str">
        <f t="shared" si="3"/>
        <v/>
      </c>
      <c r="AF61" t="str">
        <f t="shared" si="4"/>
        <v>Delayed</v>
      </c>
    </row>
    <row r="62" spans="4:32">
      <c r="D62" s="4" t="s">
        <v>432</v>
      </c>
      <c r="E62" s="5" t="s">
        <v>249</v>
      </c>
      <c r="F62" s="5" t="s">
        <v>347</v>
      </c>
      <c r="G62" s="6">
        <v>46269</v>
      </c>
      <c r="H62" s="5" t="s">
        <v>78</v>
      </c>
      <c r="I62" s="5" t="s">
        <v>251</v>
      </c>
      <c r="J62" s="5" t="s">
        <v>239</v>
      </c>
      <c r="K62" s="5" t="s">
        <v>433</v>
      </c>
      <c r="L62" s="5" t="s">
        <v>260</v>
      </c>
      <c r="M62" s="5" t="s">
        <v>261</v>
      </c>
      <c r="N62" s="5" t="s">
        <v>295</v>
      </c>
      <c r="O62" s="5" t="s">
        <v>349</v>
      </c>
      <c r="P62" s="5">
        <v>7</v>
      </c>
      <c r="Q62" s="5">
        <v>20</v>
      </c>
      <c r="R62" s="5">
        <v>15</v>
      </c>
      <c r="S62" s="5">
        <v>119</v>
      </c>
      <c r="T62" s="5">
        <v>5</v>
      </c>
      <c r="U62" s="5" t="s">
        <v>272</v>
      </c>
      <c r="V62" s="5" t="s">
        <v>263</v>
      </c>
      <c r="W62" s="5" t="s">
        <v>264</v>
      </c>
      <c r="X62" s="5">
        <v>9950802015</v>
      </c>
      <c r="Y62" s="8" t="s">
        <v>257</v>
      </c>
      <c r="Z62" t="str">
        <f t="shared" si="0"/>
        <v>Silver</v>
      </c>
      <c r="AA62" t="str">
        <f t="shared" si="1"/>
        <v>Kavya Nair</v>
      </c>
      <c r="AB62" t="str">
        <f t="shared" si="2"/>
        <v>Kav008De</v>
      </c>
      <c r="AC62" t="str">
        <f t="shared" si="6"/>
        <v>kavya.nair@company.com</v>
      </c>
      <c r="AD62">
        <f t="shared" ca="1" si="7"/>
        <v>47</v>
      </c>
      <c r="AE62" t="str">
        <f t="shared" si="3"/>
        <v/>
      </c>
      <c r="AF62" t="str">
        <f t="shared" si="4"/>
        <v>Delayed</v>
      </c>
    </row>
    <row r="63" spans="4:32">
      <c r="D63" s="9" t="s">
        <v>434</v>
      </c>
      <c r="E63" s="10" t="s">
        <v>284</v>
      </c>
      <c r="F63" s="10" t="s">
        <v>347</v>
      </c>
      <c r="G63" s="10" t="s">
        <v>49</v>
      </c>
      <c r="H63" s="10" t="s">
        <v>146</v>
      </c>
      <c r="I63" s="10" t="s">
        <v>285</v>
      </c>
      <c r="J63" s="10" t="s">
        <v>239</v>
      </c>
      <c r="K63" s="11">
        <v>30806</v>
      </c>
      <c r="L63" s="10" t="s">
        <v>291</v>
      </c>
      <c r="M63" s="10" t="s">
        <v>287</v>
      </c>
      <c r="N63" s="10" t="s">
        <v>295</v>
      </c>
      <c r="O63" s="10" t="s">
        <v>349</v>
      </c>
      <c r="P63" s="10">
        <v>16</v>
      </c>
      <c r="Q63" s="10">
        <v>20</v>
      </c>
      <c r="R63" s="10">
        <v>0</v>
      </c>
      <c r="S63" s="10">
        <v>320</v>
      </c>
      <c r="T63" s="10">
        <v>5</v>
      </c>
      <c r="U63" s="10" t="s">
        <v>245</v>
      </c>
      <c r="V63" s="10" t="s">
        <v>246</v>
      </c>
      <c r="W63" s="10" t="s">
        <v>308</v>
      </c>
      <c r="X63" s="10">
        <v>9595183767</v>
      </c>
      <c r="Y63" s="12" t="s">
        <v>248</v>
      </c>
      <c r="Z63" t="str">
        <f t="shared" si="0"/>
        <v/>
      </c>
      <c r="AA63" t="str">
        <f t="shared" si="1"/>
        <v>Priya Patel</v>
      </c>
      <c r="AB63" t="str">
        <f t="shared" si="2"/>
        <v>Pri002Pu</v>
      </c>
      <c r="AC63" t="str">
        <f t="shared" si="6"/>
        <v>priya.patel@company.com</v>
      </c>
      <c r="AD63" t="str">
        <f t="shared" ca="1" si="7"/>
        <v/>
      </c>
      <c r="AE63">
        <f t="shared" si="3"/>
        <v>9</v>
      </c>
      <c r="AF63" t="str">
        <f t="shared" si="4"/>
        <v>Delayed</v>
      </c>
    </row>
    <row r="64" spans="4:32">
      <c r="D64" s="4" t="s">
        <v>435</v>
      </c>
      <c r="E64" s="5" t="s">
        <v>235</v>
      </c>
      <c r="F64" s="5" t="s">
        <v>362</v>
      </c>
      <c r="G64" s="5" t="s">
        <v>16</v>
      </c>
      <c r="H64" s="5" t="s">
        <v>436</v>
      </c>
      <c r="I64" s="5" t="s">
        <v>318</v>
      </c>
      <c r="J64" s="5" t="s">
        <v>239</v>
      </c>
      <c r="K64" s="5" t="s">
        <v>437</v>
      </c>
      <c r="L64" s="5" t="s">
        <v>286</v>
      </c>
      <c r="M64" s="5" t="s">
        <v>287</v>
      </c>
      <c r="N64" s="5" t="s">
        <v>295</v>
      </c>
      <c r="O64" s="5" t="s">
        <v>363</v>
      </c>
      <c r="P64" s="5">
        <v>15</v>
      </c>
      <c r="Q64" s="5">
        <v>45</v>
      </c>
      <c r="R64" s="5">
        <v>0</v>
      </c>
      <c r="S64" s="5">
        <v>675</v>
      </c>
      <c r="T64" s="5">
        <v>4</v>
      </c>
      <c r="U64" s="5" t="s">
        <v>254</v>
      </c>
      <c r="V64" s="5" t="s">
        <v>246</v>
      </c>
      <c r="W64" s="5" t="s">
        <v>247</v>
      </c>
      <c r="X64" s="5">
        <v>9560201307</v>
      </c>
      <c r="Y64" s="8" t="s">
        <v>265</v>
      </c>
      <c r="Z64" t="str">
        <f t="shared" si="0"/>
        <v>Blacklisted</v>
      </c>
      <c r="AA64" t="str">
        <f t="shared" si="1"/>
        <v>Pooja Shah</v>
      </c>
      <c r="AB64" t="str">
        <f t="shared" si="2"/>
        <v>Poo010Mu</v>
      </c>
      <c r="AC64" t="str">
        <f t="shared" si="6"/>
        <v>pooja.shah@company.com</v>
      </c>
      <c r="AD64">
        <f t="shared" ca="1" si="7"/>
        <v>42</v>
      </c>
      <c r="AE64">
        <f t="shared" si="3"/>
        <v>7</v>
      </c>
      <c r="AF64" t="str">
        <f t="shared" si="4"/>
        <v>Delayed</v>
      </c>
    </row>
    <row r="65" spans="4:32">
      <c r="D65" s="9" t="s">
        <v>438</v>
      </c>
      <c r="E65" s="10" t="s">
        <v>358</v>
      </c>
      <c r="F65" s="10" t="s">
        <v>330</v>
      </c>
      <c r="G65" s="11">
        <v>45660</v>
      </c>
      <c r="H65" s="11">
        <v>45780</v>
      </c>
      <c r="I65" s="10" t="s">
        <v>359</v>
      </c>
      <c r="J65" s="10" t="s">
        <v>239</v>
      </c>
      <c r="K65" s="11">
        <v>37842</v>
      </c>
      <c r="L65" s="10" t="s">
        <v>306</v>
      </c>
      <c r="M65" s="10" t="s">
        <v>287</v>
      </c>
      <c r="N65" s="10" t="s">
        <v>243</v>
      </c>
      <c r="O65" s="10" t="s">
        <v>333</v>
      </c>
      <c r="P65" s="10">
        <v>15</v>
      </c>
      <c r="Q65" s="10">
        <v>700</v>
      </c>
      <c r="R65" s="10">
        <v>10</v>
      </c>
      <c r="S65" s="10">
        <v>9450</v>
      </c>
      <c r="T65" s="10">
        <v>3</v>
      </c>
      <c r="U65" s="10" t="s">
        <v>245</v>
      </c>
      <c r="V65" s="10" t="s">
        <v>312</v>
      </c>
      <c r="W65" s="10" t="s">
        <v>360</v>
      </c>
      <c r="X65" s="10">
        <v>9826484650</v>
      </c>
      <c r="Y65" s="12" t="s">
        <v>257</v>
      </c>
      <c r="Z65" t="str">
        <f t="shared" si="0"/>
        <v>Silver</v>
      </c>
      <c r="AA65" t="str">
        <f t="shared" si="1"/>
        <v>Sneha Joshi</v>
      </c>
      <c r="AB65" t="str">
        <f t="shared" si="2"/>
        <v>Sne006Ah</v>
      </c>
      <c r="AC65" t="str">
        <f t="shared" si="6"/>
        <v>sneha.joshi@company.com</v>
      </c>
      <c r="AD65" t="str">
        <f t="shared" ca="1" si="7"/>
        <v/>
      </c>
      <c r="AE65" t="str">
        <f t="shared" si="3"/>
        <v/>
      </c>
      <c r="AF65" t="str">
        <f t="shared" si="4"/>
        <v>Delayed</v>
      </c>
    </row>
    <row r="66" spans="4:32">
      <c r="D66" s="4" t="s">
        <v>439</v>
      </c>
      <c r="E66" s="5" t="s">
        <v>235</v>
      </c>
      <c r="F66" s="5" t="s">
        <v>362</v>
      </c>
      <c r="G66" s="6">
        <v>45902</v>
      </c>
      <c r="H66" s="6">
        <v>45993</v>
      </c>
      <c r="I66" s="5" t="s">
        <v>318</v>
      </c>
      <c r="J66" s="5" t="s">
        <v>239</v>
      </c>
      <c r="K66" s="5" t="s">
        <v>440</v>
      </c>
      <c r="L66" s="5" t="s">
        <v>379</v>
      </c>
      <c r="M66" s="5" t="s">
        <v>21</v>
      </c>
      <c r="N66" s="5" t="s">
        <v>295</v>
      </c>
      <c r="O66" s="5" t="s">
        <v>363</v>
      </c>
      <c r="P66" s="5">
        <v>3</v>
      </c>
      <c r="Q66" s="5">
        <v>45</v>
      </c>
      <c r="R66" s="5">
        <v>15</v>
      </c>
      <c r="S66" s="5">
        <v>114.75</v>
      </c>
      <c r="T66" s="5">
        <v>2</v>
      </c>
      <c r="U66" s="5" t="s">
        <v>277</v>
      </c>
      <c r="V66" s="5" t="s">
        <v>292</v>
      </c>
      <c r="W66" s="5" t="s">
        <v>247</v>
      </c>
      <c r="X66" s="5">
        <v>9219978007</v>
      </c>
      <c r="Y66" s="8" t="s">
        <v>248</v>
      </c>
      <c r="Z66" t="str">
        <f t="shared" si="0"/>
        <v>Blacklisted</v>
      </c>
      <c r="AA66" t="str">
        <f t="shared" si="1"/>
        <v>Pooja Shah</v>
      </c>
      <c r="AB66" t="str">
        <f t="shared" si="2"/>
        <v>Poo010Ko</v>
      </c>
      <c r="AC66" t="str">
        <f t="shared" si="6"/>
        <v>pooja.shah@company.com</v>
      </c>
      <c r="AD66">
        <f t="shared" ca="1" si="7"/>
        <v>23</v>
      </c>
      <c r="AE66" t="str">
        <f t="shared" si="3"/>
        <v/>
      </c>
      <c r="AF66" t="str">
        <f t="shared" si="4"/>
        <v>Delayed</v>
      </c>
    </row>
    <row r="67" spans="4:32">
      <c r="D67" s="9" t="s">
        <v>441</v>
      </c>
      <c r="E67" s="10" t="s">
        <v>284</v>
      </c>
      <c r="F67" s="10" t="s">
        <v>250</v>
      </c>
      <c r="G67" s="11">
        <v>46266</v>
      </c>
      <c r="H67" s="11">
        <v>46296</v>
      </c>
      <c r="I67" s="10" t="s">
        <v>285</v>
      </c>
      <c r="J67" s="10" t="s">
        <v>239</v>
      </c>
      <c r="K67" s="10" t="s">
        <v>442</v>
      </c>
      <c r="L67" s="10" t="s">
        <v>379</v>
      </c>
      <c r="M67" s="10" t="s">
        <v>21</v>
      </c>
      <c r="N67" s="10" t="s">
        <v>15</v>
      </c>
      <c r="O67" s="10" t="s">
        <v>253</v>
      </c>
      <c r="P67" s="10">
        <v>7</v>
      </c>
      <c r="Q67" s="10">
        <v>2200</v>
      </c>
      <c r="R67" s="10">
        <v>15</v>
      </c>
      <c r="S67" s="10">
        <v>13090</v>
      </c>
      <c r="T67" s="10">
        <v>5</v>
      </c>
      <c r="U67" s="10" t="s">
        <v>277</v>
      </c>
      <c r="V67" s="10" t="s">
        <v>292</v>
      </c>
      <c r="W67" s="10" t="s">
        <v>308</v>
      </c>
      <c r="X67" s="10">
        <v>9662063276</v>
      </c>
      <c r="Y67" s="12" t="s">
        <v>257</v>
      </c>
      <c r="Z67" t="str">
        <f t="shared" ref="Z67:Z130" si="8">IF(OR(T67&lt;=2,Y67="Cancelled"),"Blacklisted",IF(AND(S67&gt;100000,T67&gt;=4,R67&lt;=10%,Y67="Completed"),"Platinum",IF(AND(S67&gt;=50000,T67&gt;=3,Y67="Completed"),"Gold",IF(AND(S67&lt;50000,Y67="Completed"),"Silver",""))))</f>
        <v>Silver</v>
      </c>
      <c r="AA67" t="str">
        <f t="shared" ref="AA67:AA130" si="9">PROPER(TRIM(I67))</f>
        <v>Priya Patel</v>
      </c>
      <c r="AB67" t="str">
        <f t="shared" ref="AB67:AB130" si="10">LEFT(I67,3)&amp;MID(E67,2,3)&amp;LEFT(L67,2)</f>
        <v>Pri002Ko</v>
      </c>
      <c r="AC67" t="str">
        <f t="shared" si="6"/>
        <v>priya.patel@company.com</v>
      </c>
      <c r="AD67" t="str">
        <f t="shared" ca="1" si="7"/>
        <v/>
      </c>
      <c r="AE67" t="str">
        <f t="shared" ref="AE67:AE130" si="11">IF(OR(G67="",H67=""),"",IFERROR(DATE(MID(H67,7,4),MID(H67,4,2),LEFT(H67,2))-DATE(MID(G67,7,4),MID(G67,4,2),LEFT(G67,2)),""))</f>
        <v/>
      </c>
      <c r="AF67" t="str">
        <f t="shared" ref="AF67:AF130" si="12">IF(H67="","Pending",IF(AE67&lt;=5,"On time","Delayed"))</f>
        <v>Delayed</v>
      </c>
    </row>
    <row r="68" spans="4:32">
      <c r="D68" s="4" t="s">
        <v>443</v>
      </c>
      <c r="E68" s="5" t="s">
        <v>249</v>
      </c>
      <c r="F68" s="5" t="s">
        <v>362</v>
      </c>
      <c r="G68" s="6">
        <v>45666</v>
      </c>
      <c r="H68" s="6">
        <v>45786</v>
      </c>
      <c r="I68" s="5" t="s">
        <v>251</v>
      </c>
      <c r="J68" s="5" t="s">
        <v>239</v>
      </c>
      <c r="K68" s="5" t="s">
        <v>444</v>
      </c>
      <c r="L68" s="5" t="s">
        <v>260</v>
      </c>
      <c r="M68" s="5" t="s">
        <v>261</v>
      </c>
      <c r="N68" s="5" t="s">
        <v>295</v>
      </c>
      <c r="O68" s="5" t="s">
        <v>363</v>
      </c>
      <c r="P68" s="5">
        <v>19</v>
      </c>
      <c r="Q68" s="5">
        <v>45</v>
      </c>
      <c r="R68" s="5">
        <v>10</v>
      </c>
      <c r="S68" s="5">
        <v>769.5</v>
      </c>
      <c r="T68" s="5">
        <v>5</v>
      </c>
      <c r="U68" s="5" t="s">
        <v>272</v>
      </c>
      <c r="V68" s="5" t="s">
        <v>292</v>
      </c>
      <c r="W68" s="5" t="s">
        <v>264</v>
      </c>
      <c r="X68" s="5">
        <v>9190393639</v>
      </c>
      <c r="Y68" s="8" t="s">
        <v>265</v>
      </c>
      <c r="Z68" t="str">
        <f t="shared" si="8"/>
        <v>Blacklisted</v>
      </c>
      <c r="AA68" t="str">
        <f t="shared" si="9"/>
        <v>Kavya Nair</v>
      </c>
      <c r="AB68" t="str">
        <f t="shared" si="10"/>
        <v>Kav008De</v>
      </c>
      <c r="AC68" t="str">
        <f t="shared" ref="AC68:AC131" si="13">IF(ISNUMBER(SEARCH("@",W68)),LOWER(TRIM(W68)),"invalid email")</f>
        <v>kavya.nair@company.com</v>
      </c>
      <c r="AD68" t="str">
        <f t="shared" ca="1" si="7"/>
        <v/>
      </c>
      <c r="AE68" t="str">
        <f t="shared" si="11"/>
        <v/>
      </c>
      <c r="AF68" t="str">
        <f t="shared" si="12"/>
        <v>Delayed</v>
      </c>
    </row>
    <row r="69" spans="4:32">
      <c r="D69" s="9" t="s">
        <v>445</v>
      </c>
      <c r="E69" s="10" t="s">
        <v>358</v>
      </c>
      <c r="F69" s="10" t="s">
        <v>280</v>
      </c>
      <c r="G69" s="11">
        <v>46267</v>
      </c>
      <c r="H69" s="10" t="s">
        <v>24</v>
      </c>
      <c r="I69" s="10" t="s">
        <v>359</v>
      </c>
      <c r="J69" s="10" t="s">
        <v>239</v>
      </c>
      <c r="K69" s="10" t="s">
        <v>446</v>
      </c>
      <c r="L69" s="10" t="s">
        <v>252</v>
      </c>
      <c r="M69" s="10" t="s">
        <v>242</v>
      </c>
      <c r="N69" s="10" t="s">
        <v>15</v>
      </c>
      <c r="O69" s="10" t="s">
        <v>282</v>
      </c>
      <c r="P69" s="10">
        <v>7</v>
      </c>
      <c r="Q69" s="10">
        <v>3500</v>
      </c>
      <c r="R69" s="10">
        <v>15</v>
      </c>
      <c r="S69" s="10">
        <v>20825</v>
      </c>
      <c r="T69" s="10">
        <v>1</v>
      </c>
      <c r="U69" s="10" t="s">
        <v>254</v>
      </c>
      <c r="V69" s="10" t="s">
        <v>312</v>
      </c>
      <c r="W69" s="10" t="s">
        <v>360</v>
      </c>
      <c r="X69" s="10">
        <v>9106328582</v>
      </c>
      <c r="Y69" s="12" t="s">
        <v>248</v>
      </c>
      <c r="Z69" t="str">
        <f t="shared" si="8"/>
        <v>Blacklisted</v>
      </c>
      <c r="AA69" t="str">
        <f t="shared" si="9"/>
        <v>Sneha Joshi</v>
      </c>
      <c r="AB69" t="str">
        <f t="shared" si="10"/>
        <v>Sne006Hy</v>
      </c>
      <c r="AC69" t="str">
        <f t="shared" si="13"/>
        <v>sneha.joshi@company.com</v>
      </c>
      <c r="AD69" t="str">
        <f t="shared" ref="AD69:AD132" ca="1" si="14">IF(K68="","",IFERROR(DATEDIF(IF(ISNUMBER(K68),K68,DATE(VALUE(RIGHT(K68,4)),VALUE(MID(K68,3,2)),VALUE(LEFT(K68,2)))),TODAY(),"Y"),""))</f>
        <v/>
      </c>
      <c r="AE69" t="str">
        <f t="shared" si="11"/>
        <v/>
      </c>
      <c r="AF69" t="str">
        <f t="shared" si="12"/>
        <v>Delayed</v>
      </c>
    </row>
    <row r="70" spans="4:32">
      <c r="D70" s="4" t="s">
        <v>447</v>
      </c>
      <c r="E70" s="5" t="s">
        <v>235</v>
      </c>
      <c r="F70" s="5" t="s">
        <v>322</v>
      </c>
      <c r="G70" s="5" t="s">
        <v>30</v>
      </c>
      <c r="H70" s="5" t="s">
        <v>448</v>
      </c>
      <c r="I70" s="5" t="s">
        <v>318</v>
      </c>
      <c r="J70" s="5" t="s">
        <v>239</v>
      </c>
      <c r="K70" s="5" t="s">
        <v>449</v>
      </c>
      <c r="L70" s="5" t="s">
        <v>342</v>
      </c>
      <c r="M70" s="5" t="s">
        <v>261</v>
      </c>
      <c r="N70" s="5" t="s">
        <v>15</v>
      </c>
      <c r="O70" s="5" t="s">
        <v>325</v>
      </c>
      <c r="P70" s="5">
        <v>7</v>
      </c>
      <c r="Q70" s="5">
        <v>8500</v>
      </c>
      <c r="R70" s="5">
        <v>20</v>
      </c>
      <c r="S70" s="5">
        <v>47600</v>
      </c>
      <c r="T70" s="5">
        <v>4</v>
      </c>
      <c r="U70" s="5" t="s">
        <v>245</v>
      </c>
      <c r="V70" s="5" t="s">
        <v>292</v>
      </c>
      <c r="W70" s="5" t="s">
        <v>247</v>
      </c>
      <c r="X70" s="5">
        <v>9264401015</v>
      </c>
      <c r="Y70" s="8" t="s">
        <v>257</v>
      </c>
      <c r="Z70" t="str">
        <f t="shared" si="8"/>
        <v>Silver</v>
      </c>
      <c r="AA70" t="str">
        <f t="shared" si="9"/>
        <v>Pooja Shah</v>
      </c>
      <c r="AB70" t="str">
        <f t="shared" si="10"/>
        <v>Poo010Ja</v>
      </c>
      <c r="AC70" t="str">
        <f t="shared" si="13"/>
        <v>pooja.shah@company.com</v>
      </c>
      <c r="AD70" t="str">
        <f t="shared" ca="1" si="14"/>
        <v/>
      </c>
      <c r="AE70">
        <f t="shared" si="11"/>
        <v>5</v>
      </c>
      <c r="AF70" t="str">
        <f t="shared" si="12"/>
        <v>On time</v>
      </c>
    </row>
    <row r="71" spans="4:32">
      <c r="D71" s="9" t="s">
        <v>450</v>
      </c>
      <c r="E71" s="10" t="s">
        <v>249</v>
      </c>
      <c r="F71" s="10" t="s">
        <v>236</v>
      </c>
      <c r="G71" s="11">
        <v>45842</v>
      </c>
      <c r="H71" s="11">
        <v>45934</v>
      </c>
      <c r="I71" s="10" t="s">
        <v>251</v>
      </c>
      <c r="J71" s="10" t="s">
        <v>239</v>
      </c>
      <c r="K71" s="11">
        <v>36648</v>
      </c>
      <c r="L71" s="10" t="s">
        <v>241</v>
      </c>
      <c r="M71" s="10" t="s">
        <v>242</v>
      </c>
      <c r="N71" s="10" t="s">
        <v>243</v>
      </c>
      <c r="O71" s="10" t="s">
        <v>244</v>
      </c>
      <c r="P71" s="10">
        <v>16</v>
      </c>
      <c r="Q71" s="10">
        <v>55000</v>
      </c>
      <c r="R71" s="10">
        <v>10</v>
      </c>
      <c r="S71" s="10">
        <v>792000</v>
      </c>
      <c r="T71" s="10">
        <v>1</v>
      </c>
      <c r="U71" s="10" t="s">
        <v>272</v>
      </c>
      <c r="V71" s="10" t="s">
        <v>246</v>
      </c>
      <c r="W71" s="10" t="s">
        <v>264</v>
      </c>
      <c r="X71" s="10">
        <v>9959237375</v>
      </c>
      <c r="Y71" s="12" t="s">
        <v>257</v>
      </c>
      <c r="Z71" t="str">
        <f t="shared" si="8"/>
        <v>Blacklisted</v>
      </c>
      <c r="AA71" t="str">
        <f t="shared" si="9"/>
        <v>Kavya Nair</v>
      </c>
      <c r="AB71" t="str">
        <f t="shared" si="10"/>
        <v>Kav008Be</v>
      </c>
      <c r="AC71" t="str">
        <f t="shared" si="13"/>
        <v>kavya.nair@company.com</v>
      </c>
      <c r="AD71" t="str">
        <f t="shared" ca="1" si="14"/>
        <v/>
      </c>
      <c r="AE71" t="str">
        <f t="shared" si="11"/>
        <v/>
      </c>
      <c r="AF71" t="str">
        <f t="shared" si="12"/>
        <v>Delayed</v>
      </c>
    </row>
    <row r="72" spans="4:32">
      <c r="D72" s="4" t="s">
        <v>451</v>
      </c>
      <c r="E72" s="5" t="s">
        <v>321</v>
      </c>
      <c r="F72" s="5" t="s">
        <v>258</v>
      </c>
      <c r="G72" s="5" t="s">
        <v>136</v>
      </c>
      <c r="H72" s="6">
        <v>46082</v>
      </c>
      <c r="I72" s="5" t="s">
        <v>408</v>
      </c>
      <c r="J72" s="5" t="s">
        <v>239</v>
      </c>
      <c r="K72" s="5" t="s">
        <v>452</v>
      </c>
      <c r="L72" s="5" t="s">
        <v>286</v>
      </c>
      <c r="M72" s="5" t="s">
        <v>287</v>
      </c>
      <c r="N72" s="5" t="s">
        <v>243</v>
      </c>
      <c r="O72" s="5" t="s">
        <v>262</v>
      </c>
      <c r="P72" s="5">
        <v>2</v>
      </c>
      <c r="Q72" s="5">
        <v>12000</v>
      </c>
      <c r="R72" s="5">
        <v>20</v>
      </c>
      <c r="S72" s="5">
        <v>19200</v>
      </c>
      <c r="T72" s="5">
        <v>1</v>
      </c>
      <c r="U72" s="5" t="s">
        <v>254</v>
      </c>
      <c r="V72" s="5" t="s">
        <v>312</v>
      </c>
      <c r="W72" s="7" t="s">
        <v>453</v>
      </c>
      <c r="X72" s="5">
        <v>9561836580</v>
      </c>
      <c r="Y72" s="8" t="s">
        <v>248</v>
      </c>
      <c r="Z72" t="str">
        <f t="shared" si="8"/>
        <v>Blacklisted</v>
      </c>
      <c r="AA72" t="str">
        <f t="shared" si="9"/>
        <v>Anita Gupta</v>
      </c>
      <c r="AB72" t="str">
        <f t="shared" si="10"/>
        <v>Ani004Mu</v>
      </c>
      <c r="AC72" t="str">
        <f t="shared" si="13"/>
        <v>anita.gupta@company.com</v>
      </c>
      <c r="AD72">
        <f t="shared" ca="1" si="14"/>
        <v>26</v>
      </c>
      <c r="AE72" t="str">
        <f t="shared" si="11"/>
        <v/>
      </c>
      <c r="AF72" t="str">
        <f t="shared" si="12"/>
        <v>Delayed</v>
      </c>
    </row>
    <row r="73" spans="4:32">
      <c r="D73" s="9" t="s">
        <v>454</v>
      </c>
      <c r="E73" s="10" t="s">
        <v>299</v>
      </c>
      <c r="F73" s="10" t="s">
        <v>362</v>
      </c>
      <c r="G73" s="10" t="s">
        <v>199</v>
      </c>
      <c r="H73" s="11">
        <v>45786</v>
      </c>
      <c r="I73" s="10" t="s">
        <v>301</v>
      </c>
      <c r="J73" s="10" t="s">
        <v>269</v>
      </c>
      <c r="K73" s="10" t="s">
        <v>455</v>
      </c>
      <c r="L73" s="10" t="s">
        <v>241</v>
      </c>
      <c r="M73" s="10" t="s">
        <v>242</v>
      </c>
      <c r="N73" s="10" t="s">
        <v>295</v>
      </c>
      <c r="O73" s="10" t="s">
        <v>363</v>
      </c>
      <c r="P73" s="10">
        <v>4</v>
      </c>
      <c r="Q73" s="10">
        <v>45</v>
      </c>
      <c r="R73" s="10">
        <v>5</v>
      </c>
      <c r="S73" s="10">
        <v>171</v>
      </c>
      <c r="T73" s="10">
        <v>1</v>
      </c>
      <c r="U73" s="10" t="s">
        <v>272</v>
      </c>
      <c r="V73" s="10" t="s">
        <v>263</v>
      </c>
      <c r="W73" s="10" t="s">
        <v>302</v>
      </c>
      <c r="X73" s="10">
        <v>9512666401</v>
      </c>
      <c r="Y73" s="12" t="s">
        <v>248</v>
      </c>
      <c r="Z73" t="str">
        <f t="shared" si="8"/>
        <v>Blacklisted</v>
      </c>
      <c r="AA73" t="str">
        <f t="shared" si="9"/>
        <v>Rohit Singh</v>
      </c>
      <c r="AB73" t="str">
        <f t="shared" si="10"/>
        <v>Roh003Be</v>
      </c>
      <c r="AC73" t="str">
        <f t="shared" si="13"/>
        <v>rohit.singh@company.com</v>
      </c>
      <c r="AD73" t="str">
        <f t="shared" ca="1" si="14"/>
        <v/>
      </c>
      <c r="AE73" t="str">
        <f t="shared" si="11"/>
        <v/>
      </c>
      <c r="AF73" t="str">
        <f t="shared" si="12"/>
        <v>Delayed</v>
      </c>
    </row>
    <row r="74" spans="4:32">
      <c r="D74" s="4" t="s">
        <v>456</v>
      </c>
      <c r="E74" s="5" t="s">
        <v>249</v>
      </c>
      <c r="F74" s="5" t="s">
        <v>267</v>
      </c>
      <c r="G74" s="5" t="s">
        <v>22</v>
      </c>
      <c r="H74" s="5" t="s">
        <v>127</v>
      </c>
      <c r="I74" s="5" t="s">
        <v>251</v>
      </c>
      <c r="J74" s="5" t="s">
        <v>239</v>
      </c>
      <c r="K74" s="5" t="s">
        <v>457</v>
      </c>
      <c r="L74" s="5" t="s">
        <v>342</v>
      </c>
      <c r="M74" s="5" t="s">
        <v>261</v>
      </c>
      <c r="N74" s="5" t="s">
        <v>243</v>
      </c>
      <c r="O74" s="5" t="s">
        <v>271</v>
      </c>
      <c r="P74" s="5">
        <v>1</v>
      </c>
      <c r="Q74" s="5">
        <v>1200</v>
      </c>
      <c r="R74" s="5">
        <v>5</v>
      </c>
      <c r="S74" s="5">
        <v>1140</v>
      </c>
      <c r="T74" s="5">
        <v>3</v>
      </c>
      <c r="U74" s="5" t="s">
        <v>277</v>
      </c>
      <c r="V74" s="5" t="s">
        <v>246</v>
      </c>
      <c r="W74" s="5" t="s">
        <v>264</v>
      </c>
      <c r="X74" s="5">
        <v>9808988530</v>
      </c>
      <c r="Y74" s="8" t="s">
        <v>265</v>
      </c>
      <c r="Z74" t="str">
        <f t="shared" si="8"/>
        <v>Blacklisted</v>
      </c>
      <c r="AA74" t="str">
        <f t="shared" si="9"/>
        <v>Kavya Nair</v>
      </c>
      <c r="AB74" t="str">
        <f t="shared" si="10"/>
        <v>Kav008Ja</v>
      </c>
      <c r="AC74" t="str">
        <f t="shared" si="13"/>
        <v>kavya.nair@company.com</v>
      </c>
      <c r="AD74" t="str">
        <f t="shared" ca="1" si="14"/>
        <v/>
      </c>
      <c r="AE74">
        <f t="shared" si="11"/>
        <v>10</v>
      </c>
      <c r="AF74" t="str">
        <f t="shared" si="12"/>
        <v>Delayed</v>
      </c>
    </row>
    <row r="75" spans="4:32">
      <c r="D75" s="9" t="s">
        <v>458</v>
      </c>
      <c r="E75" s="10" t="s">
        <v>235</v>
      </c>
      <c r="F75" s="10" t="s">
        <v>250</v>
      </c>
      <c r="G75" s="11">
        <v>46114</v>
      </c>
      <c r="H75" s="10" t="s">
        <v>459</v>
      </c>
      <c r="I75" s="10" t="s">
        <v>318</v>
      </c>
      <c r="J75" s="10" t="s">
        <v>239</v>
      </c>
      <c r="K75" s="15" t="s">
        <v>460</v>
      </c>
      <c r="L75" s="10"/>
      <c r="M75" s="10" t="s">
        <v>242</v>
      </c>
      <c r="N75" s="10" t="s">
        <v>15</v>
      </c>
      <c r="O75" s="10" t="s">
        <v>253</v>
      </c>
      <c r="P75" s="10">
        <v>1</v>
      </c>
      <c r="Q75" s="10">
        <v>2200</v>
      </c>
      <c r="R75" s="10">
        <v>15</v>
      </c>
      <c r="S75" s="10">
        <v>1870</v>
      </c>
      <c r="T75" s="10">
        <v>4</v>
      </c>
      <c r="U75" s="10" t="s">
        <v>272</v>
      </c>
      <c r="V75" s="10" t="s">
        <v>246</v>
      </c>
      <c r="W75" s="10" t="s">
        <v>247</v>
      </c>
      <c r="X75" s="10">
        <v>9286410494</v>
      </c>
      <c r="Y75" s="12" t="s">
        <v>257</v>
      </c>
      <c r="Z75" t="str">
        <f t="shared" si="8"/>
        <v>Silver</v>
      </c>
      <c r="AA75" t="str">
        <f t="shared" si="9"/>
        <v>Pooja Shah</v>
      </c>
      <c r="AB75" t="str">
        <f t="shared" si="10"/>
        <v>Poo010</v>
      </c>
      <c r="AC75" t="str">
        <f t="shared" si="13"/>
        <v>pooja.shah@company.com</v>
      </c>
      <c r="AD75" t="str">
        <f t="shared" ca="1" si="14"/>
        <v/>
      </c>
      <c r="AE75" t="str">
        <f t="shared" si="11"/>
        <v/>
      </c>
      <c r="AF75" t="str">
        <f t="shared" si="12"/>
        <v>Delayed</v>
      </c>
    </row>
    <row r="76" spans="4:32">
      <c r="D76" s="4" t="s">
        <v>461</v>
      </c>
      <c r="E76" s="5" t="s">
        <v>299</v>
      </c>
      <c r="F76" s="5" t="s">
        <v>267</v>
      </c>
      <c r="G76" s="5" t="s">
        <v>149</v>
      </c>
      <c r="H76" s="5" t="s">
        <v>174</v>
      </c>
      <c r="I76" s="5" t="s">
        <v>301</v>
      </c>
      <c r="J76" s="5" t="s">
        <v>269</v>
      </c>
      <c r="K76" s="6">
        <v>29993</v>
      </c>
      <c r="L76" s="5" t="s">
        <v>291</v>
      </c>
      <c r="M76" s="5" t="s">
        <v>287</v>
      </c>
      <c r="N76" s="5" t="s">
        <v>243</v>
      </c>
      <c r="O76" s="5" t="s">
        <v>271</v>
      </c>
      <c r="P76" s="5">
        <v>3</v>
      </c>
      <c r="Q76" s="5">
        <v>1200</v>
      </c>
      <c r="R76" s="5">
        <v>10</v>
      </c>
      <c r="S76" s="5">
        <v>3240</v>
      </c>
      <c r="T76" s="5">
        <v>5</v>
      </c>
      <c r="U76" s="5" t="s">
        <v>254</v>
      </c>
      <c r="V76" s="5" t="s">
        <v>263</v>
      </c>
      <c r="W76" s="5" t="s">
        <v>302</v>
      </c>
      <c r="X76" s="5">
        <v>9311555196</v>
      </c>
      <c r="Y76" s="8" t="s">
        <v>257</v>
      </c>
      <c r="Z76" t="str">
        <f t="shared" si="8"/>
        <v>Silver</v>
      </c>
      <c r="AA76" t="str">
        <f t="shared" si="9"/>
        <v>Rohit Singh</v>
      </c>
      <c r="AB76" t="str">
        <f t="shared" si="10"/>
        <v>Roh003Pu</v>
      </c>
      <c r="AC76" t="str">
        <f t="shared" si="13"/>
        <v>rohit.singh@company.com</v>
      </c>
      <c r="AD76" t="str">
        <f t="shared" ca="1" si="14"/>
        <v/>
      </c>
      <c r="AE76">
        <f t="shared" si="11"/>
        <v>2</v>
      </c>
      <c r="AF76" t="str">
        <f t="shared" si="12"/>
        <v>On time</v>
      </c>
    </row>
    <row r="77" spans="4:32">
      <c r="D77" s="9" t="s">
        <v>462</v>
      </c>
      <c r="E77" s="10" t="s">
        <v>249</v>
      </c>
      <c r="F77" s="10" t="s">
        <v>280</v>
      </c>
      <c r="G77" s="10" t="s">
        <v>167</v>
      </c>
      <c r="H77" s="11">
        <v>45845</v>
      </c>
      <c r="I77" s="10" t="s">
        <v>251</v>
      </c>
      <c r="J77" s="10" t="s">
        <v>239</v>
      </c>
      <c r="K77" s="11">
        <v>29495</v>
      </c>
      <c r="L77" s="10" t="s">
        <v>241</v>
      </c>
      <c r="M77" s="10" t="s">
        <v>242</v>
      </c>
      <c r="N77" s="10" t="s">
        <v>15</v>
      </c>
      <c r="O77" s="10" t="s">
        <v>282</v>
      </c>
      <c r="P77" s="10">
        <v>10</v>
      </c>
      <c r="Q77" s="10">
        <v>3500</v>
      </c>
      <c r="R77" s="10">
        <v>20</v>
      </c>
      <c r="S77" s="10">
        <v>28000</v>
      </c>
      <c r="T77" s="10">
        <v>5</v>
      </c>
      <c r="U77" s="10" t="s">
        <v>272</v>
      </c>
      <c r="V77" s="10" t="s">
        <v>255</v>
      </c>
      <c r="W77" s="10" t="s">
        <v>264</v>
      </c>
      <c r="X77" s="10">
        <v>9101810266</v>
      </c>
      <c r="Y77" s="12" t="s">
        <v>257</v>
      </c>
      <c r="Z77" t="str">
        <f t="shared" si="8"/>
        <v>Silver</v>
      </c>
      <c r="AA77" t="str">
        <f t="shared" si="9"/>
        <v>Kavya Nair</v>
      </c>
      <c r="AB77" t="str">
        <f t="shared" si="10"/>
        <v>Kav008Be</v>
      </c>
      <c r="AC77" t="str">
        <f t="shared" si="13"/>
        <v>kavya.nair@company.com</v>
      </c>
      <c r="AD77">
        <f t="shared" ca="1" si="14"/>
        <v>44</v>
      </c>
      <c r="AE77" t="str">
        <f t="shared" si="11"/>
        <v/>
      </c>
      <c r="AF77" t="str">
        <f t="shared" si="12"/>
        <v>Delayed</v>
      </c>
    </row>
    <row r="78" spans="4:32">
      <c r="D78" s="4" t="s">
        <v>463</v>
      </c>
      <c r="E78" s="5" t="s">
        <v>275</v>
      </c>
      <c r="F78" s="5" t="s">
        <v>330</v>
      </c>
      <c r="G78" s="5" t="s">
        <v>58</v>
      </c>
      <c r="H78" s="5" t="s">
        <v>425</v>
      </c>
      <c r="I78" s="5" t="s">
        <v>328</v>
      </c>
      <c r="J78" s="5" t="s">
        <v>269</v>
      </c>
      <c r="K78" s="5" t="s">
        <v>464</v>
      </c>
      <c r="L78" s="5" t="s">
        <v>260</v>
      </c>
      <c r="M78" s="5" t="s">
        <v>261</v>
      </c>
      <c r="N78" s="5" t="s">
        <v>243</v>
      </c>
      <c r="O78" s="5" t="s">
        <v>333</v>
      </c>
      <c r="P78" s="5">
        <v>18</v>
      </c>
      <c r="Q78" s="5">
        <v>700</v>
      </c>
      <c r="R78" s="5">
        <v>5</v>
      </c>
      <c r="S78" s="5">
        <v>11970</v>
      </c>
      <c r="T78" s="5">
        <v>3</v>
      </c>
      <c r="U78" s="5" t="s">
        <v>272</v>
      </c>
      <c r="V78" s="5" t="s">
        <v>292</v>
      </c>
      <c r="W78" s="5" t="s">
        <v>278</v>
      </c>
      <c r="X78" s="5">
        <v>9464556593</v>
      </c>
      <c r="Y78" s="8" t="s">
        <v>265</v>
      </c>
      <c r="Z78" t="str">
        <f t="shared" si="8"/>
        <v>Blacklisted</v>
      </c>
      <c r="AA78" t="str">
        <f t="shared" si="9"/>
        <v>Arjun Rao</v>
      </c>
      <c r="AB78" t="str">
        <f t="shared" si="10"/>
        <v>Arj007De</v>
      </c>
      <c r="AC78" t="str">
        <f t="shared" si="13"/>
        <v>arjun.rao@company.com</v>
      </c>
      <c r="AD78">
        <f t="shared" ca="1" si="14"/>
        <v>46</v>
      </c>
      <c r="AE78">
        <f t="shared" si="11"/>
        <v>2</v>
      </c>
      <c r="AF78" t="str">
        <f t="shared" si="12"/>
        <v>On time</v>
      </c>
    </row>
    <row r="79" spans="4:32">
      <c r="D79" s="9" t="s">
        <v>465</v>
      </c>
      <c r="E79" s="10" t="s">
        <v>346</v>
      </c>
      <c r="F79" s="10" t="s">
        <v>330</v>
      </c>
      <c r="G79" s="11">
        <v>45906</v>
      </c>
      <c r="H79" s="10" t="s">
        <v>466</v>
      </c>
      <c r="I79" s="10" t="s">
        <v>348</v>
      </c>
      <c r="J79" s="10" t="s">
        <v>269</v>
      </c>
      <c r="K79" s="11">
        <v>31384</v>
      </c>
      <c r="L79" s="10" t="s">
        <v>241</v>
      </c>
      <c r="M79" s="10" t="s">
        <v>242</v>
      </c>
      <c r="N79" s="10" t="s">
        <v>243</v>
      </c>
      <c r="O79" s="10" t="s">
        <v>333</v>
      </c>
      <c r="P79" s="10">
        <v>12</v>
      </c>
      <c r="Q79" s="10">
        <v>700</v>
      </c>
      <c r="R79" s="10">
        <v>15</v>
      </c>
      <c r="S79" s="10">
        <v>7140</v>
      </c>
      <c r="T79" s="10">
        <v>2</v>
      </c>
      <c r="U79" s="10" t="s">
        <v>277</v>
      </c>
      <c r="V79" s="10" t="s">
        <v>263</v>
      </c>
      <c r="W79" s="10" t="s">
        <v>350</v>
      </c>
      <c r="X79" s="10">
        <v>9338278358</v>
      </c>
      <c r="Y79" s="12" t="s">
        <v>257</v>
      </c>
      <c r="Z79" t="str">
        <f t="shared" si="8"/>
        <v>Blacklisted</v>
      </c>
      <c r="AA79" t="str">
        <f t="shared" si="9"/>
        <v>Vikas Mehta</v>
      </c>
      <c r="AB79" t="str">
        <f t="shared" si="10"/>
        <v>Vik005Be</v>
      </c>
      <c r="AC79" t="str">
        <f t="shared" si="13"/>
        <v>vikas.mehta@company.com</v>
      </c>
      <c r="AD79" t="str">
        <f t="shared" ca="1" si="14"/>
        <v/>
      </c>
      <c r="AE79" t="str">
        <f t="shared" si="11"/>
        <v/>
      </c>
      <c r="AF79" t="str">
        <f t="shared" si="12"/>
        <v>Delayed</v>
      </c>
    </row>
    <row r="80" spans="4:32">
      <c r="D80" s="4" t="s">
        <v>467</v>
      </c>
      <c r="E80" s="5" t="s">
        <v>266</v>
      </c>
      <c r="F80" s="5" t="s">
        <v>267</v>
      </c>
      <c r="G80" s="5" t="s">
        <v>38</v>
      </c>
      <c r="H80" s="5" t="s">
        <v>51</v>
      </c>
      <c r="I80" s="5" t="s">
        <v>268</v>
      </c>
      <c r="J80" s="5" t="s">
        <v>269</v>
      </c>
      <c r="K80" s="5" t="s">
        <v>468</v>
      </c>
      <c r="L80" s="5" t="s">
        <v>286</v>
      </c>
      <c r="M80" s="5" t="s">
        <v>287</v>
      </c>
      <c r="N80" s="5" t="s">
        <v>243</v>
      </c>
      <c r="O80" s="5" t="s">
        <v>271</v>
      </c>
      <c r="P80" s="5">
        <v>8</v>
      </c>
      <c r="Q80" s="5">
        <v>1200</v>
      </c>
      <c r="R80" s="5">
        <v>0</v>
      </c>
      <c r="S80" s="5">
        <v>9600</v>
      </c>
      <c r="T80" s="5">
        <v>4</v>
      </c>
      <c r="U80" s="5" t="s">
        <v>272</v>
      </c>
      <c r="V80" s="5" t="s">
        <v>263</v>
      </c>
      <c r="W80" s="5" t="s">
        <v>273</v>
      </c>
      <c r="X80" s="5">
        <v>9621410770</v>
      </c>
      <c r="Y80" s="8" t="s">
        <v>248</v>
      </c>
      <c r="Z80" t="str">
        <f t="shared" si="8"/>
        <v/>
      </c>
      <c r="AA80" t="str">
        <f t="shared" si="9"/>
        <v>Mohit Verma</v>
      </c>
      <c r="AB80" t="str">
        <f t="shared" si="10"/>
        <v>Moh009Mu</v>
      </c>
      <c r="AC80" t="str">
        <f t="shared" si="13"/>
        <v>mohit.verma@company.com</v>
      </c>
      <c r="AD80">
        <f t="shared" ca="1" si="14"/>
        <v>40</v>
      </c>
      <c r="AE80">
        <f t="shared" si="11"/>
        <v>1</v>
      </c>
      <c r="AF80" t="str">
        <f t="shared" si="12"/>
        <v>On time</v>
      </c>
    </row>
    <row r="81" spans="4:32">
      <c r="D81" s="9" t="s">
        <v>469</v>
      </c>
      <c r="E81" s="10" t="s">
        <v>299</v>
      </c>
      <c r="F81" s="10" t="s">
        <v>294</v>
      </c>
      <c r="G81" s="11">
        <v>45819</v>
      </c>
      <c r="H81" s="11">
        <v>45941</v>
      </c>
      <c r="I81" s="10" t="s">
        <v>301</v>
      </c>
      <c r="J81" s="10" t="s">
        <v>269</v>
      </c>
      <c r="K81" s="11">
        <v>30504</v>
      </c>
      <c r="L81" s="10" t="s">
        <v>291</v>
      </c>
      <c r="M81" s="10" t="s">
        <v>287</v>
      </c>
      <c r="N81" s="10" t="s">
        <v>295</v>
      </c>
      <c r="O81" s="10" t="s">
        <v>296</v>
      </c>
      <c r="P81" s="10">
        <v>2</v>
      </c>
      <c r="Q81" s="10">
        <v>60</v>
      </c>
      <c r="R81" s="10">
        <v>0</v>
      </c>
      <c r="S81" s="10">
        <v>120</v>
      </c>
      <c r="T81" s="10">
        <v>2</v>
      </c>
      <c r="U81" s="10" t="s">
        <v>277</v>
      </c>
      <c r="V81" s="10" t="s">
        <v>263</v>
      </c>
      <c r="W81" s="10" t="s">
        <v>302</v>
      </c>
      <c r="X81" s="10">
        <v>9981333189</v>
      </c>
      <c r="Y81" s="12" t="s">
        <v>257</v>
      </c>
      <c r="Z81" t="str">
        <f t="shared" si="8"/>
        <v>Blacklisted</v>
      </c>
      <c r="AA81" t="str">
        <f t="shared" si="9"/>
        <v>Rohit Singh</v>
      </c>
      <c r="AB81" t="str">
        <f t="shared" si="10"/>
        <v>Roh003Pu</v>
      </c>
      <c r="AC81" t="str">
        <f t="shared" si="13"/>
        <v>rohit.singh@company.com</v>
      </c>
      <c r="AD81" t="str">
        <f t="shared" ca="1" si="14"/>
        <v/>
      </c>
      <c r="AE81" t="str">
        <f t="shared" si="11"/>
        <v/>
      </c>
      <c r="AF81" t="str">
        <f t="shared" si="12"/>
        <v>Delayed</v>
      </c>
    </row>
    <row r="82" spans="4:32">
      <c r="D82" s="4" t="s">
        <v>470</v>
      </c>
      <c r="E82" s="5" t="s">
        <v>392</v>
      </c>
      <c r="F82" s="5" t="s">
        <v>362</v>
      </c>
      <c r="G82" s="6">
        <v>45658</v>
      </c>
      <c r="H82" s="6">
        <v>45839</v>
      </c>
      <c r="I82" s="5" t="s">
        <v>323</v>
      </c>
      <c r="J82" s="5" t="s">
        <v>269</v>
      </c>
      <c r="K82" s="6">
        <v>32662</v>
      </c>
      <c r="L82" s="5" t="s">
        <v>291</v>
      </c>
      <c r="M82" s="5" t="s">
        <v>287</v>
      </c>
      <c r="N82" s="5" t="s">
        <v>295</v>
      </c>
      <c r="O82" s="5" t="s">
        <v>363</v>
      </c>
      <c r="P82" s="5">
        <v>10</v>
      </c>
      <c r="Q82" s="5">
        <v>45</v>
      </c>
      <c r="R82" s="5">
        <v>15</v>
      </c>
      <c r="S82" s="5">
        <v>382.5</v>
      </c>
      <c r="T82" s="5">
        <v>3</v>
      </c>
      <c r="U82" s="5" t="s">
        <v>245</v>
      </c>
      <c r="V82" s="5" t="s">
        <v>255</v>
      </c>
      <c r="W82" s="5" t="s">
        <v>395</v>
      </c>
      <c r="X82" s="5">
        <v>9723450355</v>
      </c>
      <c r="Y82" s="8" t="s">
        <v>265</v>
      </c>
      <c r="Z82" t="str">
        <f t="shared" si="8"/>
        <v>Blacklisted</v>
      </c>
      <c r="AA82" t="str">
        <f t="shared" si="9"/>
        <v>Amit Sharma</v>
      </c>
      <c r="AB82" t="str">
        <f t="shared" si="10"/>
        <v>Ami001Pu</v>
      </c>
      <c r="AC82" t="str">
        <f t="shared" si="13"/>
        <v>amit.sharma@company.com</v>
      </c>
      <c r="AD82">
        <f t="shared" ca="1" si="14"/>
        <v>43</v>
      </c>
      <c r="AE82" t="str">
        <f t="shared" si="11"/>
        <v/>
      </c>
      <c r="AF82" t="str">
        <f t="shared" si="12"/>
        <v>Delayed</v>
      </c>
    </row>
    <row r="83" spans="4:32">
      <c r="D83" s="9" t="s">
        <v>471</v>
      </c>
      <c r="E83" s="10" t="s">
        <v>346</v>
      </c>
      <c r="F83" s="10" t="s">
        <v>280</v>
      </c>
      <c r="G83" s="10" t="s">
        <v>142</v>
      </c>
      <c r="H83" s="11">
        <v>46086</v>
      </c>
      <c r="I83" s="10" t="s">
        <v>348</v>
      </c>
      <c r="J83" s="10" t="s">
        <v>269</v>
      </c>
      <c r="K83" s="10" t="s">
        <v>472</v>
      </c>
      <c r="L83" s="10" t="s">
        <v>379</v>
      </c>
      <c r="M83" s="10" t="s">
        <v>21</v>
      </c>
      <c r="N83" s="10" t="s">
        <v>15</v>
      </c>
      <c r="O83" s="10" t="s">
        <v>282</v>
      </c>
      <c r="P83" s="10">
        <v>12</v>
      </c>
      <c r="Q83" s="10">
        <v>3500</v>
      </c>
      <c r="R83" s="10">
        <v>5</v>
      </c>
      <c r="S83" s="10">
        <v>39900</v>
      </c>
      <c r="T83" s="10">
        <v>3</v>
      </c>
      <c r="U83" s="10" t="s">
        <v>245</v>
      </c>
      <c r="V83" s="10" t="s">
        <v>246</v>
      </c>
      <c r="W83" s="10" t="s">
        <v>350</v>
      </c>
      <c r="X83" s="10">
        <v>9886243907</v>
      </c>
      <c r="Y83" s="12" t="s">
        <v>248</v>
      </c>
      <c r="Z83" t="str">
        <f t="shared" si="8"/>
        <v/>
      </c>
      <c r="AA83" t="str">
        <f t="shared" si="9"/>
        <v>Vikas Mehta</v>
      </c>
      <c r="AB83" t="str">
        <f t="shared" si="10"/>
        <v>Vik005Ko</v>
      </c>
      <c r="AC83" t="str">
        <f t="shared" si="13"/>
        <v>vikas.mehta@company.com</v>
      </c>
      <c r="AD83">
        <f t="shared" ca="1" si="14"/>
        <v>37</v>
      </c>
      <c r="AE83" t="str">
        <f t="shared" si="11"/>
        <v/>
      </c>
      <c r="AF83" t="str">
        <f t="shared" si="12"/>
        <v>Delayed</v>
      </c>
    </row>
    <row r="84" spans="4:32">
      <c r="D84" s="4" t="s">
        <v>473</v>
      </c>
      <c r="E84" s="5" t="s">
        <v>299</v>
      </c>
      <c r="F84" s="5" t="s">
        <v>294</v>
      </c>
      <c r="G84" s="5" t="s">
        <v>83</v>
      </c>
      <c r="H84" s="5" t="s">
        <v>170</v>
      </c>
      <c r="I84" s="5" t="s">
        <v>301</v>
      </c>
      <c r="J84" s="5" t="s">
        <v>269</v>
      </c>
      <c r="K84" s="5" t="s">
        <v>474</v>
      </c>
      <c r="L84" s="5" t="s">
        <v>286</v>
      </c>
      <c r="M84" s="5" t="s">
        <v>287</v>
      </c>
      <c r="N84" s="5" t="s">
        <v>295</v>
      </c>
      <c r="O84" s="5" t="s">
        <v>296</v>
      </c>
      <c r="P84" s="5">
        <v>2</v>
      </c>
      <c r="Q84" s="5">
        <v>60</v>
      </c>
      <c r="R84" s="5">
        <v>15</v>
      </c>
      <c r="S84" s="5">
        <v>102</v>
      </c>
      <c r="T84" s="5">
        <v>1</v>
      </c>
      <c r="U84" s="5" t="s">
        <v>277</v>
      </c>
      <c r="V84" s="5" t="s">
        <v>292</v>
      </c>
      <c r="W84" s="5" t="s">
        <v>302</v>
      </c>
      <c r="X84" s="5">
        <v>9473931904</v>
      </c>
      <c r="Y84" s="8" t="s">
        <v>257</v>
      </c>
      <c r="Z84" t="str">
        <f t="shared" si="8"/>
        <v>Blacklisted</v>
      </c>
      <c r="AA84" t="str">
        <f t="shared" si="9"/>
        <v>Rohit Singh</v>
      </c>
      <c r="AB84" t="str">
        <f t="shared" si="10"/>
        <v>Roh003Mu</v>
      </c>
      <c r="AC84" t="str">
        <f t="shared" si="13"/>
        <v>rohit.singh@company.com</v>
      </c>
      <c r="AD84" t="str">
        <f t="shared" ca="1" si="14"/>
        <v/>
      </c>
      <c r="AE84">
        <f t="shared" si="11"/>
        <v>8</v>
      </c>
      <c r="AF84" t="str">
        <f t="shared" si="12"/>
        <v>Delayed</v>
      </c>
    </row>
    <row r="85" spans="4:32">
      <c r="D85" s="9" t="s">
        <v>475</v>
      </c>
      <c r="E85" s="10" t="s">
        <v>299</v>
      </c>
      <c r="F85" s="10" t="s">
        <v>267</v>
      </c>
      <c r="G85" s="10" t="s">
        <v>66</v>
      </c>
      <c r="H85" s="10" t="s">
        <v>476</v>
      </c>
      <c r="I85" s="10" t="s">
        <v>301</v>
      </c>
      <c r="J85" s="10" t="s">
        <v>269</v>
      </c>
      <c r="K85" s="10" t="s">
        <v>477</v>
      </c>
      <c r="L85" s="10" t="s">
        <v>252</v>
      </c>
      <c r="M85" s="10" t="s">
        <v>242</v>
      </c>
      <c r="N85" s="10" t="s">
        <v>243</v>
      </c>
      <c r="O85" s="10" t="s">
        <v>271</v>
      </c>
      <c r="P85" s="10">
        <v>18</v>
      </c>
      <c r="Q85" s="10">
        <v>1200</v>
      </c>
      <c r="R85" s="10">
        <v>15</v>
      </c>
      <c r="S85" s="10">
        <v>18360</v>
      </c>
      <c r="T85" s="10">
        <v>3</v>
      </c>
      <c r="U85" s="10" t="s">
        <v>272</v>
      </c>
      <c r="V85" s="10" t="s">
        <v>292</v>
      </c>
      <c r="W85" s="10" t="s">
        <v>302</v>
      </c>
      <c r="X85" s="10">
        <v>9287159610</v>
      </c>
      <c r="Y85" s="12" t="s">
        <v>248</v>
      </c>
      <c r="Z85" t="str">
        <f t="shared" si="8"/>
        <v/>
      </c>
      <c r="AA85" t="str">
        <f t="shared" si="9"/>
        <v>Rohit Singh</v>
      </c>
      <c r="AB85" t="str">
        <f t="shared" si="10"/>
        <v>Roh003Hy</v>
      </c>
      <c r="AC85" t="str">
        <f t="shared" si="13"/>
        <v>rohit.singh@company.com</v>
      </c>
      <c r="AD85" t="str">
        <f t="shared" ca="1" si="14"/>
        <v/>
      </c>
      <c r="AE85">
        <f t="shared" si="11"/>
        <v>3</v>
      </c>
      <c r="AF85" t="str">
        <f t="shared" si="12"/>
        <v>On time</v>
      </c>
    </row>
    <row r="86" spans="4:32">
      <c r="D86" s="4" t="s">
        <v>478</v>
      </c>
      <c r="E86" s="5" t="s">
        <v>249</v>
      </c>
      <c r="F86" s="5" t="s">
        <v>258</v>
      </c>
      <c r="G86" s="5" t="s">
        <v>200</v>
      </c>
      <c r="H86" s="5" t="s">
        <v>205</v>
      </c>
      <c r="I86" s="5" t="s">
        <v>251</v>
      </c>
      <c r="J86" s="5" t="s">
        <v>239</v>
      </c>
      <c r="K86" s="5" t="s">
        <v>479</v>
      </c>
      <c r="L86" s="5" t="s">
        <v>286</v>
      </c>
      <c r="M86" s="5" t="s">
        <v>287</v>
      </c>
      <c r="N86" s="5" t="s">
        <v>243</v>
      </c>
      <c r="O86" s="5" t="s">
        <v>262</v>
      </c>
      <c r="P86" s="5">
        <v>18</v>
      </c>
      <c r="Q86" s="5">
        <v>12000</v>
      </c>
      <c r="R86" s="5">
        <v>15</v>
      </c>
      <c r="S86" s="5">
        <v>183600</v>
      </c>
      <c r="T86" s="5">
        <v>2</v>
      </c>
      <c r="U86" s="5" t="s">
        <v>254</v>
      </c>
      <c r="V86" s="5" t="s">
        <v>263</v>
      </c>
      <c r="W86" s="5" t="s">
        <v>264</v>
      </c>
      <c r="X86" s="5">
        <v>9876513858</v>
      </c>
      <c r="Y86" s="8" t="s">
        <v>257</v>
      </c>
      <c r="Z86" t="str">
        <f t="shared" si="8"/>
        <v>Blacklisted</v>
      </c>
      <c r="AA86" t="str">
        <f t="shared" si="9"/>
        <v>Kavya Nair</v>
      </c>
      <c r="AB86" t="str">
        <f t="shared" si="10"/>
        <v>Kav008Mu</v>
      </c>
      <c r="AC86" t="str">
        <f t="shared" si="13"/>
        <v>kavya.nair@company.com</v>
      </c>
      <c r="AD86" t="str">
        <f t="shared" ca="1" si="14"/>
        <v/>
      </c>
      <c r="AE86">
        <f t="shared" si="11"/>
        <v>1</v>
      </c>
      <c r="AF86" t="str">
        <f t="shared" si="12"/>
        <v>On time</v>
      </c>
    </row>
    <row r="87" spans="4:32">
      <c r="D87" s="9" t="s">
        <v>480</v>
      </c>
      <c r="E87" s="10" t="s">
        <v>275</v>
      </c>
      <c r="F87" s="10" t="s">
        <v>347</v>
      </c>
      <c r="G87" s="10" t="s">
        <v>205</v>
      </c>
      <c r="H87" s="11">
        <v>45972</v>
      </c>
      <c r="I87" s="10" t="s">
        <v>328</v>
      </c>
      <c r="J87" s="10" t="s">
        <v>269</v>
      </c>
      <c r="K87" s="11">
        <v>34977</v>
      </c>
      <c r="L87" s="10" t="s">
        <v>306</v>
      </c>
      <c r="M87" s="10" t="s">
        <v>287</v>
      </c>
      <c r="N87" s="10" t="s">
        <v>295</v>
      </c>
      <c r="O87" s="10" t="s">
        <v>349</v>
      </c>
      <c r="P87" s="10">
        <v>7</v>
      </c>
      <c r="Q87" s="10">
        <v>20</v>
      </c>
      <c r="R87" s="10">
        <v>0</v>
      </c>
      <c r="S87" s="10">
        <v>140</v>
      </c>
      <c r="T87" s="10">
        <v>2</v>
      </c>
      <c r="U87" s="10" t="s">
        <v>272</v>
      </c>
      <c r="V87" s="10" t="s">
        <v>255</v>
      </c>
      <c r="W87" s="10" t="s">
        <v>278</v>
      </c>
      <c r="X87" s="10">
        <v>9237400853</v>
      </c>
      <c r="Y87" s="12" t="s">
        <v>265</v>
      </c>
      <c r="Z87" t="str">
        <f t="shared" si="8"/>
        <v>Blacklisted</v>
      </c>
      <c r="AA87" t="str">
        <f t="shared" si="9"/>
        <v>Arjun Rao</v>
      </c>
      <c r="AB87" t="str">
        <f t="shared" si="10"/>
        <v>Arj007Ah</v>
      </c>
      <c r="AC87" t="str">
        <f t="shared" si="13"/>
        <v>arjun.rao@company.com</v>
      </c>
      <c r="AD87" t="str">
        <f t="shared" ca="1" si="14"/>
        <v/>
      </c>
      <c r="AE87" t="str">
        <f t="shared" si="11"/>
        <v/>
      </c>
      <c r="AF87" t="str">
        <f t="shared" si="12"/>
        <v>Delayed</v>
      </c>
    </row>
    <row r="88" spans="4:32">
      <c r="D88" s="4" t="s">
        <v>481</v>
      </c>
      <c r="E88" s="5" t="s">
        <v>358</v>
      </c>
      <c r="F88" s="5" t="s">
        <v>280</v>
      </c>
      <c r="G88" s="6">
        <v>45934</v>
      </c>
      <c r="H88" s="5" t="s">
        <v>67</v>
      </c>
      <c r="I88" s="5" t="s">
        <v>359</v>
      </c>
      <c r="J88" s="5" t="s">
        <v>239</v>
      </c>
      <c r="K88" s="5" t="s">
        <v>482</v>
      </c>
      <c r="L88" s="5" t="s">
        <v>291</v>
      </c>
      <c r="M88" s="5" t="s">
        <v>287</v>
      </c>
      <c r="N88" s="5" t="s">
        <v>15</v>
      </c>
      <c r="O88" s="5" t="s">
        <v>282</v>
      </c>
      <c r="P88" s="5">
        <v>20</v>
      </c>
      <c r="Q88" s="5">
        <v>3500</v>
      </c>
      <c r="R88" s="5">
        <v>20</v>
      </c>
      <c r="S88" s="5">
        <v>56000</v>
      </c>
      <c r="T88" s="5">
        <v>4</v>
      </c>
      <c r="U88" s="5" t="s">
        <v>272</v>
      </c>
      <c r="V88" s="5" t="s">
        <v>292</v>
      </c>
      <c r="W88" s="5" t="s">
        <v>360</v>
      </c>
      <c r="X88" s="5">
        <v>9599597595</v>
      </c>
      <c r="Y88" s="8" t="s">
        <v>248</v>
      </c>
      <c r="Z88" t="str">
        <f t="shared" si="8"/>
        <v/>
      </c>
      <c r="AA88" t="str">
        <f t="shared" si="9"/>
        <v>Sneha Joshi</v>
      </c>
      <c r="AB88" t="str">
        <f t="shared" si="10"/>
        <v>Sne006Pu</v>
      </c>
      <c r="AC88" t="str">
        <f t="shared" si="13"/>
        <v>sneha.joshi@company.com</v>
      </c>
      <c r="AD88">
        <f t="shared" ca="1" si="14"/>
        <v>31</v>
      </c>
      <c r="AE88" t="str">
        <f t="shared" si="11"/>
        <v/>
      </c>
      <c r="AF88" t="str">
        <f t="shared" si="12"/>
        <v>Delayed</v>
      </c>
    </row>
    <row r="89" spans="4:32">
      <c r="D89" s="9" t="s">
        <v>483</v>
      </c>
      <c r="E89" s="10" t="s">
        <v>284</v>
      </c>
      <c r="F89" s="10" t="s">
        <v>322</v>
      </c>
      <c r="G89" s="10" t="s">
        <v>44</v>
      </c>
      <c r="H89" s="10" t="s">
        <v>152</v>
      </c>
      <c r="I89" s="10" t="s">
        <v>285</v>
      </c>
      <c r="J89" s="10" t="s">
        <v>239</v>
      </c>
      <c r="K89" s="10" t="s">
        <v>484</v>
      </c>
      <c r="L89" s="10" t="s">
        <v>306</v>
      </c>
      <c r="M89" s="10" t="s">
        <v>287</v>
      </c>
      <c r="N89" s="10" t="s">
        <v>15</v>
      </c>
      <c r="O89" s="10" t="s">
        <v>325</v>
      </c>
      <c r="P89" s="10">
        <v>8</v>
      </c>
      <c r="Q89" s="10">
        <v>8500</v>
      </c>
      <c r="R89" s="10">
        <v>20</v>
      </c>
      <c r="S89" s="10">
        <v>54400</v>
      </c>
      <c r="T89" s="10">
        <v>3</v>
      </c>
      <c r="U89" s="10" t="s">
        <v>272</v>
      </c>
      <c r="V89" s="10" t="s">
        <v>292</v>
      </c>
      <c r="W89" s="10" t="s">
        <v>308</v>
      </c>
      <c r="X89" s="10">
        <v>9230007509</v>
      </c>
      <c r="Y89" s="12" t="s">
        <v>248</v>
      </c>
      <c r="Z89" t="str">
        <f t="shared" si="8"/>
        <v/>
      </c>
      <c r="AA89" t="str">
        <f t="shared" si="9"/>
        <v>Priya Patel</v>
      </c>
      <c r="AB89" t="str">
        <f t="shared" si="10"/>
        <v>Pri002Ah</v>
      </c>
      <c r="AC89" t="str">
        <f t="shared" si="13"/>
        <v>priya.patel@company.com</v>
      </c>
      <c r="AD89" t="str">
        <f t="shared" ca="1" si="14"/>
        <v/>
      </c>
      <c r="AE89">
        <f t="shared" si="11"/>
        <v>10</v>
      </c>
      <c r="AF89" t="str">
        <f t="shared" si="12"/>
        <v>Delayed</v>
      </c>
    </row>
    <row r="90" spans="4:32">
      <c r="D90" s="4" t="s">
        <v>485</v>
      </c>
      <c r="E90" s="5" t="s">
        <v>392</v>
      </c>
      <c r="F90" s="5" t="s">
        <v>258</v>
      </c>
      <c r="G90" s="5" t="s">
        <v>36</v>
      </c>
      <c r="H90" s="5" t="s">
        <v>486</v>
      </c>
      <c r="I90" s="5" t="s">
        <v>323</v>
      </c>
      <c r="J90" s="5" t="s">
        <v>269</v>
      </c>
      <c r="K90" s="5" t="s">
        <v>487</v>
      </c>
      <c r="L90" s="5" t="s">
        <v>306</v>
      </c>
      <c r="M90" s="5" t="s">
        <v>488</v>
      </c>
      <c r="N90" s="5" t="s">
        <v>243</v>
      </c>
      <c r="O90" s="5" t="s">
        <v>262</v>
      </c>
      <c r="P90" s="5">
        <v>6</v>
      </c>
      <c r="Q90" s="5">
        <v>12000</v>
      </c>
      <c r="R90" s="5">
        <v>5</v>
      </c>
      <c r="S90" s="5">
        <v>68400</v>
      </c>
      <c r="T90" s="5">
        <v>4</v>
      </c>
      <c r="U90" s="5" t="s">
        <v>245</v>
      </c>
      <c r="V90" s="5" t="s">
        <v>255</v>
      </c>
      <c r="W90" s="5" t="s">
        <v>395</v>
      </c>
      <c r="X90" s="5">
        <v>9823428025</v>
      </c>
      <c r="Y90" s="8" t="s">
        <v>257</v>
      </c>
      <c r="Z90" t="str">
        <f t="shared" si="8"/>
        <v>Gold</v>
      </c>
      <c r="AA90" t="str">
        <f t="shared" si="9"/>
        <v>Amit Sharma</v>
      </c>
      <c r="AB90" t="str">
        <f t="shared" si="10"/>
        <v>Ami001Ah</v>
      </c>
      <c r="AC90" t="str">
        <f t="shared" si="13"/>
        <v>amit.sharma@company.com</v>
      </c>
      <c r="AD90" t="str">
        <f t="shared" ca="1" si="14"/>
        <v/>
      </c>
      <c r="AE90">
        <f t="shared" si="11"/>
        <v>9</v>
      </c>
      <c r="AF90" t="str">
        <f t="shared" si="12"/>
        <v>Delayed</v>
      </c>
    </row>
    <row r="91" spans="4:32">
      <c r="D91" s="9" t="s">
        <v>489</v>
      </c>
      <c r="E91" s="10" t="s">
        <v>249</v>
      </c>
      <c r="F91" s="10" t="s">
        <v>322</v>
      </c>
      <c r="G91" s="11">
        <v>46329</v>
      </c>
      <c r="H91" s="10" t="s">
        <v>425</v>
      </c>
      <c r="I91" s="10" t="s">
        <v>251</v>
      </c>
      <c r="J91" s="10" t="s">
        <v>239</v>
      </c>
      <c r="K91" s="10" t="s">
        <v>490</v>
      </c>
      <c r="L91" s="10" t="s">
        <v>291</v>
      </c>
      <c r="M91" s="10" t="s">
        <v>287</v>
      </c>
      <c r="N91" s="10" t="s">
        <v>15</v>
      </c>
      <c r="O91" s="10" t="s">
        <v>325</v>
      </c>
      <c r="P91" s="10">
        <v>15</v>
      </c>
      <c r="Q91" s="10">
        <v>8500</v>
      </c>
      <c r="R91" s="10">
        <v>0</v>
      </c>
      <c r="S91" s="10">
        <v>127500</v>
      </c>
      <c r="T91" s="10">
        <v>4</v>
      </c>
      <c r="U91" s="10" t="s">
        <v>245</v>
      </c>
      <c r="V91" s="10" t="s">
        <v>255</v>
      </c>
      <c r="W91" s="10" t="s">
        <v>264</v>
      </c>
      <c r="X91" s="10">
        <v>9505048912</v>
      </c>
      <c r="Y91" s="12" t="s">
        <v>265</v>
      </c>
      <c r="Z91" t="str">
        <f t="shared" si="8"/>
        <v>Blacklisted</v>
      </c>
      <c r="AA91" t="str">
        <f t="shared" si="9"/>
        <v>Kavya Nair</v>
      </c>
      <c r="AB91" t="str">
        <f t="shared" si="10"/>
        <v>Kav008Pu</v>
      </c>
      <c r="AC91" t="str">
        <f t="shared" si="13"/>
        <v>kavya.nair@company.com</v>
      </c>
      <c r="AD91" t="str">
        <f t="shared" ca="1" si="14"/>
        <v/>
      </c>
      <c r="AE91" t="str">
        <f t="shared" si="11"/>
        <v/>
      </c>
      <c r="AF91" t="str">
        <f t="shared" si="12"/>
        <v>Delayed</v>
      </c>
    </row>
    <row r="92" spans="4:32">
      <c r="D92" s="4" t="s">
        <v>491</v>
      </c>
      <c r="E92" s="5" t="s">
        <v>235</v>
      </c>
      <c r="F92" s="5" t="s">
        <v>267</v>
      </c>
      <c r="G92" s="5" t="s">
        <v>94</v>
      </c>
      <c r="H92" s="5" t="s">
        <v>125</v>
      </c>
      <c r="I92" s="5" t="s">
        <v>318</v>
      </c>
      <c r="J92" s="5" t="s">
        <v>239</v>
      </c>
      <c r="K92" s="5" t="s">
        <v>492</v>
      </c>
      <c r="L92" s="5" t="s">
        <v>342</v>
      </c>
      <c r="M92" s="5" t="s">
        <v>261</v>
      </c>
      <c r="N92" s="5" t="s">
        <v>243</v>
      </c>
      <c r="O92" s="5" t="s">
        <v>271</v>
      </c>
      <c r="P92" s="5">
        <v>5</v>
      </c>
      <c r="Q92" s="5">
        <v>1200</v>
      </c>
      <c r="R92" s="5">
        <v>15</v>
      </c>
      <c r="S92" s="5">
        <v>5100</v>
      </c>
      <c r="T92" s="5">
        <v>1</v>
      </c>
      <c r="U92" s="5" t="s">
        <v>245</v>
      </c>
      <c r="V92" s="5" t="s">
        <v>255</v>
      </c>
      <c r="W92" s="5" t="s">
        <v>247</v>
      </c>
      <c r="X92" s="5">
        <v>9508068393</v>
      </c>
      <c r="Y92" s="8" t="s">
        <v>265</v>
      </c>
      <c r="Z92" t="str">
        <f t="shared" si="8"/>
        <v>Blacklisted</v>
      </c>
      <c r="AA92" t="str">
        <f t="shared" si="9"/>
        <v>Pooja Shah</v>
      </c>
      <c r="AB92" t="str">
        <f t="shared" si="10"/>
        <v>Poo010Ja</v>
      </c>
      <c r="AC92" t="str">
        <f t="shared" si="13"/>
        <v>pooja.shah@company.com</v>
      </c>
      <c r="AD92" t="str">
        <f t="shared" ca="1" si="14"/>
        <v/>
      </c>
      <c r="AE92">
        <f t="shared" si="11"/>
        <v>3</v>
      </c>
      <c r="AF92" t="str">
        <f t="shared" si="12"/>
        <v>On time</v>
      </c>
    </row>
    <row r="93" spans="4:32">
      <c r="D93" s="9" t="s">
        <v>493</v>
      </c>
      <c r="E93" s="10" t="s">
        <v>235</v>
      </c>
      <c r="F93" s="10" t="s">
        <v>347</v>
      </c>
      <c r="G93" s="10" t="s">
        <v>18</v>
      </c>
      <c r="H93" s="10" t="s">
        <v>494</v>
      </c>
      <c r="I93" s="10" t="s">
        <v>318</v>
      </c>
      <c r="J93" s="10" t="s">
        <v>239</v>
      </c>
      <c r="K93" s="11">
        <v>30174</v>
      </c>
      <c r="L93" s="10" t="s">
        <v>252</v>
      </c>
      <c r="M93" s="10" t="s">
        <v>242</v>
      </c>
      <c r="N93" s="10" t="s">
        <v>295</v>
      </c>
      <c r="O93" s="10" t="s">
        <v>349</v>
      </c>
      <c r="P93" s="10">
        <v>4</v>
      </c>
      <c r="Q93" s="10">
        <v>20</v>
      </c>
      <c r="R93" s="10">
        <v>0</v>
      </c>
      <c r="S93" s="10">
        <v>80</v>
      </c>
      <c r="T93" s="10">
        <v>4</v>
      </c>
      <c r="U93" s="10" t="s">
        <v>245</v>
      </c>
      <c r="V93" s="10" t="s">
        <v>263</v>
      </c>
      <c r="W93" s="10" t="s">
        <v>247</v>
      </c>
      <c r="X93" s="10">
        <v>9785807771</v>
      </c>
      <c r="Y93" s="12" t="s">
        <v>257</v>
      </c>
      <c r="Z93" t="str">
        <f t="shared" si="8"/>
        <v>Silver</v>
      </c>
      <c r="AA93" t="str">
        <f t="shared" si="9"/>
        <v>Pooja Shah</v>
      </c>
      <c r="AB93" t="str">
        <f t="shared" si="10"/>
        <v>Poo010Hy</v>
      </c>
      <c r="AC93" t="str">
        <f t="shared" si="13"/>
        <v>pooja.shah@company.com</v>
      </c>
      <c r="AD93" t="str">
        <f t="shared" ca="1" si="14"/>
        <v/>
      </c>
      <c r="AE93">
        <f t="shared" si="11"/>
        <v>1</v>
      </c>
      <c r="AF93" t="str">
        <f t="shared" si="12"/>
        <v>On time</v>
      </c>
    </row>
    <row r="94" spans="4:32">
      <c r="D94" s="4" t="s">
        <v>495</v>
      </c>
      <c r="E94" s="5" t="s">
        <v>249</v>
      </c>
      <c r="F94" s="5" t="s">
        <v>347</v>
      </c>
      <c r="G94" s="5" t="s">
        <v>43</v>
      </c>
      <c r="H94" s="5" t="s">
        <v>88</v>
      </c>
      <c r="I94" s="5" t="s">
        <v>251</v>
      </c>
      <c r="J94" s="5" t="s">
        <v>239</v>
      </c>
      <c r="K94" s="5" t="s">
        <v>496</v>
      </c>
      <c r="L94" s="5" t="s">
        <v>241</v>
      </c>
      <c r="M94" s="5" t="s">
        <v>242</v>
      </c>
      <c r="N94" s="5" t="s">
        <v>295</v>
      </c>
      <c r="O94" s="5" t="s">
        <v>349</v>
      </c>
      <c r="P94" s="5">
        <v>10</v>
      </c>
      <c r="Q94" s="5">
        <v>20</v>
      </c>
      <c r="R94" s="5">
        <v>0</v>
      </c>
      <c r="S94" s="5">
        <v>200</v>
      </c>
      <c r="T94" s="5">
        <v>3</v>
      </c>
      <c r="U94" s="5" t="s">
        <v>254</v>
      </c>
      <c r="V94" s="5" t="s">
        <v>312</v>
      </c>
      <c r="W94" s="5" t="s">
        <v>264</v>
      </c>
      <c r="X94" s="5">
        <v>9215250979</v>
      </c>
      <c r="Y94" s="8" t="s">
        <v>248</v>
      </c>
      <c r="Z94" t="str">
        <f t="shared" si="8"/>
        <v/>
      </c>
      <c r="AA94" t="str">
        <f t="shared" si="9"/>
        <v>Kavya Nair</v>
      </c>
      <c r="AB94" t="str">
        <f t="shared" si="10"/>
        <v>Kav008Be</v>
      </c>
      <c r="AC94" t="str">
        <f t="shared" si="13"/>
        <v>kavya.nair@company.com</v>
      </c>
      <c r="AD94">
        <f t="shared" ca="1" si="14"/>
        <v>44</v>
      </c>
      <c r="AE94">
        <f t="shared" si="11"/>
        <v>4</v>
      </c>
      <c r="AF94" t="str">
        <f t="shared" si="12"/>
        <v>On time</v>
      </c>
    </row>
    <row r="95" spans="4:32">
      <c r="D95" s="9" t="s">
        <v>497</v>
      </c>
      <c r="E95" s="10" t="s">
        <v>321</v>
      </c>
      <c r="F95" s="10" t="s">
        <v>250</v>
      </c>
      <c r="G95" s="11">
        <v>45756</v>
      </c>
      <c r="H95" s="11">
        <v>45939</v>
      </c>
      <c r="I95" s="10" t="s">
        <v>408</v>
      </c>
      <c r="J95" s="10" t="s">
        <v>239</v>
      </c>
      <c r="K95" s="10" t="s">
        <v>498</v>
      </c>
      <c r="L95" s="10" t="s">
        <v>260</v>
      </c>
      <c r="M95" s="10" t="s">
        <v>261</v>
      </c>
      <c r="N95" s="10" t="s">
        <v>15</v>
      </c>
      <c r="O95" s="10" t="s">
        <v>253</v>
      </c>
      <c r="P95" s="10">
        <v>18</v>
      </c>
      <c r="Q95" s="10">
        <v>2200</v>
      </c>
      <c r="R95" s="10">
        <v>10</v>
      </c>
      <c r="S95" s="10">
        <v>35640</v>
      </c>
      <c r="T95" s="10">
        <v>3</v>
      </c>
      <c r="U95" s="10" t="s">
        <v>254</v>
      </c>
      <c r="V95" s="10" t="s">
        <v>255</v>
      </c>
      <c r="W95" s="10" t="s">
        <v>326</v>
      </c>
      <c r="X95" s="10">
        <v>9845884906</v>
      </c>
      <c r="Y95" s="12" t="s">
        <v>265</v>
      </c>
      <c r="Z95" t="str">
        <f t="shared" si="8"/>
        <v>Blacklisted</v>
      </c>
      <c r="AA95" t="str">
        <f t="shared" si="9"/>
        <v>Anita Gupta</v>
      </c>
      <c r="AB95" t="str">
        <f t="shared" si="10"/>
        <v>Ani004De</v>
      </c>
      <c r="AC95" t="str">
        <f t="shared" si="13"/>
        <v>anita.gupta@company.com</v>
      </c>
      <c r="AD95" t="str">
        <f t="shared" ca="1" si="14"/>
        <v/>
      </c>
      <c r="AE95" t="str">
        <f t="shared" si="11"/>
        <v/>
      </c>
      <c r="AF95" t="str">
        <f t="shared" si="12"/>
        <v>Delayed</v>
      </c>
    </row>
    <row r="96" spans="4:32">
      <c r="D96" s="4" t="s">
        <v>499</v>
      </c>
      <c r="E96" s="5" t="s">
        <v>392</v>
      </c>
      <c r="F96" s="5" t="s">
        <v>280</v>
      </c>
      <c r="G96" s="6">
        <v>45995</v>
      </c>
      <c r="H96" s="5" t="s">
        <v>500</v>
      </c>
      <c r="I96" s="5" t="s">
        <v>323</v>
      </c>
      <c r="J96" s="5" t="s">
        <v>269</v>
      </c>
      <c r="K96" s="5" t="s">
        <v>501</v>
      </c>
      <c r="L96" s="5" t="s">
        <v>260</v>
      </c>
      <c r="M96" s="5" t="s">
        <v>261</v>
      </c>
      <c r="N96" s="5" t="s">
        <v>15</v>
      </c>
      <c r="O96" s="5" t="s">
        <v>282</v>
      </c>
      <c r="P96" s="5">
        <v>7</v>
      </c>
      <c r="Q96" s="5">
        <v>3500</v>
      </c>
      <c r="R96" s="5">
        <v>15</v>
      </c>
      <c r="S96" s="5">
        <v>20825</v>
      </c>
      <c r="T96" s="5">
        <v>3</v>
      </c>
      <c r="U96" s="5" t="s">
        <v>245</v>
      </c>
      <c r="V96" s="5" t="s">
        <v>263</v>
      </c>
      <c r="W96" s="5" t="s">
        <v>395</v>
      </c>
      <c r="X96" s="5">
        <v>9393097397</v>
      </c>
      <c r="Y96" s="8" t="s">
        <v>257</v>
      </c>
      <c r="Z96" t="str">
        <f t="shared" si="8"/>
        <v>Silver</v>
      </c>
      <c r="AA96" t="str">
        <f t="shared" si="9"/>
        <v>Amit Sharma</v>
      </c>
      <c r="AB96" t="str">
        <f t="shared" si="10"/>
        <v>Ami001De</v>
      </c>
      <c r="AC96" t="str">
        <f t="shared" si="13"/>
        <v>amit.sharma@company.com</v>
      </c>
      <c r="AD96" t="str">
        <f t="shared" ca="1" si="14"/>
        <v/>
      </c>
      <c r="AE96" t="str">
        <f t="shared" si="11"/>
        <v/>
      </c>
      <c r="AF96" t="str">
        <f t="shared" si="12"/>
        <v>Delayed</v>
      </c>
    </row>
    <row r="97" spans="4:32">
      <c r="D97" s="9" t="s">
        <v>502</v>
      </c>
      <c r="E97" s="10" t="s">
        <v>284</v>
      </c>
      <c r="F97" s="10" t="s">
        <v>322</v>
      </c>
      <c r="G97" s="11">
        <v>46117</v>
      </c>
      <c r="H97" s="11">
        <v>46208</v>
      </c>
      <c r="I97" s="10" t="s">
        <v>285</v>
      </c>
      <c r="J97" s="10" t="s">
        <v>239</v>
      </c>
      <c r="K97" s="10" t="s">
        <v>503</v>
      </c>
      <c r="L97" s="10" t="s">
        <v>379</v>
      </c>
      <c r="M97" s="10" t="s">
        <v>21</v>
      </c>
      <c r="N97" s="10" t="s">
        <v>15</v>
      </c>
      <c r="O97" s="10" t="s">
        <v>325</v>
      </c>
      <c r="P97" s="10">
        <v>19</v>
      </c>
      <c r="Q97" s="10">
        <v>8500</v>
      </c>
      <c r="R97" s="10">
        <v>15</v>
      </c>
      <c r="S97" s="10">
        <v>137275</v>
      </c>
      <c r="T97" s="10">
        <v>4</v>
      </c>
      <c r="U97" s="10" t="s">
        <v>272</v>
      </c>
      <c r="V97" s="10" t="s">
        <v>312</v>
      </c>
      <c r="W97" s="10" t="s">
        <v>308</v>
      </c>
      <c r="X97" s="10">
        <v>9958032109</v>
      </c>
      <c r="Y97" s="12" t="s">
        <v>248</v>
      </c>
      <c r="Z97" t="str">
        <f t="shared" si="8"/>
        <v/>
      </c>
      <c r="AA97" t="str">
        <f t="shared" si="9"/>
        <v>Priya Patel</v>
      </c>
      <c r="AB97" t="str">
        <f t="shared" si="10"/>
        <v>Pri002Ko</v>
      </c>
      <c r="AC97" t="str">
        <f t="shared" si="13"/>
        <v>priya.patel@company.com</v>
      </c>
      <c r="AD97" t="str">
        <f t="shared" ca="1" si="14"/>
        <v/>
      </c>
      <c r="AE97" t="str">
        <f t="shared" si="11"/>
        <v/>
      </c>
      <c r="AF97" t="str">
        <f t="shared" si="12"/>
        <v>Delayed</v>
      </c>
    </row>
    <row r="98" spans="4:32">
      <c r="D98" s="4" t="s">
        <v>504</v>
      </c>
      <c r="E98" s="5" t="s">
        <v>358</v>
      </c>
      <c r="F98" s="5" t="s">
        <v>258</v>
      </c>
      <c r="G98" s="5" t="s">
        <v>63</v>
      </c>
      <c r="H98" s="5" t="s">
        <v>161</v>
      </c>
      <c r="I98" s="5" t="s">
        <v>359</v>
      </c>
      <c r="J98" s="5" t="s">
        <v>239</v>
      </c>
      <c r="K98" s="5" t="s">
        <v>505</v>
      </c>
      <c r="L98" s="5" t="s">
        <v>306</v>
      </c>
      <c r="M98" s="5" t="s">
        <v>287</v>
      </c>
      <c r="N98" s="5" t="s">
        <v>243</v>
      </c>
      <c r="O98" s="5" t="s">
        <v>262</v>
      </c>
      <c r="P98" s="5">
        <v>13</v>
      </c>
      <c r="Q98" s="5">
        <v>12000</v>
      </c>
      <c r="R98" s="5">
        <v>15</v>
      </c>
      <c r="S98" s="5">
        <v>132600</v>
      </c>
      <c r="T98" s="5">
        <v>4</v>
      </c>
      <c r="U98" s="5" t="s">
        <v>254</v>
      </c>
      <c r="V98" s="5" t="s">
        <v>263</v>
      </c>
      <c r="W98" s="5" t="s">
        <v>360</v>
      </c>
      <c r="X98" s="5">
        <v>9755082957</v>
      </c>
      <c r="Y98" s="8" t="s">
        <v>257</v>
      </c>
      <c r="Z98" t="str">
        <f t="shared" si="8"/>
        <v>Gold</v>
      </c>
      <c r="AA98" t="str">
        <f t="shared" si="9"/>
        <v>Sneha Joshi</v>
      </c>
      <c r="AB98" t="str">
        <f t="shared" si="10"/>
        <v>Sne006Ah</v>
      </c>
      <c r="AC98" t="str">
        <f t="shared" si="13"/>
        <v>sneha.joshi@company.com</v>
      </c>
      <c r="AD98" t="str">
        <f t="shared" ca="1" si="14"/>
        <v/>
      </c>
      <c r="AE98">
        <f t="shared" si="11"/>
        <v>9</v>
      </c>
      <c r="AF98" t="str">
        <f t="shared" si="12"/>
        <v>Delayed</v>
      </c>
    </row>
    <row r="99" spans="4:32">
      <c r="D99" s="9" t="s">
        <v>506</v>
      </c>
      <c r="E99" s="10" t="s">
        <v>392</v>
      </c>
      <c r="F99" s="10" t="s">
        <v>347</v>
      </c>
      <c r="G99" s="10" t="s">
        <v>26</v>
      </c>
      <c r="H99" s="10" t="s">
        <v>131</v>
      </c>
      <c r="I99" s="10" t="s">
        <v>323</v>
      </c>
      <c r="J99" s="10" t="s">
        <v>269</v>
      </c>
      <c r="K99" s="11">
        <v>32602</v>
      </c>
      <c r="L99" s="10" t="s">
        <v>291</v>
      </c>
      <c r="M99" s="10" t="s">
        <v>287</v>
      </c>
      <c r="N99" s="10" t="s">
        <v>295</v>
      </c>
      <c r="O99" s="10" t="s">
        <v>349</v>
      </c>
      <c r="P99" s="10">
        <v>7</v>
      </c>
      <c r="Q99" s="10">
        <v>20</v>
      </c>
      <c r="R99" s="10">
        <v>0</v>
      </c>
      <c r="S99" s="10">
        <v>140</v>
      </c>
      <c r="T99" s="10">
        <v>1</v>
      </c>
      <c r="U99" s="10" t="s">
        <v>272</v>
      </c>
      <c r="V99" s="10" t="s">
        <v>312</v>
      </c>
      <c r="W99" s="10" t="s">
        <v>395</v>
      </c>
      <c r="X99" s="10">
        <v>9872235856</v>
      </c>
      <c r="Y99" s="12" t="s">
        <v>265</v>
      </c>
      <c r="Z99" t="str">
        <f t="shared" si="8"/>
        <v>Blacklisted</v>
      </c>
      <c r="AA99" t="str">
        <f t="shared" si="9"/>
        <v>Amit Sharma</v>
      </c>
      <c r="AB99" t="str">
        <f t="shared" si="10"/>
        <v>Ami001Pu</v>
      </c>
      <c r="AC99" t="str">
        <f t="shared" si="13"/>
        <v>amit.sharma@company.com</v>
      </c>
      <c r="AD99" t="str">
        <f t="shared" ca="1" si="14"/>
        <v/>
      </c>
      <c r="AE99">
        <f t="shared" si="11"/>
        <v>10</v>
      </c>
      <c r="AF99" t="str">
        <f t="shared" si="12"/>
        <v>Delayed</v>
      </c>
    </row>
    <row r="100" spans="4:32">
      <c r="D100" s="4" t="s">
        <v>507</v>
      </c>
      <c r="E100" s="5" t="s">
        <v>321</v>
      </c>
      <c r="F100" s="5" t="s">
        <v>330</v>
      </c>
      <c r="G100" s="6">
        <v>45905</v>
      </c>
      <c r="H100" s="6">
        <v>45966</v>
      </c>
      <c r="I100" s="5" t="s">
        <v>408</v>
      </c>
      <c r="J100" s="5" t="s">
        <v>239</v>
      </c>
      <c r="K100" s="5" t="s">
        <v>508</v>
      </c>
      <c r="L100" s="5" t="s">
        <v>260</v>
      </c>
      <c r="M100" s="5" t="s">
        <v>261</v>
      </c>
      <c r="N100" s="5" t="s">
        <v>243</v>
      </c>
      <c r="O100" s="5" t="s">
        <v>333</v>
      </c>
      <c r="P100" s="5">
        <v>5</v>
      </c>
      <c r="Q100" s="5">
        <v>700</v>
      </c>
      <c r="R100" s="5">
        <v>15</v>
      </c>
      <c r="S100" s="5">
        <v>999999</v>
      </c>
      <c r="T100" s="5">
        <v>4</v>
      </c>
      <c r="U100" s="5" t="s">
        <v>272</v>
      </c>
      <c r="V100" s="5" t="s">
        <v>255</v>
      </c>
      <c r="W100" s="5" t="s">
        <v>326</v>
      </c>
      <c r="X100" s="5">
        <v>9335138816</v>
      </c>
      <c r="Y100" s="8" t="s">
        <v>248</v>
      </c>
      <c r="Z100" t="str">
        <f t="shared" si="8"/>
        <v/>
      </c>
      <c r="AA100" t="str">
        <f t="shared" si="9"/>
        <v>Anita Gupta</v>
      </c>
      <c r="AB100" t="str">
        <f t="shared" si="10"/>
        <v>Ani004De</v>
      </c>
      <c r="AC100" t="str">
        <f t="shared" si="13"/>
        <v>anita.gupta@company.com</v>
      </c>
      <c r="AD100">
        <f t="shared" ca="1" si="14"/>
        <v>37</v>
      </c>
      <c r="AE100" t="str">
        <f t="shared" si="11"/>
        <v/>
      </c>
      <c r="AF100" t="str">
        <f t="shared" si="12"/>
        <v>Delayed</v>
      </c>
    </row>
    <row r="101" spans="4:32">
      <c r="D101" s="9" t="s">
        <v>509</v>
      </c>
      <c r="E101" s="10" t="s">
        <v>275</v>
      </c>
      <c r="F101" s="10" t="s">
        <v>362</v>
      </c>
      <c r="G101" s="11">
        <v>46208</v>
      </c>
      <c r="H101" s="11">
        <v>46300</v>
      </c>
      <c r="I101" s="10" t="s">
        <v>328</v>
      </c>
      <c r="J101" s="10" t="s">
        <v>269</v>
      </c>
      <c r="K101" s="11">
        <v>30140</v>
      </c>
      <c r="L101" s="10" t="s">
        <v>241</v>
      </c>
      <c r="M101" s="10" t="s">
        <v>242</v>
      </c>
      <c r="N101" s="10" t="s">
        <v>295</v>
      </c>
      <c r="O101" s="10" t="s">
        <v>363</v>
      </c>
      <c r="P101" s="10">
        <v>9</v>
      </c>
      <c r="Q101" s="10">
        <v>45</v>
      </c>
      <c r="R101" s="10">
        <v>5</v>
      </c>
      <c r="S101" s="10">
        <v>384.75</v>
      </c>
      <c r="T101" s="10">
        <v>3</v>
      </c>
      <c r="U101" s="10" t="s">
        <v>254</v>
      </c>
      <c r="V101" s="10" t="s">
        <v>255</v>
      </c>
      <c r="W101" s="10" t="s">
        <v>278</v>
      </c>
      <c r="X101" s="10">
        <v>9750365609</v>
      </c>
      <c r="Y101" s="12" t="s">
        <v>257</v>
      </c>
      <c r="Z101" t="str">
        <f t="shared" si="8"/>
        <v>Silver</v>
      </c>
      <c r="AA101" t="str">
        <f t="shared" si="9"/>
        <v>Arjun Rao</v>
      </c>
      <c r="AB101" t="str">
        <f t="shared" si="10"/>
        <v>Arj007Be</v>
      </c>
      <c r="AC101" t="str">
        <f t="shared" si="13"/>
        <v>arjun.rao@company.com</v>
      </c>
      <c r="AD101" t="str">
        <f t="shared" ca="1" si="14"/>
        <v/>
      </c>
      <c r="AE101" t="str">
        <f t="shared" si="11"/>
        <v/>
      </c>
      <c r="AF101" t="str">
        <f t="shared" si="12"/>
        <v>Delayed</v>
      </c>
    </row>
    <row r="102" spans="4:32">
      <c r="D102" s="4" t="s">
        <v>510</v>
      </c>
      <c r="E102" s="5" t="s">
        <v>299</v>
      </c>
      <c r="F102" s="5" t="s">
        <v>294</v>
      </c>
      <c r="G102" s="5" t="s">
        <v>101</v>
      </c>
      <c r="H102" s="5" t="s">
        <v>511</v>
      </c>
      <c r="I102" s="5" t="s">
        <v>301</v>
      </c>
      <c r="J102" s="5" t="s">
        <v>269</v>
      </c>
      <c r="K102" s="5" t="s">
        <v>512</v>
      </c>
      <c r="L102" s="5" t="s">
        <v>379</v>
      </c>
      <c r="M102" s="5" t="s">
        <v>21</v>
      </c>
      <c r="N102" s="5" t="s">
        <v>295</v>
      </c>
      <c r="O102" s="5" t="s">
        <v>296</v>
      </c>
      <c r="P102" s="5">
        <v>19</v>
      </c>
      <c r="Q102" s="5">
        <v>60</v>
      </c>
      <c r="R102" s="5">
        <v>10</v>
      </c>
      <c r="S102" s="5">
        <v>1026</v>
      </c>
      <c r="T102" s="5">
        <v>5</v>
      </c>
      <c r="U102" s="5" t="s">
        <v>245</v>
      </c>
      <c r="V102" s="5" t="s">
        <v>292</v>
      </c>
      <c r="W102" s="5" t="s">
        <v>302</v>
      </c>
      <c r="X102" s="5">
        <v>9736812737</v>
      </c>
      <c r="Y102" s="8" t="s">
        <v>257</v>
      </c>
      <c r="Z102" t="str">
        <f t="shared" si="8"/>
        <v>Silver</v>
      </c>
      <c r="AA102" t="str">
        <f t="shared" si="9"/>
        <v>Rohit Singh</v>
      </c>
      <c r="AB102" t="str">
        <f t="shared" si="10"/>
        <v>Roh003Ko</v>
      </c>
      <c r="AC102" t="str">
        <f t="shared" si="13"/>
        <v>rohit.singh@company.com</v>
      </c>
      <c r="AD102">
        <f t="shared" ca="1" si="14"/>
        <v>44</v>
      </c>
      <c r="AE102">
        <f t="shared" si="11"/>
        <v>8</v>
      </c>
      <c r="AF102" t="str">
        <f t="shared" si="12"/>
        <v>Delayed</v>
      </c>
    </row>
    <row r="103" spans="4:32">
      <c r="D103" s="9" t="s">
        <v>513</v>
      </c>
      <c r="E103" s="10" t="s">
        <v>392</v>
      </c>
      <c r="F103" s="10" t="s">
        <v>330</v>
      </c>
      <c r="G103" s="11">
        <v>45973</v>
      </c>
      <c r="H103" s="10" t="s">
        <v>514</v>
      </c>
      <c r="I103" s="10" t="s">
        <v>323</v>
      </c>
      <c r="J103" s="10" t="s">
        <v>269</v>
      </c>
      <c r="K103" s="11">
        <v>31932</v>
      </c>
      <c r="L103" s="10" t="s">
        <v>306</v>
      </c>
      <c r="M103" s="10" t="s">
        <v>287</v>
      </c>
      <c r="N103" s="10" t="s">
        <v>243</v>
      </c>
      <c r="O103" s="10" t="s">
        <v>333</v>
      </c>
      <c r="P103" s="10">
        <v>4</v>
      </c>
      <c r="Q103" s="10">
        <v>700</v>
      </c>
      <c r="R103" s="10">
        <v>5</v>
      </c>
      <c r="S103" s="10">
        <v>2660</v>
      </c>
      <c r="T103" s="10">
        <v>3</v>
      </c>
      <c r="U103" s="10" t="s">
        <v>245</v>
      </c>
      <c r="V103" s="10" t="s">
        <v>246</v>
      </c>
      <c r="W103" s="10" t="s">
        <v>395</v>
      </c>
      <c r="X103" s="10">
        <v>9271420931</v>
      </c>
      <c r="Y103" s="12" t="s">
        <v>257</v>
      </c>
      <c r="Z103" t="str">
        <f t="shared" si="8"/>
        <v>Silver</v>
      </c>
      <c r="AA103" t="str">
        <f t="shared" si="9"/>
        <v>Amit Sharma</v>
      </c>
      <c r="AB103" t="str">
        <f t="shared" si="10"/>
        <v>Ami001Ah</v>
      </c>
      <c r="AC103" t="str">
        <f t="shared" si="13"/>
        <v>amit.sharma@company.com</v>
      </c>
      <c r="AD103" t="str">
        <f t="shared" ca="1" si="14"/>
        <v/>
      </c>
      <c r="AE103" t="str">
        <f t="shared" si="11"/>
        <v/>
      </c>
      <c r="AF103" t="str">
        <f t="shared" si="12"/>
        <v>Delayed</v>
      </c>
    </row>
    <row r="104" spans="4:32">
      <c r="D104" s="4" t="s">
        <v>515</v>
      </c>
      <c r="E104" s="5" t="s">
        <v>392</v>
      </c>
      <c r="F104" s="5" t="s">
        <v>280</v>
      </c>
      <c r="G104" s="6">
        <v>46208</v>
      </c>
      <c r="H104" s="5" t="s">
        <v>516</v>
      </c>
      <c r="I104" s="5" t="s">
        <v>323</v>
      </c>
      <c r="J104" s="5" t="s">
        <v>269</v>
      </c>
      <c r="K104" s="5" t="s">
        <v>517</v>
      </c>
      <c r="L104" s="5" t="s">
        <v>291</v>
      </c>
      <c r="M104" s="5" t="s">
        <v>287</v>
      </c>
      <c r="N104" s="5" t="s">
        <v>15</v>
      </c>
      <c r="O104" s="5" t="s">
        <v>282</v>
      </c>
      <c r="P104" s="5">
        <v>16</v>
      </c>
      <c r="Q104" s="5">
        <v>3500</v>
      </c>
      <c r="R104" s="5">
        <v>0</v>
      </c>
      <c r="S104" s="5">
        <v>56000</v>
      </c>
      <c r="T104" s="5">
        <v>2</v>
      </c>
      <c r="U104" s="5" t="s">
        <v>272</v>
      </c>
      <c r="V104" s="5" t="s">
        <v>263</v>
      </c>
      <c r="W104" s="5" t="s">
        <v>395</v>
      </c>
      <c r="X104" s="5">
        <v>9781411370</v>
      </c>
      <c r="Y104" s="8" t="s">
        <v>257</v>
      </c>
      <c r="Z104" t="str">
        <f t="shared" si="8"/>
        <v>Blacklisted</v>
      </c>
      <c r="AA104" t="str">
        <f t="shared" si="9"/>
        <v>Amit Sharma</v>
      </c>
      <c r="AB104" t="str">
        <f t="shared" si="10"/>
        <v>Ami001Pu</v>
      </c>
      <c r="AC104" t="str">
        <f t="shared" si="13"/>
        <v>amit.sharma@company.com</v>
      </c>
      <c r="AD104">
        <f t="shared" ca="1" si="14"/>
        <v>39</v>
      </c>
      <c r="AE104" t="str">
        <f t="shared" si="11"/>
        <v/>
      </c>
      <c r="AF104" t="str">
        <f t="shared" si="12"/>
        <v>Delayed</v>
      </c>
    </row>
    <row r="105" spans="4:32">
      <c r="D105" s="9" t="s">
        <v>518</v>
      </c>
      <c r="E105" s="10" t="s">
        <v>358</v>
      </c>
      <c r="F105" s="10" t="s">
        <v>362</v>
      </c>
      <c r="G105" s="10" t="s">
        <v>5</v>
      </c>
      <c r="H105" s="10" t="s">
        <v>519</v>
      </c>
      <c r="I105" s="10" t="s">
        <v>359</v>
      </c>
      <c r="J105" s="10" t="s">
        <v>239</v>
      </c>
      <c r="K105" s="10" t="s">
        <v>520</v>
      </c>
      <c r="L105" s="10" t="s">
        <v>241</v>
      </c>
      <c r="M105" s="10" t="s">
        <v>242</v>
      </c>
      <c r="N105" s="10" t="s">
        <v>295</v>
      </c>
      <c r="O105" s="10" t="s">
        <v>363</v>
      </c>
      <c r="P105" s="10">
        <v>5</v>
      </c>
      <c r="Q105" s="10">
        <v>45</v>
      </c>
      <c r="R105" s="10">
        <v>20</v>
      </c>
      <c r="S105" s="10">
        <v>180</v>
      </c>
      <c r="T105" s="10">
        <v>3</v>
      </c>
      <c r="U105" s="10" t="s">
        <v>272</v>
      </c>
      <c r="V105" s="10" t="s">
        <v>255</v>
      </c>
      <c r="W105" s="10" t="s">
        <v>360</v>
      </c>
      <c r="X105" s="10">
        <v>9584152818</v>
      </c>
      <c r="Y105" s="12" t="s">
        <v>257</v>
      </c>
      <c r="Z105" t="str">
        <f t="shared" si="8"/>
        <v>Silver</v>
      </c>
      <c r="AA105" t="str">
        <f t="shared" si="9"/>
        <v>Sneha Joshi</v>
      </c>
      <c r="AB105" t="str">
        <f t="shared" si="10"/>
        <v>Sne006Be</v>
      </c>
      <c r="AC105" t="str">
        <f t="shared" si="13"/>
        <v>sneha.joshi@company.com</v>
      </c>
      <c r="AD105" t="str">
        <f t="shared" ca="1" si="14"/>
        <v/>
      </c>
      <c r="AE105">
        <f t="shared" si="11"/>
        <v>7</v>
      </c>
      <c r="AF105" t="str">
        <f t="shared" si="12"/>
        <v>Delayed</v>
      </c>
    </row>
    <row r="106" spans="4:32">
      <c r="D106" s="4" t="s">
        <v>521</v>
      </c>
      <c r="E106" s="5" t="s">
        <v>275</v>
      </c>
      <c r="F106" s="5" t="s">
        <v>347</v>
      </c>
      <c r="G106" s="5" t="s">
        <v>57</v>
      </c>
      <c r="H106" s="5" t="s">
        <v>66</v>
      </c>
      <c r="I106" s="5" t="s">
        <v>328</v>
      </c>
      <c r="J106" s="5" t="s">
        <v>269</v>
      </c>
      <c r="K106" s="6">
        <v>35071</v>
      </c>
      <c r="L106" s="5" t="s">
        <v>286</v>
      </c>
      <c r="M106" s="5" t="s">
        <v>287</v>
      </c>
      <c r="N106" s="5" t="s">
        <v>295</v>
      </c>
      <c r="O106" s="5" t="s">
        <v>349</v>
      </c>
      <c r="P106" s="5">
        <v>9</v>
      </c>
      <c r="Q106" s="5">
        <v>20</v>
      </c>
      <c r="R106" s="5">
        <v>10</v>
      </c>
      <c r="S106" s="5">
        <v>162</v>
      </c>
      <c r="T106" s="5">
        <v>4</v>
      </c>
      <c r="U106" s="5" t="s">
        <v>272</v>
      </c>
      <c r="V106" s="5" t="s">
        <v>255</v>
      </c>
      <c r="W106" s="5" t="s">
        <v>278</v>
      </c>
      <c r="X106" s="5">
        <v>9507986836</v>
      </c>
      <c r="Y106" s="8" t="s">
        <v>248</v>
      </c>
      <c r="Z106" t="str">
        <f t="shared" si="8"/>
        <v/>
      </c>
      <c r="AA106" t="str">
        <f t="shared" si="9"/>
        <v>Arjun Rao</v>
      </c>
      <c r="AB106" t="str">
        <f t="shared" si="10"/>
        <v>Arj007Mu</v>
      </c>
      <c r="AC106" t="str">
        <f t="shared" si="13"/>
        <v>arjun.rao@company.com</v>
      </c>
      <c r="AD106" t="str">
        <f t="shared" ca="1" si="14"/>
        <v/>
      </c>
      <c r="AE106">
        <f t="shared" si="11"/>
        <v>1</v>
      </c>
      <c r="AF106" t="str">
        <f t="shared" si="12"/>
        <v>On time</v>
      </c>
    </row>
    <row r="107" spans="4:32">
      <c r="D107" s="9" t="s">
        <v>522</v>
      </c>
      <c r="E107" s="10" t="s">
        <v>235</v>
      </c>
      <c r="F107" s="10" t="s">
        <v>267</v>
      </c>
      <c r="G107" s="10" t="s">
        <v>138</v>
      </c>
      <c r="H107" s="11">
        <v>45660</v>
      </c>
      <c r="I107" s="10" t="s">
        <v>318</v>
      </c>
      <c r="J107" s="10" t="s">
        <v>239</v>
      </c>
      <c r="K107" s="11">
        <v>29008</v>
      </c>
      <c r="L107" s="10" t="s">
        <v>260</v>
      </c>
      <c r="M107" s="10" t="s">
        <v>261</v>
      </c>
      <c r="N107" s="10" t="s">
        <v>243</v>
      </c>
      <c r="O107" s="10" t="s">
        <v>271</v>
      </c>
      <c r="P107" s="10">
        <v>9</v>
      </c>
      <c r="Q107" s="10">
        <v>1200</v>
      </c>
      <c r="R107" s="10">
        <v>5</v>
      </c>
      <c r="S107" s="10">
        <v>10260</v>
      </c>
      <c r="T107" s="10">
        <v>3</v>
      </c>
      <c r="U107" s="10" t="s">
        <v>277</v>
      </c>
      <c r="V107" s="10" t="s">
        <v>255</v>
      </c>
      <c r="W107" s="10" t="s">
        <v>247</v>
      </c>
      <c r="X107" s="10">
        <v>9518249687</v>
      </c>
      <c r="Y107" s="12" t="s">
        <v>248</v>
      </c>
      <c r="Z107" t="str">
        <f t="shared" si="8"/>
        <v/>
      </c>
      <c r="AA107" t="str">
        <f t="shared" si="9"/>
        <v>Pooja Shah</v>
      </c>
      <c r="AB107" t="str">
        <f t="shared" si="10"/>
        <v>Poo010De</v>
      </c>
      <c r="AC107" t="str">
        <f t="shared" si="13"/>
        <v>pooja.shah@company.com</v>
      </c>
      <c r="AD107">
        <f t="shared" ca="1" si="14"/>
        <v>30</v>
      </c>
      <c r="AE107" t="str">
        <f t="shared" si="11"/>
        <v/>
      </c>
      <c r="AF107" t="str">
        <f t="shared" si="12"/>
        <v>Delayed</v>
      </c>
    </row>
    <row r="108" spans="4:32">
      <c r="D108" s="4" t="s">
        <v>523</v>
      </c>
      <c r="E108" s="5" t="s">
        <v>284</v>
      </c>
      <c r="F108" s="5" t="s">
        <v>280</v>
      </c>
      <c r="G108" s="5" t="s">
        <v>150</v>
      </c>
      <c r="H108" s="5" t="s">
        <v>162</v>
      </c>
      <c r="I108" s="5" t="s">
        <v>285</v>
      </c>
      <c r="J108" s="5" t="s">
        <v>239</v>
      </c>
      <c r="K108" s="6">
        <v>31393</v>
      </c>
      <c r="L108" s="5" t="s">
        <v>260</v>
      </c>
      <c r="M108" s="5" t="s">
        <v>261</v>
      </c>
      <c r="N108" s="5" t="s">
        <v>15</v>
      </c>
      <c r="O108" s="5" t="s">
        <v>282</v>
      </c>
      <c r="P108" s="5">
        <v>3</v>
      </c>
      <c r="Q108" s="5">
        <v>3500</v>
      </c>
      <c r="R108" s="5">
        <v>10</v>
      </c>
      <c r="S108" s="5">
        <v>9450</v>
      </c>
      <c r="T108" s="5">
        <v>2</v>
      </c>
      <c r="U108" s="5" t="s">
        <v>272</v>
      </c>
      <c r="V108" s="5" t="s">
        <v>312</v>
      </c>
      <c r="W108" s="5" t="s">
        <v>308</v>
      </c>
      <c r="X108" s="5">
        <v>9179328207</v>
      </c>
      <c r="Y108" s="8" t="s">
        <v>265</v>
      </c>
      <c r="Z108" t="str">
        <f t="shared" si="8"/>
        <v>Blacklisted</v>
      </c>
      <c r="AA108" t="str">
        <f t="shared" si="9"/>
        <v>Priya Patel</v>
      </c>
      <c r="AB108" t="str">
        <f t="shared" si="10"/>
        <v>Pri002De</v>
      </c>
      <c r="AC108" t="str">
        <f t="shared" si="13"/>
        <v>priya.patel@company.com</v>
      </c>
      <c r="AD108">
        <f t="shared" ca="1" si="14"/>
        <v>47</v>
      </c>
      <c r="AE108">
        <f t="shared" si="11"/>
        <v>1</v>
      </c>
      <c r="AF108" t="str">
        <f t="shared" si="12"/>
        <v>On time</v>
      </c>
    </row>
    <row r="109" spans="4:32">
      <c r="D109" s="9" t="s">
        <v>524</v>
      </c>
      <c r="E109" s="10" t="s">
        <v>346</v>
      </c>
      <c r="F109" s="10" t="s">
        <v>267</v>
      </c>
      <c r="G109" s="10" t="s">
        <v>11</v>
      </c>
      <c r="H109" s="10" t="s">
        <v>525</v>
      </c>
      <c r="I109" s="10" t="s">
        <v>348</v>
      </c>
      <c r="J109" s="10" t="s">
        <v>269</v>
      </c>
      <c r="K109" s="10" t="s">
        <v>526</v>
      </c>
      <c r="L109" s="10" t="s">
        <v>286</v>
      </c>
      <c r="M109" s="10" t="s">
        <v>287</v>
      </c>
      <c r="N109" s="10" t="s">
        <v>243</v>
      </c>
      <c r="O109" s="10" t="s">
        <v>271</v>
      </c>
      <c r="P109" s="10">
        <v>6</v>
      </c>
      <c r="Q109" s="10">
        <v>1200</v>
      </c>
      <c r="R109" s="10">
        <v>15</v>
      </c>
      <c r="S109" s="10">
        <v>6120</v>
      </c>
      <c r="T109" s="10">
        <v>4</v>
      </c>
      <c r="U109" s="10" t="s">
        <v>277</v>
      </c>
      <c r="V109" s="10" t="s">
        <v>255</v>
      </c>
      <c r="W109" s="10" t="s">
        <v>350</v>
      </c>
      <c r="X109" s="10">
        <v>9778490728</v>
      </c>
      <c r="Y109" s="12" t="s">
        <v>265</v>
      </c>
      <c r="Z109" t="str">
        <f t="shared" si="8"/>
        <v>Blacklisted</v>
      </c>
      <c r="AA109" t="str">
        <f t="shared" si="9"/>
        <v>Vikas Mehta</v>
      </c>
      <c r="AB109" t="str">
        <f t="shared" si="10"/>
        <v>Vik005Mu</v>
      </c>
      <c r="AC109" t="str">
        <f t="shared" si="13"/>
        <v>vikas.mehta@company.com</v>
      </c>
      <c r="AD109">
        <f t="shared" ca="1" si="14"/>
        <v>40</v>
      </c>
      <c r="AE109">
        <f t="shared" si="11"/>
        <v>5</v>
      </c>
      <c r="AF109" t="str">
        <f t="shared" si="12"/>
        <v>On time</v>
      </c>
    </row>
    <row r="110" spans="4:32">
      <c r="D110" s="4" t="s">
        <v>527</v>
      </c>
      <c r="E110" s="5" t="s">
        <v>275</v>
      </c>
      <c r="F110" s="5" t="s">
        <v>267</v>
      </c>
      <c r="G110" s="6">
        <v>45937</v>
      </c>
      <c r="H110" s="6">
        <v>45998</v>
      </c>
      <c r="I110" s="5" t="s">
        <v>328</v>
      </c>
      <c r="J110" s="5" t="s">
        <v>269</v>
      </c>
      <c r="K110" s="6">
        <v>34096</v>
      </c>
      <c r="L110" s="5" t="s">
        <v>342</v>
      </c>
      <c r="M110" s="5" t="s">
        <v>261</v>
      </c>
      <c r="N110" s="5" t="s">
        <v>243</v>
      </c>
      <c r="O110" s="5" t="s">
        <v>271</v>
      </c>
      <c r="P110" s="5">
        <v>17</v>
      </c>
      <c r="Q110" s="5">
        <v>1200</v>
      </c>
      <c r="R110" s="5">
        <v>15</v>
      </c>
      <c r="S110" s="5">
        <v>17340</v>
      </c>
      <c r="T110" s="5">
        <v>1</v>
      </c>
      <c r="U110" s="5" t="s">
        <v>254</v>
      </c>
      <c r="V110" s="5" t="s">
        <v>246</v>
      </c>
      <c r="W110" s="5" t="s">
        <v>278</v>
      </c>
      <c r="X110" s="5">
        <v>9223058722</v>
      </c>
      <c r="Y110" s="8" t="s">
        <v>257</v>
      </c>
      <c r="Z110" t="str">
        <f t="shared" si="8"/>
        <v>Blacklisted</v>
      </c>
      <c r="AA110" t="str">
        <f t="shared" si="9"/>
        <v>Arjun Rao</v>
      </c>
      <c r="AB110" t="str">
        <f t="shared" si="10"/>
        <v>Arj007Ja</v>
      </c>
      <c r="AC110" t="str">
        <f t="shared" si="13"/>
        <v>arjun.rao@company.com</v>
      </c>
      <c r="AD110" t="str">
        <f t="shared" ca="1" si="14"/>
        <v/>
      </c>
      <c r="AE110" t="str">
        <f t="shared" si="11"/>
        <v/>
      </c>
      <c r="AF110" t="str">
        <f t="shared" si="12"/>
        <v>Delayed</v>
      </c>
    </row>
    <row r="111" spans="4:32">
      <c r="D111" s="9" t="s">
        <v>528</v>
      </c>
      <c r="E111" s="10" t="s">
        <v>346</v>
      </c>
      <c r="F111" s="10" t="s">
        <v>322</v>
      </c>
      <c r="G111" s="10" t="s">
        <v>72</v>
      </c>
      <c r="H111" s="10" t="s">
        <v>375</v>
      </c>
      <c r="I111" s="10" t="s">
        <v>348</v>
      </c>
      <c r="J111" s="10" t="s">
        <v>269</v>
      </c>
      <c r="K111" s="10" t="s">
        <v>529</v>
      </c>
      <c r="L111" s="10" t="s">
        <v>241</v>
      </c>
      <c r="M111" s="10" t="s">
        <v>242</v>
      </c>
      <c r="N111" s="10" t="s">
        <v>15</v>
      </c>
      <c r="O111" s="10" t="s">
        <v>325</v>
      </c>
      <c r="P111" s="10">
        <v>15</v>
      </c>
      <c r="Q111" s="10">
        <v>8500</v>
      </c>
      <c r="R111" s="10">
        <v>0</v>
      </c>
      <c r="S111" s="10">
        <v>127500</v>
      </c>
      <c r="T111" s="10">
        <v>3</v>
      </c>
      <c r="U111" s="10" t="s">
        <v>254</v>
      </c>
      <c r="V111" s="10" t="s">
        <v>292</v>
      </c>
      <c r="W111" s="10" t="s">
        <v>350</v>
      </c>
      <c r="X111" s="10">
        <v>9999889465</v>
      </c>
      <c r="Y111" s="12" t="s">
        <v>248</v>
      </c>
      <c r="Z111" t="str">
        <f t="shared" si="8"/>
        <v/>
      </c>
      <c r="AA111" t="str">
        <f t="shared" si="9"/>
        <v>Vikas Mehta</v>
      </c>
      <c r="AB111" t="str">
        <f t="shared" si="10"/>
        <v>Vik005Be</v>
      </c>
      <c r="AC111" t="str">
        <f t="shared" si="13"/>
        <v>vikas.mehta@company.com</v>
      </c>
      <c r="AD111">
        <f t="shared" ca="1" si="14"/>
        <v>33</v>
      </c>
      <c r="AE111">
        <f t="shared" si="11"/>
        <v>8</v>
      </c>
      <c r="AF111" t="str">
        <f t="shared" si="12"/>
        <v>Delayed</v>
      </c>
    </row>
    <row r="112" spans="4:32">
      <c r="D112" s="4" t="s">
        <v>530</v>
      </c>
      <c r="E112" s="5" t="s">
        <v>299</v>
      </c>
      <c r="F112" s="5" t="s">
        <v>267</v>
      </c>
      <c r="G112" s="5" t="s">
        <v>12</v>
      </c>
      <c r="H112" s="5" t="s">
        <v>77</v>
      </c>
      <c r="I112" s="5" t="s">
        <v>301</v>
      </c>
      <c r="J112" s="5" t="s">
        <v>269</v>
      </c>
      <c r="K112" s="6">
        <v>31361</v>
      </c>
      <c r="L112" s="5" t="s">
        <v>252</v>
      </c>
      <c r="M112" s="5" t="s">
        <v>242</v>
      </c>
      <c r="N112" s="5" t="s">
        <v>243</v>
      </c>
      <c r="O112" s="5" t="s">
        <v>271</v>
      </c>
      <c r="P112" s="5">
        <v>1</v>
      </c>
      <c r="Q112" s="5">
        <v>1200</v>
      </c>
      <c r="R112" s="5">
        <v>20</v>
      </c>
      <c r="S112" s="5">
        <v>960</v>
      </c>
      <c r="T112" s="5">
        <v>1</v>
      </c>
      <c r="U112" s="5" t="s">
        <v>277</v>
      </c>
      <c r="V112" s="5" t="s">
        <v>292</v>
      </c>
      <c r="W112" s="5" t="s">
        <v>302</v>
      </c>
      <c r="X112" s="5">
        <v>9489687402</v>
      </c>
      <c r="Y112" s="8" t="s">
        <v>248</v>
      </c>
      <c r="Z112" t="str">
        <f t="shared" si="8"/>
        <v>Blacklisted</v>
      </c>
      <c r="AA112" t="str">
        <f t="shared" si="9"/>
        <v>Rohit Singh</v>
      </c>
      <c r="AB112" t="str">
        <f t="shared" si="10"/>
        <v>Roh003Hy</v>
      </c>
      <c r="AC112" t="str">
        <f t="shared" si="13"/>
        <v>rohit.singh@company.com</v>
      </c>
      <c r="AD112" t="str">
        <f t="shared" ca="1" si="14"/>
        <v/>
      </c>
      <c r="AE112">
        <f t="shared" si="11"/>
        <v>6</v>
      </c>
      <c r="AF112" t="str">
        <f t="shared" si="12"/>
        <v>Delayed</v>
      </c>
    </row>
    <row r="113" spans="4:32">
      <c r="D113" s="9" t="s">
        <v>531</v>
      </c>
      <c r="E113" s="10" t="s">
        <v>299</v>
      </c>
      <c r="F113" s="10" t="s">
        <v>322</v>
      </c>
      <c r="G113" s="11">
        <v>45904</v>
      </c>
      <c r="H113" s="10" t="s">
        <v>67</v>
      </c>
      <c r="I113" s="10" t="s">
        <v>301</v>
      </c>
      <c r="J113" s="10" t="s">
        <v>269</v>
      </c>
      <c r="K113" s="11">
        <v>36932</v>
      </c>
      <c r="L113" s="10" t="s">
        <v>379</v>
      </c>
      <c r="M113" s="10" t="s">
        <v>21</v>
      </c>
      <c r="N113" s="10" t="s">
        <v>15</v>
      </c>
      <c r="O113" s="10" t="s">
        <v>325</v>
      </c>
      <c r="P113" s="10">
        <v>5</v>
      </c>
      <c r="Q113" s="10">
        <v>8500</v>
      </c>
      <c r="R113" s="10">
        <v>10</v>
      </c>
      <c r="S113" s="10">
        <v>38250</v>
      </c>
      <c r="T113" s="10">
        <v>1</v>
      </c>
      <c r="U113" s="10" t="s">
        <v>272</v>
      </c>
      <c r="V113" s="10" t="s">
        <v>246</v>
      </c>
      <c r="W113" s="10" t="s">
        <v>302</v>
      </c>
      <c r="X113" s="10">
        <v>9236963301</v>
      </c>
      <c r="Y113" s="12" t="s">
        <v>257</v>
      </c>
      <c r="Z113" t="str">
        <f t="shared" si="8"/>
        <v>Blacklisted</v>
      </c>
      <c r="AA113" t="str">
        <f t="shared" si="9"/>
        <v>Rohit Singh</v>
      </c>
      <c r="AB113" t="str">
        <f t="shared" si="10"/>
        <v>Roh003Ko</v>
      </c>
      <c r="AC113" t="str">
        <f t="shared" si="13"/>
        <v>rohit.singh@company.com</v>
      </c>
      <c r="AD113">
        <f t="shared" ca="1" si="14"/>
        <v>40</v>
      </c>
      <c r="AE113" t="str">
        <f t="shared" si="11"/>
        <v/>
      </c>
      <c r="AF113" t="str">
        <f t="shared" si="12"/>
        <v>Delayed</v>
      </c>
    </row>
    <row r="114" spans="4:32">
      <c r="D114" s="4" t="s">
        <v>532</v>
      </c>
      <c r="E114" s="5" t="s">
        <v>235</v>
      </c>
      <c r="F114" s="5" t="s">
        <v>362</v>
      </c>
      <c r="G114" s="6">
        <v>46085</v>
      </c>
      <c r="H114" s="6">
        <v>46299</v>
      </c>
      <c r="I114" s="5" t="s">
        <v>318</v>
      </c>
      <c r="J114" s="5" t="s">
        <v>239</v>
      </c>
      <c r="K114" s="6">
        <v>31628</v>
      </c>
      <c r="L114" s="5" t="s">
        <v>252</v>
      </c>
      <c r="M114" s="5" t="s">
        <v>242</v>
      </c>
      <c r="N114" s="5" t="s">
        <v>295</v>
      </c>
      <c r="O114" s="5" t="s">
        <v>363</v>
      </c>
      <c r="P114" s="5">
        <v>12</v>
      </c>
      <c r="Q114" s="5">
        <v>45</v>
      </c>
      <c r="R114" s="5">
        <v>5</v>
      </c>
      <c r="S114" s="5">
        <v>513</v>
      </c>
      <c r="T114" s="5">
        <v>2</v>
      </c>
      <c r="U114" s="5" t="s">
        <v>245</v>
      </c>
      <c r="V114" s="5" t="s">
        <v>255</v>
      </c>
      <c r="W114" s="5" t="s">
        <v>247</v>
      </c>
      <c r="X114" s="5">
        <v>9653594592</v>
      </c>
      <c r="Y114" s="8" t="s">
        <v>265</v>
      </c>
      <c r="Z114" t="str">
        <f t="shared" si="8"/>
        <v>Blacklisted</v>
      </c>
      <c r="AA114" t="str">
        <f t="shared" si="9"/>
        <v>Pooja Shah</v>
      </c>
      <c r="AB114" t="str">
        <f t="shared" si="10"/>
        <v>Poo010Hy</v>
      </c>
      <c r="AC114" t="str">
        <f t="shared" si="13"/>
        <v>pooja.shah@company.com</v>
      </c>
      <c r="AD114">
        <f t="shared" ca="1" si="14"/>
        <v>25</v>
      </c>
      <c r="AE114" t="str">
        <f t="shared" si="11"/>
        <v/>
      </c>
      <c r="AF114" t="str">
        <f t="shared" si="12"/>
        <v>Delayed</v>
      </c>
    </row>
    <row r="115" spans="4:32">
      <c r="D115" s="9" t="s">
        <v>533</v>
      </c>
      <c r="E115" s="10" t="s">
        <v>346</v>
      </c>
      <c r="F115" s="10" t="s">
        <v>294</v>
      </c>
      <c r="G115" s="10" t="s">
        <v>126</v>
      </c>
      <c r="H115" s="10" t="s">
        <v>182</v>
      </c>
      <c r="I115" s="10" t="s">
        <v>348</v>
      </c>
      <c r="J115" s="10" t="s">
        <v>269</v>
      </c>
      <c r="K115" s="10" t="s">
        <v>534</v>
      </c>
      <c r="L115" s="10" t="s">
        <v>291</v>
      </c>
      <c r="M115" s="10" t="s">
        <v>287</v>
      </c>
      <c r="N115" s="10" t="s">
        <v>295</v>
      </c>
      <c r="O115" s="10" t="s">
        <v>296</v>
      </c>
      <c r="P115" s="10">
        <v>5</v>
      </c>
      <c r="Q115" s="10">
        <v>60</v>
      </c>
      <c r="R115" s="10">
        <v>5</v>
      </c>
      <c r="S115" s="10">
        <v>285</v>
      </c>
      <c r="T115" s="10">
        <v>2</v>
      </c>
      <c r="U115" s="10" t="s">
        <v>254</v>
      </c>
      <c r="V115" s="10" t="s">
        <v>246</v>
      </c>
      <c r="W115" s="10" t="s">
        <v>350</v>
      </c>
      <c r="X115" s="10">
        <v>9781970426</v>
      </c>
      <c r="Y115" s="12" t="s">
        <v>257</v>
      </c>
      <c r="Z115" t="str">
        <f t="shared" si="8"/>
        <v>Blacklisted</v>
      </c>
      <c r="AA115" t="str">
        <f t="shared" si="9"/>
        <v>Vikas Mehta</v>
      </c>
      <c r="AB115" t="str">
        <f t="shared" si="10"/>
        <v>Vik005Pu</v>
      </c>
      <c r="AC115" t="str">
        <f t="shared" si="13"/>
        <v>vikas.mehta@company.com</v>
      </c>
      <c r="AD115">
        <f t="shared" ca="1" si="14"/>
        <v>40</v>
      </c>
      <c r="AE115">
        <f t="shared" si="11"/>
        <v>5</v>
      </c>
      <c r="AF115" t="str">
        <f t="shared" si="12"/>
        <v>On time</v>
      </c>
    </row>
    <row r="116" spans="4:32">
      <c r="D116" s="4" t="s">
        <v>535</v>
      </c>
      <c r="E116" s="5" t="s">
        <v>235</v>
      </c>
      <c r="F116" s="5" t="s">
        <v>330</v>
      </c>
      <c r="G116" s="6">
        <v>45720</v>
      </c>
      <c r="H116" s="5" t="s">
        <v>536</v>
      </c>
      <c r="I116" s="5" t="s">
        <v>318</v>
      </c>
      <c r="J116" s="5" t="s">
        <v>239</v>
      </c>
      <c r="K116" s="6">
        <v>34642</v>
      </c>
      <c r="L116" s="5" t="s">
        <v>379</v>
      </c>
      <c r="M116" s="5" t="s">
        <v>21</v>
      </c>
      <c r="N116" s="5" t="s">
        <v>243</v>
      </c>
      <c r="O116" s="5" t="s">
        <v>333</v>
      </c>
      <c r="P116" s="5">
        <v>3</v>
      </c>
      <c r="Q116" s="5">
        <v>700</v>
      </c>
      <c r="R116" s="5">
        <v>0</v>
      </c>
      <c r="S116" s="5">
        <v>2100</v>
      </c>
      <c r="T116" s="5">
        <v>4</v>
      </c>
      <c r="U116" s="5" t="s">
        <v>272</v>
      </c>
      <c r="V116" s="5" t="s">
        <v>246</v>
      </c>
      <c r="W116" s="5" t="s">
        <v>247</v>
      </c>
      <c r="X116" s="5">
        <v>9862165194</v>
      </c>
      <c r="Y116" s="8" t="s">
        <v>257</v>
      </c>
      <c r="Z116" t="str">
        <f t="shared" si="8"/>
        <v>Silver</v>
      </c>
      <c r="AA116" t="str">
        <f t="shared" si="9"/>
        <v>Pooja Shah</v>
      </c>
      <c r="AB116" t="str">
        <f t="shared" si="10"/>
        <v>Poo010Ko</v>
      </c>
      <c r="AC116" t="str">
        <f t="shared" si="13"/>
        <v>pooja.shah@company.com</v>
      </c>
      <c r="AD116" t="str">
        <f t="shared" ca="1" si="14"/>
        <v/>
      </c>
      <c r="AE116" t="str">
        <f t="shared" si="11"/>
        <v/>
      </c>
      <c r="AF116" t="str">
        <f t="shared" si="12"/>
        <v>Delayed</v>
      </c>
    </row>
    <row r="117" spans="4:32">
      <c r="D117" s="9" t="s">
        <v>537</v>
      </c>
      <c r="E117" s="10" t="s">
        <v>321</v>
      </c>
      <c r="F117" s="10" t="s">
        <v>347</v>
      </c>
      <c r="G117" s="10" t="s">
        <v>141</v>
      </c>
      <c r="H117" s="10" t="s">
        <v>511</v>
      </c>
      <c r="I117" s="10" t="s">
        <v>408</v>
      </c>
      <c r="J117" s="10" t="s">
        <v>239</v>
      </c>
      <c r="K117" s="11">
        <v>33699</v>
      </c>
      <c r="L117" s="10" t="s">
        <v>260</v>
      </c>
      <c r="M117" s="10" t="s">
        <v>261</v>
      </c>
      <c r="N117" s="10" t="s">
        <v>295</v>
      </c>
      <c r="O117" s="10" t="s">
        <v>349</v>
      </c>
      <c r="P117" s="10">
        <v>6</v>
      </c>
      <c r="Q117" s="10">
        <v>20</v>
      </c>
      <c r="R117" s="10">
        <v>15</v>
      </c>
      <c r="S117" s="10">
        <v>102</v>
      </c>
      <c r="T117" s="10">
        <v>5</v>
      </c>
      <c r="U117" s="10" t="s">
        <v>272</v>
      </c>
      <c r="V117" s="10" t="s">
        <v>312</v>
      </c>
      <c r="W117" s="10" t="s">
        <v>326</v>
      </c>
      <c r="X117" s="10">
        <v>9661280388</v>
      </c>
      <c r="Y117" s="12" t="s">
        <v>257</v>
      </c>
      <c r="Z117" t="str">
        <f t="shared" si="8"/>
        <v>Silver</v>
      </c>
      <c r="AA117" t="str">
        <f t="shared" si="9"/>
        <v>Anita Gupta</v>
      </c>
      <c r="AB117" t="str">
        <f t="shared" si="10"/>
        <v>Ani004De</v>
      </c>
      <c r="AC117" t="str">
        <f t="shared" si="13"/>
        <v>anita.gupta@company.com</v>
      </c>
      <c r="AD117">
        <f t="shared" ca="1" si="14"/>
        <v>31</v>
      </c>
      <c r="AE117">
        <f t="shared" si="11"/>
        <v>4</v>
      </c>
      <c r="AF117" t="str">
        <f t="shared" si="12"/>
        <v>On time</v>
      </c>
    </row>
    <row r="118" spans="4:32">
      <c r="D118" s="4" t="s">
        <v>538</v>
      </c>
      <c r="E118" s="5" t="s">
        <v>284</v>
      </c>
      <c r="F118" s="5" t="s">
        <v>330</v>
      </c>
      <c r="G118" s="5" t="s">
        <v>135</v>
      </c>
      <c r="H118" s="5" t="s">
        <v>539</v>
      </c>
      <c r="I118" s="5" t="s">
        <v>285</v>
      </c>
      <c r="J118" s="5" t="s">
        <v>239</v>
      </c>
      <c r="K118" s="5" t="s">
        <v>540</v>
      </c>
      <c r="L118" s="5" t="s">
        <v>241</v>
      </c>
      <c r="M118" s="5" t="s">
        <v>242</v>
      </c>
      <c r="N118" s="5" t="s">
        <v>243</v>
      </c>
      <c r="O118" s="5" t="s">
        <v>333</v>
      </c>
      <c r="P118" s="5">
        <v>2</v>
      </c>
      <c r="Q118" s="5">
        <v>700</v>
      </c>
      <c r="R118" s="5">
        <v>15</v>
      </c>
      <c r="S118" s="5">
        <v>1190</v>
      </c>
      <c r="T118" s="5">
        <v>4</v>
      </c>
      <c r="U118" s="5" t="s">
        <v>254</v>
      </c>
      <c r="V118" s="5" t="s">
        <v>312</v>
      </c>
      <c r="W118" s="5" t="s">
        <v>308</v>
      </c>
      <c r="X118" s="5">
        <v>9896985355</v>
      </c>
      <c r="Y118" s="8" t="s">
        <v>248</v>
      </c>
      <c r="Z118" t="str">
        <f t="shared" si="8"/>
        <v/>
      </c>
      <c r="AA118" t="str">
        <f t="shared" si="9"/>
        <v>Priya Patel</v>
      </c>
      <c r="AB118" t="str">
        <f t="shared" si="10"/>
        <v>Pri002Be</v>
      </c>
      <c r="AC118" t="str">
        <f t="shared" si="13"/>
        <v>priya.patel@company.com</v>
      </c>
      <c r="AD118">
        <f t="shared" ca="1" si="14"/>
        <v>34</v>
      </c>
      <c r="AE118">
        <f t="shared" si="11"/>
        <v>7</v>
      </c>
      <c r="AF118" t="str">
        <f t="shared" si="12"/>
        <v>Delayed</v>
      </c>
    </row>
    <row r="119" spans="4:32">
      <c r="D119" s="9" t="s">
        <v>541</v>
      </c>
      <c r="E119" s="10" t="s">
        <v>392</v>
      </c>
      <c r="F119" s="10" t="s">
        <v>362</v>
      </c>
      <c r="G119" s="10" t="s">
        <v>204</v>
      </c>
      <c r="H119" s="11">
        <v>45967</v>
      </c>
      <c r="I119" s="10" t="s">
        <v>323</v>
      </c>
      <c r="J119" s="10" t="s">
        <v>269</v>
      </c>
      <c r="K119" s="11">
        <v>34889</v>
      </c>
      <c r="L119" s="10" t="s">
        <v>291</v>
      </c>
      <c r="M119" s="10" t="s">
        <v>287</v>
      </c>
      <c r="N119" s="10" t="s">
        <v>295</v>
      </c>
      <c r="O119" s="10" t="s">
        <v>363</v>
      </c>
      <c r="P119" s="10">
        <v>16</v>
      </c>
      <c r="Q119" s="10">
        <v>45</v>
      </c>
      <c r="R119" s="10">
        <v>0</v>
      </c>
      <c r="S119" s="10">
        <v>720</v>
      </c>
      <c r="T119" s="10">
        <v>1</v>
      </c>
      <c r="U119" s="10" t="s">
        <v>245</v>
      </c>
      <c r="V119" s="10" t="s">
        <v>246</v>
      </c>
      <c r="W119" s="10" t="s">
        <v>395</v>
      </c>
      <c r="X119" s="10">
        <v>9807154421</v>
      </c>
      <c r="Y119" s="12" t="s">
        <v>257</v>
      </c>
      <c r="Z119" t="str">
        <f t="shared" si="8"/>
        <v>Blacklisted</v>
      </c>
      <c r="AA119" t="str">
        <f t="shared" si="9"/>
        <v>Amit Sharma</v>
      </c>
      <c r="AB119" t="str">
        <f t="shared" si="10"/>
        <v>Ami001Pu</v>
      </c>
      <c r="AC119" t="str">
        <f t="shared" si="13"/>
        <v>amit.sharma@company.com</v>
      </c>
      <c r="AD119" t="str">
        <f t="shared" ca="1" si="14"/>
        <v/>
      </c>
      <c r="AE119" t="str">
        <f t="shared" si="11"/>
        <v/>
      </c>
      <c r="AF119" t="str">
        <f t="shared" si="12"/>
        <v>Delayed</v>
      </c>
    </row>
    <row r="120" spans="4:32">
      <c r="D120" s="4" t="s">
        <v>542</v>
      </c>
      <c r="E120" s="5" t="s">
        <v>266</v>
      </c>
      <c r="F120" s="5" t="s">
        <v>267</v>
      </c>
      <c r="G120" s="5" t="s">
        <v>197</v>
      </c>
      <c r="H120" s="6">
        <v>45694</v>
      </c>
      <c r="I120" s="5" t="s">
        <v>268</v>
      </c>
      <c r="J120" s="5" t="s">
        <v>269</v>
      </c>
      <c r="K120" s="6">
        <v>32358</v>
      </c>
      <c r="L120" s="5" t="s">
        <v>306</v>
      </c>
      <c r="M120" s="5" t="s">
        <v>287</v>
      </c>
      <c r="N120" s="5" t="s">
        <v>243</v>
      </c>
      <c r="O120" s="5" t="s">
        <v>271</v>
      </c>
      <c r="P120" s="5" t="s">
        <v>543</v>
      </c>
      <c r="Q120" s="5">
        <v>1200</v>
      </c>
      <c r="R120" s="5">
        <v>15</v>
      </c>
      <c r="S120" s="5">
        <v>7140</v>
      </c>
      <c r="T120" s="5">
        <v>4</v>
      </c>
      <c r="U120" s="5" t="s">
        <v>277</v>
      </c>
      <c r="V120" s="5" t="s">
        <v>312</v>
      </c>
      <c r="W120" s="5" t="s">
        <v>273</v>
      </c>
      <c r="X120" s="5">
        <v>9919834000</v>
      </c>
      <c r="Y120" s="8" t="s">
        <v>248</v>
      </c>
      <c r="Z120" t="str">
        <f t="shared" si="8"/>
        <v/>
      </c>
      <c r="AA120" t="str">
        <f t="shared" si="9"/>
        <v>Mohit Verma</v>
      </c>
      <c r="AB120" t="str">
        <f t="shared" si="10"/>
        <v>Moh009Ah</v>
      </c>
      <c r="AC120" t="str">
        <f t="shared" si="13"/>
        <v>mohit.verma@company.com</v>
      </c>
      <c r="AD120">
        <f t="shared" ca="1" si="14"/>
        <v>31</v>
      </c>
      <c r="AE120" t="str">
        <f t="shared" si="11"/>
        <v/>
      </c>
      <c r="AF120" t="str">
        <f t="shared" si="12"/>
        <v>Delayed</v>
      </c>
    </row>
    <row r="121" spans="4:32">
      <c r="D121" s="9" t="s">
        <v>544</v>
      </c>
      <c r="E121" s="10" t="s">
        <v>284</v>
      </c>
      <c r="F121" s="10" t="s">
        <v>258</v>
      </c>
      <c r="G121" s="10" t="s">
        <v>82</v>
      </c>
      <c r="H121" s="10" t="s">
        <v>199</v>
      </c>
      <c r="I121" s="10" t="s">
        <v>285</v>
      </c>
      <c r="J121" s="10" t="s">
        <v>239</v>
      </c>
      <c r="K121" s="11">
        <v>32696</v>
      </c>
      <c r="L121" s="10" t="s">
        <v>342</v>
      </c>
      <c r="M121" s="10" t="s">
        <v>261</v>
      </c>
      <c r="N121" s="10" t="s">
        <v>243</v>
      </c>
      <c r="O121" s="10" t="s">
        <v>262</v>
      </c>
      <c r="P121" s="10">
        <v>14</v>
      </c>
      <c r="Q121" s="10">
        <v>12000</v>
      </c>
      <c r="R121" s="10">
        <v>15</v>
      </c>
      <c r="S121" s="10">
        <v>142800</v>
      </c>
      <c r="T121" s="10">
        <v>2</v>
      </c>
      <c r="U121" s="10" t="s">
        <v>245</v>
      </c>
      <c r="V121" s="10" t="s">
        <v>246</v>
      </c>
      <c r="W121" s="10" t="s">
        <v>308</v>
      </c>
      <c r="X121" s="10">
        <v>9739798818</v>
      </c>
      <c r="Y121" s="12" t="s">
        <v>248</v>
      </c>
      <c r="Z121" t="str">
        <f t="shared" si="8"/>
        <v>Blacklisted</v>
      </c>
      <c r="AA121" t="str">
        <f t="shared" si="9"/>
        <v>Priya Patel</v>
      </c>
      <c r="AB121" t="str">
        <f t="shared" si="10"/>
        <v>Pri002Ja</v>
      </c>
      <c r="AC121" t="str">
        <f t="shared" si="13"/>
        <v>priya.patel@company.com</v>
      </c>
      <c r="AD121">
        <f t="shared" ca="1" si="14"/>
        <v>38</v>
      </c>
      <c r="AE121">
        <f t="shared" si="11"/>
        <v>11</v>
      </c>
      <c r="AF121" t="str">
        <f t="shared" si="12"/>
        <v>Delayed</v>
      </c>
    </row>
    <row r="122" spans="4:32">
      <c r="D122" s="4" t="s">
        <v>545</v>
      </c>
      <c r="E122" s="5" t="s">
        <v>299</v>
      </c>
      <c r="F122" s="5" t="s">
        <v>322</v>
      </c>
      <c r="G122" s="5" t="s">
        <v>30</v>
      </c>
      <c r="H122" s="5" t="s">
        <v>52</v>
      </c>
      <c r="I122" s="5" t="s">
        <v>301</v>
      </c>
      <c r="J122" s="5" t="s">
        <v>269</v>
      </c>
      <c r="K122" s="6">
        <v>34284</v>
      </c>
      <c r="L122" s="5" t="s">
        <v>291</v>
      </c>
      <c r="M122" s="5" t="s">
        <v>287</v>
      </c>
      <c r="N122" s="5" t="s">
        <v>15</v>
      </c>
      <c r="O122" s="5" t="s">
        <v>325</v>
      </c>
      <c r="P122" s="5">
        <v>8</v>
      </c>
      <c r="Q122" s="5">
        <v>8500</v>
      </c>
      <c r="R122" s="5">
        <v>20</v>
      </c>
      <c r="S122" s="5">
        <v>54400</v>
      </c>
      <c r="T122" s="5">
        <v>3</v>
      </c>
      <c r="U122" s="5" t="s">
        <v>272</v>
      </c>
      <c r="V122" s="5" t="s">
        <v>263</v>
      </c>
      <c r="W122" s="5" t="s">
        <v>302</v>
      </c>
      <c r="X122" s="5">
        <v>9208625306</v>
      </c>
      <c r="Y122" s="8" t="s">
        <v>257</v>
      </c>
      <c r="Z122" t="str">
        <f t="shared" si="8"/>
        <v>Gold</v>
      </c>
      <c r="AA122" t="str">
        <f t="shared" si="9"/>
        <v>Rohit Singh</v>
      </c>
      <c r="AB122" t="str">
        <f t="shared" si="10"/>
        <v>Roh003Pu</v>
      </c>
      <c r="AC122" t="str">
        <f t="shared" si="13"/>
        <v>rohit.singh@company.com</v>
      </c>
      <c r="AD122">
        <f t="shared" ca="1" si="14"/>
        <v>37</v>
      </c>
      <c r="AE122">
        <f t="shared" si="11"/>
        <v>2</v>
      </c>
      <c r="AF122" t="str">
        <f t="shared" si="12"/>
        <v>On time</v>
      </c>
    </row>
    <row r="123" spans="4:32">
      <c r="D123" s="9" t="s">
        <v>546</v>
      </c>
      <c r="E123" s="10" t="s">
        <v>275</v>
      </c>
      <c r="F123" s="10" t="s">
        <v>362</v>
      </c>
      <c r="G123" s="10" t="s">
        <v>202</v>
      </c>
      <c r="H123" s="11">
        <v>46297</v>
      </c>
      <c r="I123" s="10" t="s">
        <v>328</v>
      </c>
      <c r="J123" s="10" t="s">
        <v>269</v>
      </c>
      <c r="K123" s="11">
        <v>36527</v>
      </c>
      <c r="L123" s="10" t="s">
        <v>241</v>
      </c>
      <c r="M123" s="10" t="s">
        <v>242</v>
      </c>
      <c r="N123" s="10" t="s">
        <v>295</v>
      </c>
      <c r="O123" s="10" t="s">
        <v>363</v>
      </c>
      <c r="P123" s="10">
        <v>3</v>
      </c>
      <c r="Q123" s="10">
        <v>45</v>
      </c>
      <c r="R123" s="10">
        <v>0</v>
      </c>
      <c r="S123" s="10">
        <v>135</v>
      </c>
      <c r="T123" s="10">
        <v>4</v>
      </c>
      <c r="U123" s="10" t="s">
        <v>277</v>
      </c>
      <c r="V123" s="10" t="s">
        <v>246</v>
      </c>
      <c r="W123" s="10" t="s">
        <v>278</v>
      </c>
      <c r="X123" s="10">
        <v>9970178536</v>
      </c>
      <c r="Y123" s="12" t="s">
        <v>265</v>
      </c>
      <c r="Z123" t="str">
        <f t="shared" si="8"/>
        <v>Blacklisted</v>
      </c>
      <c r="AA123" t="str">
        <f t="shared" si="9"/>
        <v>Arjun Rao</v>
      </c>
      <c r="AB123" t="str">
        <f t="shared" si="10"/>
        <v>Arj007Be</v>
      </c>
      <c r="AC123" t="str">
        <f t="shared" si="13"/>
        <v>arjun.rao@company.com</v>
      </c>
      <c r="AD123">
        <f t="shared" ca="1" si="14"/>
        <v>32</v>
      </c>
      <c r="AE123" t="str">
        <f t="shared" si="11"/>
        <v/>
      </c>
      <c r="AF123" t="str">
        <f t="shared" si="12"/>
        <v>Delayed</v>
      </c>
    </row>
    <row r="124" spans="4:32">
      <c r="D124" s="4" t="s">
        <v>547</v>
      </c>
      <c r="E124" s="5" t="s">
        <v>392</v>
      </c>
      <c r="F124" s="5" t="s">
        <v>330</v>
      </c>
      <c r="G124" s="6">
        <v>46082</v>
      </c>
      <c r="H124" s="6">
        <v>46113</v>
      </c>
      <c r="I124" s="5" t="s">
        <v>323</v>
      </c>
      <c r="J124" s="5" t="s">
        <v>269</v>
      </c>
      <c r="K124" s="5" t="s">
        <v>548</v>
      </c>
      <c r="L124" s="5" t="s">
        <v>342</v>
      </c>
      <c r="M124" s="5" t="s">
        <v>261</v>
      </c>
      <c r="N124" s="5" t="s">
        <v>243</v>
      </c>
      <c r="O124" s="5" t="s">
        <v>333</v>
      </c>
      <c r="P124" s="5">
        <v>13</v>
      </c>
      <c r="Q124" s="5">
        <v>700</v>
      </c>
      <c r="R124" s="5">
        <v>5</v>
      </c>
      <c r="S124" s="5">
        <v>8645</v>
      </c>
      <c r="T124" s="5">
        <v>3</v>
      </c>
      <c r="U124" s="5" t="s">
        <v>272</v>
      </c>
      <c r="V124" s="5" t="s">
        <v>292</v>
      </c>
      <c r="W124" s="5" t="s">
        <v>395</v>
      </c>
      <c r="X124" s="5">
        <v>9633745195</v>
      </c>
      <c r="Y124" s="8" t="s">
        <v>248</v>
      </c>
      <c r="Z124" t="str">
        <f t="shared" si="8"/>
        <v/>
      </c>
      <c r="AA124" t="str">
        <f t="shared" si="9"/>
        <v>Amit Sharma</v>
      </c>
      <c r="AB124" t="str">
        <f t="shared" si="10"/>
        <v>Ami001Ja</v>
      </c>
      <c r="AC124" t="str">
        <f t="shared" si="13"/>
        <v>amit.sharma@company.com</v>
      </c>
      <c r="AD124">
        <f t="shared" ca="1" si="14"/>
        <v>26</v>
      </c>
      <c r="AE124" t="str">
        <f t="shared" si="11"/>
        <v/>
      </c>
      <c r="AF124" t="str">
        <f t="shared" si="12"/>
        <v>Delayed</v>
      </c>
    </row>
    <row r="125" spans="4:32">
      <c r="D125" s="9" t="s">
        <v>549</v>
      </c>
      <c r="E125" s="10" t="s">
        <v>321</v>
      </c>
      <c r="F125" s="10" t="s">
        <v>267</v>
      </c>
      <c r="G125" s="10" t="s">
        <v>95</v>
      </c>
      <c r="H125" s="10" t="s">
        <v>550</v>
      </c>
      <c r="I125" s="10" t="s">
        <v>408</v>
      </c>
      <c r="J125" s="10" t="s">
        <v>239</v>
      </c>
      <c r="K125" s="10" t="s">
        <v>551</v>
      </c>
      <c r="L125" s="10" t="s">
        <v>286</v>
      </c>
      <c r="M125" s="10" t="s">
        <v>287</v>
      </c>
      <c r="N125" s="10" t="s">
        <v>243</v>
      </c>
      <c r="O125" s="10" t="s">
        <v>271</v>
      </c>
      <c r="P125" s="10">
        <v>14</v>
      </c>
      <c r="Q125" s="10">
        <v>1200</v>
      </c>
      <c r="R125" s="10">
        <v>20</v>
      </c>
      <c r="S125" s="10">
        <v>13440</v>
      </c>
      <c r="T125" s="10">
        <v>5</v>
      </c>
      <c r="U125" s="10" t="s">
        <v>245</v>
      </c>
      <c r="V125" s="10" t="s">
        <v>246</v>
      </c>
      <c r="W125" s="10" t="s">
        <v>326</v>
      </c>
      <c r="X125" s="10">
        <v>9922102053</v>
      </c>
      <c r="Y125" s="12" t="s">
        <v>257</v>
      </c>
      <c r="Z125" t="str">
        <f t="shared" si="8"/>
        <v>Silver</v>
      </c>
      <c r="AA125" t="str">
        <f t="shared" si="9"/>
        <v>Anita Gupta</v>
      </c>
      <c r="AB125" t="str">
        <f t="shared" si="10"/>
        <v>Ani004Mu</v>
      </c>
      <c r="AC125" t="str">
        <f t="shared" si="13"/>
        <v>anita.gupta@company.com</v>
      </c>
      <c r="AD125" t="str">
        <f t="shared" ca="1" si="14"/>
        <v/>
      </c>
      <c r="AE125">
        <f t="shared" si="11"/>
        <v>6</v>
      </c>
      <c r="AF125" t="str">
        <f t="shared" si="12"/>
        <v>Delayed</v>
      </c>
    </row>
    <row r="126" spans="4:32">
      <c r="D126" s="4" t="s">
        <v>552</v>
      </c>
      <c r="E126" s="5" t="s">
        <v>284</v>
      </c>
      <c r="F126" s="5" t="s">
        <v>362</v>
      </c>
      <c r="G126" s="6">
        <v>45966</v>
      </c>
      <c r="H126" s="5" t="s">
        <v>553</v>
      </c>
      <c r="I126" s="5" t="s">
        <v>285</v>
      </c>
      <c r="J126" s="5" t="s">
        <v>239</v>
      </c>
      <c r="K126" s="5" t="s">
        <v>554</v>
      </c>
      <c r="L126" s="5" t="s">
        <v>260</v>
      </c>
      <c r="M126" s="5" t="s">
        <v>261</v>
      </c>
      <c r="N126" s="5" t="s">
        <v>295</v>
      </c>
      <c r="O126" s="5" t="s">
        <v>363</v>
      </c>
      <c r="P126" s="5">
        <v>2</v>
      </c>
      <c r="Q126" s="5">
        <v>45</v>
      </c>
      <c r="R126" s="5">
        <v>5</v>
      </c>
      <c r="S126" s="5">
        <v>85.5</v>
      </c>
      <c r="T126" s="5">
        <v>3</v>
      </c>
      <c r="U126" s="5" t="s">
        <v>277</v>
      </c>
      <c r="V126" s="5" t="s">
        <v>255</v>
      </c>
      <c r="W126" s="5" t="s">
        <v>308</v>
      </c>
      <c r="X126" s="5">
        <v>9135963930</v>
      </c>
      <c r="Y126" s="8" t="s">
        <v>265</v>
      </c>
      <c r="Z126" t="str">
        <f t="shared" si="8"/>
        <v>Blacklisted</v>
      </c>
      <c r="AA126" t="str">
        <f t="shared" si="9"/>
        <v>Priya Patel</v>
      </c>
      <c r="AB126" t="str">
        <f t="shared" si="10"/>
        <v>Pri002De</v>
      </c>
      <c r="AC126" t="str">
        <f t="shared" si="13"/>
        <v>priya.patel@company.com</v>
      </c>
      <c r="AD126" t="str">
        <f t="shared" ca="1" si="14"/>
        <v/>
      </c>
      <c r="AE126" t="str">
        <f t="shared" si="11"/>
        <v/>
      </c>
      <c r="AF126" t="str">
        <f t="shared" si="12"/>
        <v>Delayed</v>
      </c>
    </row>
    <row r="127" spans="4:32">
      <c r="D127" s="9" t="s">
        <v>555</v>
      </c>
      <c r="E127" s="10" t="s">
        <v>321</v>
      </c>
      <c r="F127" s="10" t="s">
        <v>267</v>
      </c>
      <c r="G127" s="11">
        <v>46054</v>
      </c>
      <c r="H127" s="11">
        <v>46174</v>
      </c>
      <c r="I127" s="10" t="s">
        <v>408</v>
      </c>
      <c r="J127" s="10" t="s">
        <v>239</v>
      </c>
      <c r="K127" s="11">
        <v>29677</v>
      </c>
      <c r="L127" s="10" t="s">
        <v>241</v>
      </c>
      <c r="M127" s="10" t="s">
        <v>242</v>
      </c>
      <c r="N127" s="10" t="s">
        <v>243</v>
      </c>
      <c r="O127" s="10" t="s">
        <v>271</v>
      </c>
      <c r="P127" s="10">
        <v>2</v>
      </c>
      <c r="Q127" s="10">
        <v>1200</v>
      </c>
      <c r="R127" s="10">
        <v>20</v>
      </c>
      <c r="S127" s="10">
        <v>1920</v>
      </c>
      <c r="T127" s="10">
        <v>3</v>
      </c>
      <c r="U127" s="10" t="s">
        <v>272</v>
      </c>
      <c r="V127" s="10" t="s">
        <v>292</v>
      </c>
      <c r="W127" s="10" t="s">
        <v>326</v>
      </c>
      <c r="X127" s="10">
        <v>9429405275</v>
      </c>
      <c r="Y127" s="12" t="s">
        <v>257</v>
      </c>
      <c r="Z127" t="str">
        <f t="shared" si="8"/>
        <v>Silver</v>
      </c>
      <c r="AA127" t="str">
        <f t="shared" si="9"/>
        <v>Anita Gupta</v>
      </c>
      <c r="AB127" t="str">
        <f t="shared" si="10"/>
        <v>Ani004Be</v>
      </c>
      <c r="AC127" t="str">
        <f t="shared" si="13"/>
        <v>anita.gupta@company.com</v>
      </c>
      <c r="AD127" t="str">
        <f t="shared" ca="1" si="14"/>
        <v/>
      </c>
      <c r="AE127" t="str">
        <f t="shared" si="11"/>
        <v/>
      </c>
      <c r="AF127" t="str">
        <f t="shared" si="12"/>
        <v>Delayed</v>
      </c>
    </row>
    <row r="128" spans="4:32">
      <c r="D128" s="4" t="s">
        <v>556</v>
      </c>
      <c r="E128" s="5" t="s">
        <v>299</v>
      </c>
      <c r="F128" s="5" t="s">
        <v>236</v>
      </c>
      <c r="G128" s="5" t="s">
        <v>90</v>
      </c>
      <c r="H128" s="5" t="s">
        <v>154</v>
      </c>
      <c r="I128" s="5" t="s">
        <v>301</v>
      </c>
      <c r="J128" s="5" t="s">
        <v>269</v>
      </c>
      <c r="K128" s="6">
        <v>38331</v>
      </c>
      <c r="L128" s="5" t="s">
        <v>241</v>
      </c>
      <c r="M128" s="5" t="s">
        <v>242</v>
      </c>
      <c r="N128" s="5" t="s">
        <v>243</v>
      </c>
      <c r="O128" s="5" t="s">
        <v>244</v>
      </c>
      <c r="P128" s="5">
        <v>10</v>
      </c>
      <c r="Q128" s="5">
        <v>55000</v>
      </c>
      <c r="R128" s="5">
        <v>5</v>
      </c>
      <c r="S128" s="5">
        <v>522500</v>
      </c>
      <c r="T128" s="5">
        <v>5</v>
      </c>
      <c r="U128" s="5" t="s">
        <v>277</v>
      </c>
      <c r="V128" s="5" t="s">
        <v>246</v>
      </c>
      <c r="W128" s="5" t="s">
        <v>302</v>
      </c>
      <c r="X128" s="5">
        <v>9521757571</v>
      </c>
      <c r="Y128" s="8" t="s">
        <v>248</v>
      </c>
      <c r="Z128" t="str">
        <f t="shared" si="8"/>
        <v/>
      </c>
      <c r="AA128" t="str">
        <f t="shared" si="9"/>
        <v>Rohit Singh</v>
      </c>
      <c r="AB128" t="str">
        <f t="shared" si="10"/>
        <v>Roh003Be</v>
      </c>
      <c r="AC128" t="str">
        <f t="shared" si="13"/>
        <v>rohit.singh@company.com</v>
      </c>
      <c r="AD128">
        <f t="shared" ca="1" si="14"/>
        <v>45</v>
      </c>
      <c r="AE128">
        <f t="shared" si="11"/>
        <v>6</v>
      </c>
      <c r="AF128" t="str">
        <f t="shared" si="12"/>
        <v>Delayed</v>
      </c>
    </row>
    <row r="129" spans="4:32">
      <c r="D129" s="9" t="s">
        <v>557</v>
      </c>
      <c r="E129" s="10" t="s">
        <v>358</v>
      </c>
      <c r="F129" s="10" t="s">
        <v>280</v>
      </c>
      <c r="G129" s="11">
        <v>45755</v>
      </c>
      <c r="H129" s="11">
        <v>45785</v>
      </c>
      <c r="I129" s="10" t="s">
        <v>359</v>
      </c>
      <c r="J129" s="10" t="s">
        <v>239</v>
      </c>
      <c r="K129" s="10" t="s">
        <v>558</v>
      </c>
      <c r="L129" s="10" t="s">
        <v>342</v>
      </c>
      <c r="M129" s="10" t="s">
        <v>261</v>
      </c>
      <c r="N129" s="10" t="s">
        <v>15</v>
      </c>
      <c r="O129" s="10" t="s">
        <v>282</v>
      </c>
      <c r="P129" s="10">
        <v>15</v>
      </c>
      <c r="Q129" s="10">
        <v>3500</v>
      </c>
      <c r="R129" s="10">
        <v>10</v>
      </c>
      <c r="S129" s="10">
        <v>47250</v>
      </c>
      <c r="T129" s="10">
        <v>3</v>
      </c>
      <c r="U129" s="10" t="s">
        <v>245</v>
      </c>
      <c r="V129" s="10" t="s">
        <v>292</v>
      </c>
      <c r="W129" s="10" t="s">
        <v>360</v>
      </c>
      <c r="X129" s="10">
        <v>9467375455</v>
      </c>
      <c r="Y129" s="12" t="s">
        <v>257</v>
      </c>
      <c r="Z129" t="str">
        <f t="shared" si="8"/>
        <v>Silver</v>
      </c>
      <c r="AA129" t="str">
        <f t="shared" si="9"/>
        <v>Sneha Joshi</v>
      </c>
      <c r="AB129" t="str">
        <f t="shared" si="10"/>
        <v>Sne006Ja</v>
      </c>
      <c r="AC129" t="str">
        <f t="shared" si="13"/>
        <v>sneha.joshi@company.com</v>
      </c>
      <c r="AD129">
        <f t="shared" ca="1" si="14"/>
        <v>21</v>
      </c>
      <c r="AE129" t="str">
        <f t="shared" si="11"/>
        <v/>
      </c>
      <c r="AF129" t="str">
        <f t="shared" si="12"/>
        <v>Delayed</v>
      </c>
    </row>
    <row r="130" spans="4:32">
      <c r="D130" s="4" t="s">
        <v>559</v>
      </c>
      <c r="E130" s="5" t="s">
        <v>284</v>
      </c>
      <c r="F130" s="5" t="s">
        <v>250</v>
      </c>
      <c r="G130" s="5" t="s">
        <v>18</v>
      </c>
      <c r="H130" s="5" t="s">
        <v>560</v>
      </c>
      <c r="I130" s="5" t="s">
        <v>285</v>
      </c>
      <c r="J130" s="5" t="s">
        <v>239</v>
      </c>
      <c r="K130" s="6">
        <v>30203</v>
      </c>
      <c r="L130" s="5" t="s">
        <v>241</v>
      </c>
      <c r="M130" s="5" t="s">
        <v>242</v>
      </c>
      <c r="N130" s="5" t="s">
        <v>15</v>
      </c>
      <c r="O130" s="5" t="s">
        <v>253</v>
      </c>
      <c r="P130" s="5">
        <v>10</v>
      </c>
      <c r="Q130" s="5">
        <v>2200</v>
      </c>
      <c r="R130" s="5">
        <v>15</v>
      </c>
      <c r="S130" s="5">
        <v>18700</v>
      </c>
      <c r="T130" s="5">
        <v>4</v>
      </c>
      <c r="U130" s="5" t="s">
        <v>272</v>
      </c>
      <c r="V130" s="5" t="s">
        <v>263</v>
      </c>
      <c r="W130" s="5" t="s">
        <v>308</v>
      </c>
      <c r="X130" s="5">
        <v>9838809695</v>
      </c>
      <c r="Y130" s="8" t="s">
        <v>248</v>
      </c>
      <c r="Z130" t="str">
        <f t="shared" si="8"/>
        <v/>
      </c>
      <c r="AA130" t="str">
        <f t="shared" si="9"/>
        <v>Priya Patel</v>
      </c>
      <c r="AB130" t="str">
        <f t="shared" si="10"/>
        <v>Pri002Be</v>
      </c>
      <c r="AC130" t="str">
        <f t="shared" si="13"/>
        <v>priya.patel@company.com</v>
      </c>
      <c r="AD130" t="str">
        <f t="shared" ca="1" si="14"/>
        <v/>
      </c>
      <c r="AE130">
        <f t="shared" si="11"/>
        <v>5</v>
      </c>
      <c r="AF130" t="str">
        <f t="shared" si="12"/>
        <v>On time</v>
      </c>
    </row>
    <row r="131" spans="4:32">
      <c r="D131" s="9" t="s">
        <v>561</v>
      </c>
      <c r="E131" s="10" t="s">
        <v>358</v>
      </c>
      <c r="F131" s="10" t="s">
        <v>280</v>
      </c>
      <c r="G131" s="10" t="s">
        <v>48</v>
      </c>
      <c r="H131" s="10" t="s">
        <v>134</v>
      </c>
      <c r="I131" s="10" t="s">
        <v>359</v>
      </c>
      <c r="J131" s="10" t="s">
        <v>239</v>
      </c>
      <c r="K131" s="10" t="s">
        <v>562</v>
      </c>
      <c r="L131" s="10" t="s">
        <v>291</v>
      </c>
      <c r="M131" s="10" t="s">
        <v>287</v>
      </c>
      <c r="N131" s="10" t="s">
        <v>15</v>
      </c>
      <c r="O131" s="10" t="s">
        <v>282</v>
      </c>
      <c r="P131" s="10">
        <v>11</v>
      </c>
      <c r="Q131" s="10">
        <v>3500</v>
      </c>
      <c r="R131" s="10">
        <v>5</v>
      </c>
      <c r="S131" s="10">
        <v>36575</v>
      </c>
      <c r="T131" s="10">
        <v>5</v>
      </c>
      <c r="U131" s="10" t="s">
        <v>254</v>
      </c>
      <c r="V131" s="10" t="s">
        <v>255</v>
      </c>
      <c r="W131" s="10" t="s">
        <v>360</v>
      </c>
      <c r="X131" s="10">
        <v>9296609782</v>
      </c>
      <c r="Y131" s="12" t="s">
        <v>265</v>
      </c>
      <c r="Z131" t="str">
        <f t="shared" ref="Z131:Z194" si="15">IF(OR(T131&lt;=2,Y131="Cancelled"),"Blacklisted",IF(AND(S131&gt;100000,T131&gt;=4,R131&lt;=10%,Y131="Completed"),"Platinum",IF(AND(S131&gt;=50000,T131&gt;=3,Y131="Completed"),"Gold",IF(AND(S131&lt;50000,Y131="Completed"),"Silver",""))))</f>
        <v>Blacklisted</v>
      </c>
      <c r="AA131" t="str">
        <f t="shared" ref="AA131:AA194" si="16">PROPER(TRIM(I131))</f>
        <v>Sneha Joshi</v>
      </c>
      <c r="AB131" t="str">
        <f t="shared" ref="AB131:AB194" si="17">LEFT(I131,3)&amp;MID(E131,2,3)&amp;LEFT(L131,2)</f>
        <v>Sne006Pu</v>
      </c>
      <c r="AC131" t="str">
        <f t="shared" si="13"/>
        <v>sneha.joshi@company.com</v>
      </c>
      <c r="AD131">
        <f t="shared" ca="1" si="14"/>
        <v>44</v>
      </c>
      <c r="AE131">
        <f t="shared" ref="AE131:AE194" si="18">IF(OR(G131="",H131=""),"",IFERROR(DATE(MID(H131,7,4),MID(H131,4,2),LEFT(H131,2))-DATE(MID(G131,7,4),MID(G131,4,2),LEFT(G131,2)),""))</f>
        <v>8</v>
      </c>
      <c r="AF131" t="str">
        <f t="shared" ref="AF131:AF194" si="19">IF(H131="","Pending",IF(AE131&lt;=5,"On time","Delayed"))</f>
        <v>Delayed</v>
      </c>
    </row>
    <row r="132" spans="4:32">
      <c r="D132" s="4" t="s">
        <v>563</v>
      </c>
      <c r="E132" s="5" t="s">
        <v>321</v>
      </c>
      <c r="F132" s="5" t="s">
        <v>267</v>
      </c>
      <c r="G132" s="5" t="s">
        <v>166</v>
      </c>
      <c r="H132" s="5" t="s">
        <v>564</v>
      </c>
      <c r="I132" s="5" t="s">
        <v>408</v>
      </c>
      <c r="J132" s="5" t="s">
        <v>239</v>
      </c>
      <c r="K132" s="6">
        <v>37837</v>
      </c>
      <c r="L132" s="5" t="s">
        <v>241</v>
      </c>
      <c r="M132" s="5" t="s">
        <v>242</v>
      </c>
      <c r="N132" s="5" t="s">
        <v>243</v>
      </c>
      <c r="O132" s="5" t="s">
        <v>271</v>
      </c>
      <c r="P132" s="5">
        <v>14</v>
      </c>
      <c r="Q132" s="5">
        <v>1200</v>
      </c>
      <c r="R132" s="5">
        <v>0</v>
      </c>
      <c r="S132" s="5">
        <v>16800</v>
      </c>
      <c r="T132" s="5">
        <v>5</v>
      </c>
      <c r="U132" s="5" t="s">
        <v>254</v>
      </c>
      <c r="V132" s="5" t="s">
        <v>263</v>
      </c>
      <c r="W132" s="5" t="s">
        <v>326</v>
      </c>
      <c r="X132" s="5">
        <v>9848259992</v>
      </c>
      <c r="Y132" s="8" t="s">
        <v>265</v>
      </c>
      <c r="Z132" t="str">
        <f t="shared" si="15"/>
        <v>Blacklisted</v>
      </c>
      <c r="AA132" t="str">
        <f t="shared" si="16"/>
        <v>Anita Gupta</v>
      </c>
      <c r="AB132" t="str">
        <f t="shared" si="17"/>
        <v>Ani004Be</v>
      </c>
      <c r="AC132" t="str">
        <f t="shared" ref="AC132:AC195" si="20">IF(ISNUMBER(SEARCH("@",W132)),LOWER(TRIM(W132)),"invalid email")</f>
        <v>anita.gupta@company.com</v>
      </c>
      <c r="AD132" t="str">
        <f t="shared" ca="1" si="14"/>
        <v/>
      </c>
      <c r="AE132">
        <f t="shared" si="18"/>
        <v>3</v>
      </c>
      <c r="AF132" t="str">
        <f t="shared" si="19"/>
        <v>On time</v>
      </c>
    </row>
    <row r="133" spans="4:32">
      <c r="D133" s="9" t="s">
        <v>565</v>
      </c>
      <c r="E133" s="10" t="s">
        <v>284</v>
      </c>
      <c r="F133" s="10" t="s">
        <v>347</v>
      </c>
      <c r="G133" s="10" t="s">
        <v>56</v>
      </c>
      <c r="H133" s="10" t="s">
        <v>108</v>
      </c>
      <c r="I133" s="10" t="s">
        <v>285</v>
      </c>
      <c r="J133" s="10" t="s">
        <v>239</v>
      </c>
      <c r="K133" s="10" t="s">
        <v>566</v>
      </c>
      <c r="L133" s="10" t="s">
        <v>260</v>
      </c>
      <c r="M133" s="10" t="s">
        <v>261</v>
      </c>
      <c r="N133" s="10" t="s">
        <v>295</v>
      </c>
      <c r="O133" s="10" t="s">
        <v>349</v>
      </c>
      <c r="P133" s="10">
        <v>11</v>
      </c>
      <c r="Q133" s="10">
        <v>20</v>
      </c>
      <c r="R133" s="10">
        <v>20</v>
      </c>
      <c r="S133" s="10">
        <v>176</v>
      </c>
      <c r="T133" s="10">
        <v>4</v>
      </c>
      <c r="U133" s="10" t="s">
        <v>245</v>
      </c>
      <c r="V133" s="10" t="s">
        <v>255</v>
      </c>
      <c r="W133" s="10" t="s">
        <v>308</v>
      </c>
      <c r="X133" s="10">
        <v>9254082295</v>
      </c>
      <c r="Y133" s="12" t="s">
        <v>257</v>
      </c>
      <c r="Z133" t="str">
        <f t="shared" si="15"/>
        <v>Silver</v>
      </c>
      <c r="AA133" t="str">
        <f t="shared" si="16"/>
        <v>Priya Patel</v>
      </c>
      <c r="AB133" t="str">
        <f t="shared" si="17"/>
        <v>Pri002De</v>
      </c>
      <c r="AC133" t="str">
        <f t="shared" si="20"/>
        <v>priya.patel@company.com</v>
      </c>
      <c r="AD133">
        <f t="shared" ref="AD133:AD196" ca="1" si="21">IF(K132="","",IFERROR(DATEDIF(IF(ISNUMBER(K132),K132,DATE(VALUE(RIGHT(K132,4)),VALUE(MID(K132,3,2)),VALUE(LEFT(K132,2)))),TODAY(),"Y"),""))</f>
        <v>23</v>
      </c>
      <c r="AE133">
        <f t="shared" si="18"/>
        <v>5</v>
      </c>
      <c r="AF133" t="str">
        <f t="shared" si="19"/>
        <v>On time</v>
      </c>
    </row>
    <row r="134" spans="4:32">
      <c r="D134" s="4" t="s">
        <v>567</v>
      </c>
      <c r="E134" s="5" t="s">
        <v>266</v>
      </c>
      <c r="F134" s="5" t="s">
        <v>258</v>
      </c>
      <c r="G134" s="6">
        <v>46116</v>
      </c>
      <c r="H134" s="6">
        <v>46299</v>
      </c>
      <c r="I134" s="5" t="s">
        <v>268</v>
      </c>
      <c r="J134" s="5" t="s">
        <v>269</v>
      </c>
      <c r="K134" s="5" t="s">
        <v>568</v>
      </c>
      <c r="L134" s="5" t="s">
        <v>291</v>
      </c>
      <c r="M134" s="5" t="s">
        <v>287</v>
      </c>
      <c r="N134" s="5" t="s">
        <v>243</v>
      </c>
      <c r="O134" s="5" t="s">
        <v>262</v>
      </c>
      <c r="P134" s="5">
        <v>6</v>
      </c>
      <c r="Q134" s="5">
        <v>12000</v>
      </c>
      <c r="R134" s="5">
        <v>10</v>
      </c>
      <c r="S134" s="5">
        <v>64800</v>
      </c>
      <c r="T134" s="5">
        <v>5</v>
      </c>
      <c r="U134" s="5" t="s">
        <v>277</v>
      </c>
      <c r="V134" s="5" t="s">
        <v>312</v>
      </c>
      <c r="W134" s="5" t="s">
        <v>273</v>
      </c>
      <c r="X134" s="5">
        <v>9687923860</v>
      </c>
      <c r="Y134" s="8" t="s">
        <v>257</v>
      </c>
      <c r="Z134" t="str">
        <f t="shared" si="15"/>
        <v>Gold</v>
      </c>
      <c r="AA134" t="str">
        <f t="shared" si="16"/>
        <v>Mohit Verma</v>
      </c>
      <c r="AB134" t="str">
        <f t="shared" si="17"/>
        <v>Moh009Pu</v>
      </c>
      <c r="AC134" t="str">
        <f t="shared" si="20"/>
        <v>mohit.verma@company.com</v>
      </c>
      <c r="AD134" t="str">
        <f t="shared" ca="1" si="21"/>
        <v/>
      </c>
      <c r="AE134" t="str">
        <f t="shared" si="18"/>
        <v/>
      </c>
      <c r="AF134" t="str">
        <f t="shared" si="19"/>
        <v>Delayed</v>
      </c>
    </row>
    <row r="135" spans="4:32">
      <c r="D135" s="9" t="s">
        <v>569</v>
      </c>
      <c r="E135" s="10" t="s">
        <v>266</v>
      </c>
      <c r="F135" s="10" t="s">
        <v>250</v>
      </c>
      <c r="G135" s="11">
        <v>45904</v>
      </c>
      <c r="H135" s="10" t="s">
        <v>67</v>
      </c>
      <c r="I135" s="10" t="s">
        <v>268</v>
      </c>
      <c r="J135" s="10" t="s">
        <v>269</v>
      </c>
      <c r="K135" s="11">
        <v>34519</v>
      </c>
      <c r="L135" s="10" t="s">
        <v>252</v>
      </c>
      <c r="M135" s="10" t="s">
        <v>242</v>
      </c>
      <c r="N135" s="10" t="s">
        <v>15</v>
      </c>
      <c r="O135" s="10" t="s">
        <v>253</v>
      </c>
      <c r="P135" s="10">
        <v>6</v>
      </c>
      <c r="Q135" s="10">
        <v>2200</v>
      </c>
      <c r="R135" s="10">
        <v>5</v>
      </c>
      <c r="S135" s="10">
        <v>12540</v>
      </c>
      <c r="T135" s="10">
        <v>4</v>
      </c>
      <c r="U135" s="10" t="s">
        <v>254</v>
      </c>
      <c r="V135" s="10" t="s">
        <v>263</v>
      </c>
      <c r="W135" s="10" t="s">
        <v>273</v>
      </c>
      <c r="X135" s="10">
        <v>9426459149</v>
      </c>
      <c r="Y135" s="12" t="s">
        <v>257</v>
      </c>
      <c r="Z135" t="str">
        <f t="shared" si="15"/>
        <v>Silver</v>
      </c>
      <c r="AA135" t="str">
        <f t="shared" si="16"/>
        <v>Mohit Verma</v>
      </c>
      <c r="AB135" t="str">
        <f t="shared" si="17"/>
        <v>Moh009Hy</v>
      </c>
      <c r="AC135" t="str">
        <f t="shared" si="20"/>
        <v>mohit.verma@company.com</v>
      </c>
      <c r="AD135" t="str">
        <f t="shared" ca="1" si="21"/>
        <v/>
      </c>
      <c r="AE135" t="str">
        <f t="shared" si="18"/>
        <v/>
      </c>
      <c r="AF135" t="str">
        <f t="shared" si="19"/>
        <v>Delayed</v>
      </c>
    </row>
    <row r="136" spans="4:32">
      <c r="D136" s="4" t="s">
        <v>570</v>
      </c>
      <c r="E136" s="5" t="s">
        <v>235</v>
      </c>
      <c r="F136" s="5" t="s">
        <v>280</v>
      </c>
      <c r="G136" s="5" t="s">
        <v>35</v>
      </c>
      <c r="H136" s="5" t="s">
        <v>167</v>
      </c>
      <c r="I136" s="5" t="s">
        <v>318</v>
      </c>
      <c r="J136" s="5" t="s">
        <v>239</v>
      </c>
      <c r="K136" s="6">
        <v>37662</v>
      </c>
      <c r="L136" s="5" t="s">
        <v>260</v>
      </c>
      <c r="M136" s="5" t="s">
        <v>261</v>
      </c>
      <c r="N136" s="5" t="s">
        <v>15</v>
      </c>
      <c r="O136" s="5" t="s">
        <v>282</v>
      </c>
      <c r="P136" s="5">
        <v>3</v>
      </c>
      <c r="Q136" s="5">
        <v>3500</v>
      </c>
      <c r="R136" s="5">
        <v>5</v>
      </c>
      <c r="S136" s="5">
        <v>9975</v>
      </c>
      <c r="T136" s="5">
        <v>4</v>
      </c>
      <c r="U136" s="5" t="s">
        <v>245</v>
      </c>
      <c r="V136" s="5" t="s">
        <v>263</v>
      </c>
      <c r="W136" s="5" t="s">
        <v>247</v>
      </c>
      <c r="X136" s="5">
        <v>9155925975</v>
      </c>
      <c r="Y136" s="8" t="s">
        <v>248</v>
      </c>
      <c r="Z136" t="str">
        <f t="shared" si="15"/>
        <v/>
      </c>
      <c r="AA136" t="str">
        <f t="shared" si="16"/>
        <v>Pooja Shah</v>
      </c>
      <c r="AB136" t="str">
        <f t="shared" si="17"/>
        <v>Poo010De</v>
      </c>
      <c r="AC136" t="str">
        <f t="shared" si="20"/>
        <v>pooja.shah@company.com</v>
      </c>
      <c r="AD136">
        <f t="shared" ca="1" si="21"/>
        <v>32</v>
      </c>
      <c r="AE136">
        <f t="shared" si="18"/>
        <v>12</v>
      </c>
      <c r="AF136" t="str">
        <f t="shared" si="19"/>
        <v>Delayed</v>
      </c>
    </row>
    <row r="137" spans="4:32">
      <c r="D137" s="9" t="s">
        <v>571</v>
      </c>
      <c r="E137" s="10" t="s">
        <v>266</v>
      </c>
      <c r="F137" s="10" t="s">
        <v>322</v>
      </c>
      <c r="G137" s="11">
        <v>45875</v>
      </c>
      <c r="H137" s="11">
        <v>45936</v>
      </c>
      <c r="I137" s="10" t="s">
        <v>268</v>
      </c>
      <c r="J137" s="10" t="s">
        <v>269</v>
      </c>
      <c r="K137" s="10" t="s">
        <v>572</v>
      </c>
      <c r="L137" s="10" t="s">
        <v>252</v>
      </c>
      <c r="M137" s="10" t="s">
        <v>242</v>
      </c>
      <c r="N137" s="10" t="s">
        <v>15</v>
      </c>
      <c r="O137" s="10" t="s">
        <v>325</v>
      </c>
      <c r="P137" s="10">
        <v>5</v>
      </c>
      <c r="Q137" s="10">
        <v>8500</v>
      </c>
      <c r="R137" s="10">
        <v>20</v>
      </c>
      <c r="S137" s="10">
        <v>34000</v>
      </c>
      <c r="T137" s="10">
        <v>5</v>
      </c>
      <c r="U137" s="10" t="s">
        <v>254</v>
      </c>
      <c r="V137" s="10" t="s">
        <v>246</v>
      </c>
      <c r="W137" s="10" t="s">
        <v>273</v>
      </c>
      <c r="X137" s="10">
        <v>9945247701</v>
      </c>
      <c r="Y137" s="12" t="s">
        <v>248</v>
      </c>
      <c r="Z137" t="str">
        <f t="shared" si="15"/>
        <v/>
      </c>
      <c r="AA137" t="str">
        <f t="shared" si="16"/>
        <v>Mohit Verma</v>
      </c>
      <c r="AB137" t="str">
        <f t="shared" si="17"/>
        <v>Moh009Hy</v>
      </c>
      <c r="AC137" t="str">
        <f t="shared" si="20"/>
        <v>mohit.verma@company.com</v>
      </c>
      <c r="AD137">
        <f t="shared" ca="1" si="21"/>
        <v>23</v>
      </c>
      <c r="AE137" t="str">
        <f t="shared" si="18"/>
        <v/>
      </c>
      <c r="AF137" t="str">
        <f t="shared" si="19"/>
        <v>Delayed</v>
      </c>
    </row>
    <row r="138" spans="4:32">
      <c r="D138" s="4" t="s">
        <v>573</v>
      </c>
      <c r="E138" s="5" t="s">
        <v>249</v>
      </c>
      <c r="F138" s="5" t="s">
        <v>280</v>
      </c>
      <c r="G138" s="5" t="s">
        <v>145</v>
      </c>
      <c r="H138" s="6">
        <v>45665</v>
      </c>
      <c r="I138" s="5" t="s">
        <v>251</v>
      </c>
      <c r="J138" s="5" t="s">
        <v>239</v>
      </c>
      <c r="K138" s="6">
        <v>29106</v>
      </c>
      <c r="L138" s="5" t="s">
        <v>241</v>
      </c>
      <c r="M138" s="5" t="s">
        <v>242</v>
      </c>
      <c r="N138" s="5" t="s">
        <v>15</v>
      </c>
      <c r="O138" s="5" t="s">
        <v>282</v>
      </c>
      <c r="P138" s="5">
        <v>14</v>
      </c>
      <c r="Q138" s="5">
        <v>3500</v>
      </c>
      <c r="R138" s="5">
        <v>10</v>
      </c>
      <c r="S138" s="5">
        <v>44100</v>
      </c>
      <c r="T138" s="5">
        <v>4</v>
      </c>
      <c r="U138" s="5" t="s">
        <v>277</v>
      </c>
      <c r="V138" s="5" t="s">
        <v>255</v>
      </c>
      <c r="W138" s="5" t="s">
        <v>264</v>
      </c>
      <c r="X138" s="5">
        <v>9597378398</v>
      </c>
      <c r="Y138" s="8" t="s">
        <v>265</v>
      </c>
      <c r="Z138" t="str">
        <f t="shared" si="15"/>
        <v>Blacklisted</v>
      </c>
      <c r="AA138" t="str">
        <f t="shared" si="16"/>
        <v>Kavya Nair</v>
      </c>
      <c r="AB138" t="str">
        <f t="shared" si="17"/>
        <v>Kav008Be</v>
      </c>
      <c r="AC138" t="str">
        <f t="shared" si="20"/>
        <v>kavya.nair@company.com</v>
      </c>
      <c r="AD138" t="str">
        <f t="shared" ca="1" si="21"/>
        <v/>
      </c>
      <c r="AE138" t="str">
        <f t="shared" si="18"/>
        <v/>
      </c>
      <c r="AF138" t="str">
        <f t="shared" si="19"/>
        <v>Delayed</v>
      </c>
    </row>
    <row r="139" spans="4:32">
      <c r="D139" s="9" t="s">
        <v>574</v>
      </c>
      <c r="E139" s="10" t="s">
        <v>392</v>
      </c>
      <c r="F139" s="10" t="s">
        <v>362</v>
      </c>
      <c r="G139" s="10" t="s">
        <v>40</v>
      </c>
      <c r="H139" s="10" t="s">
        <v>96</v>
      </c>
      <c r="I139" s="10" t="s">
        <v>323</v>
      </c>
      <c r="J139" s="10" t="s">
        <v>269</v>
      </c>
      <c r="K139" s="10" t="s">
        <v>575</v>
      </c>
      <c r="L139" s="10" t="s">
        <v>306</v>
      </c>
      <c r="M139" s="10" t="s">
        <v>287</v>
      </c>
      <c r="N139" s="10" t="s">
        <v>295</v>
      </c>
      <c r="O139" s="10" t="s">
        <v>363</v>
      </c>
      <c r="P139" s="10">
        <v>8</v>
      </c>
      <c r="Q139" s="10">
        <v>45</v>
      </c>
      <c r="R139" s="10">
        <v>0</v>
      </c>
      <c r="S139" s="10">
        <v>360</v>
      </c>
      <c r="T139" s="10">
        <v>1</v>
      </c>
      <c r="U139" s="10" t="s">
        <v>272</v>
      </c>
      <c r="V139" s="10" t="s">
        <v>312</v>
      </c>
      <c r="W139" s="10" t="s">
        <v>395</v>
      </c>
      <c r="X139" s="10">
        <v>9343963736</v>
      </c>
      <c r="Y139" s="12" t="s">
        <v>265</v>
      </c>
      <c r="Z139" t="str">
        <f t="shared" si="15"/>
        <v>Blacklisted</v>
      </c>
      <c r="AA139" t="str">
        <f t="shared" si="16"/>
        <v>Amit Sharma</v>
      </c>
      <c r="AB139" t="str">
        <f t="shared" si="17"/>
        <v>Ami001Ah</v>
      </c>
      <c r="AC139" t="str">
        <f t="shared" si="20"/>
        <v>amit.sharma@company.com</v>
      </c>
      <c r="AD139">
        <f t="shared" ca="1" si="21"/>
        <v>47</v>
      </c>
      <c r="AE139">
        <f t="shared" si="18"/>
        <v>5</v>
      </c>
      <c r="AF139" t="str">
        <f t="shared" si="19"/>
        <v>On time</v>
      </c>
    </row>
    <row r="140" spans="4:32">
      <c r="D140" s="4" t="s">
        <v>576</v>
      </c>
      <c r="E140" s="5" t="s">
        <v>346</v>
      </c>
      <c r="F140" s="5" t="s">
        <v>362</v>
      </c>
      <c r="G140" s="6">
        <v>45749</v>
      </c>
      <c r="H140" s="6">
        <v>45779</v>
      </c>
      <c r="I140" s="5" t="s">
        <v>348</v>
      </c>
      <c r="J140" s="5" t="s">
        <v>269</v>
      </c>
      <c r="K140" s="5" t="s">
        <v>577</v>
      </c>
      <c r="L140" s="5" t="s">
        <v>260</v>
      </c>
      <c r="M140" s="5" t="s">
        <v>261</v>
      </c>
      <c r="N140" s="5" t="s">
        <v>295</v>
      </c>
      <c r="O140" s="5" t="s">
        <v>363</v>
      </c>
      <c r="P140" s="5">
        <v>11</v>
      </c>
      <c r="Q140" s="5">
        <v>45</v>
      </c>
      <c r="R140" s="5">
        <v>5</v>
      </c>
      <c r="S140" s="5">
        <v>470.25</v>
      </c>
      <c r="T140" s="5">
        <v>3</v>
      </c>
      <c r="U140" s="5" t="s">
        <v>272</v>
      </c>
      <c r="V140" s="5" t="s">
        <v>263</v>
      </c>
      <c r="W140" s="5" t="s">
        <v>350</v>
      </c>
      <c r="X140" s="5">
        <v>9548742147</v>
      </c>
      <c r="Y140" s="8" t="s">
        <v>257</v>
      </c>
      <c r="Z140" t="str">
        <f t="shared" si="15"/>
        <v>Silver</v>
      </c>
      <c r="AA140" t="str">
        <f t="shared" si="16"/>
        <v>Vikas Mehta</v>
      </c>
      <c r="AB140" t="str">
        <f t="shared" si="17"/>
        <v>Vik005De</v>
      </c>
      <c r="AC140" t="str">
        <f t="shared" si="20"/>
        <v>vikas.mehta@company.com</v>
      </c>
      <c r="AD140" t="str">
        <f t="shared" ca="1" si="21"/>
        <v/>
      </c>
      <c r="AE140" t="str">
        <f t="shared" si="18"/>
        <v/>
      </c>
      <c r="AF140" t="str">
        <f t="shared" si="19"/>
        <v>Delayed</v>
      </c>
    </row>
    <row r="141" spans="4:32">
      <c r="D141" s="9" t="s">
        <v>578</v>
      </c>
      <c r="E141" s="10" t="s">
        <v>275</v>
      </c>
      <c r="F141" s="10" t="s">
        <v>236</v>
      </c>
      <c r="G141" s="10" t="s">
        <v>106</v>
      </c>
      <c r="H141" s="10" t="s">
        <v>579</v>
      </c>
      <c r="I141" s="10" t="s">
        <v>328</v>
      </c>
      <c r="J141" s="10" t="s">
        <v>269</v>
      </c>
      <c r="K141" s="10" t="s">
        <v>580</v>
      </c>
      <c r="L141" s="10" t="s">
        <v>306</v>
      </c>
      <c r="M141" s="10" t="s">
        <v>287</v>
      </c>
      <c r="N141" s="10" t="s">
        <v>243</v>
      </c>
      <c r="O141" s="10" t="s">
        <v>244</v>
      </c>
      <c r="P141" s="10">
        <v>19</v>
      </c>
      <c r="Q141" s="10">
        <v>55000</v>
      </c>
      <c r="R141" s="10">
        <v>0</v>
      </c>
      <c r="S141" s="10">
        <v>1045000</v>
      </c>
      <c r="T141" s="10">
        <v>2</v>
      </c>
      <c r="U141" s="10" t="s">
        <v>272</v>
      </c>
      <c r="V141" s="10" t="s">
        <v>255</v>
      </c>
      <c r="W141" s="10" t="s">
        <v>278</v>
      </c>
      <c r="X141" s="10">
        <v>9912945471</v>
      </c>
      <c r="Y141" s="12" t="s">
        <v>265</v>
      </c>
      <c r="Z141" t="str">
        <f t="shared" si="15"/>
        <v>Blacklisted</v>
      </c>
      <c r="AA141" t="str">
        <f t="shared" si="16"/>
        <v>Arjun Rao</v>
      </c>
      <c r="AB141" t="str">
        <f t="shared" si="17"/>
        <v>Arj007Ah</v>
      </c>
      <c r="AC141" t="str">
        <f t="shared" si="20"/>
        <v>arjun.rao@company.com</v>
      </c>
      <c r="AD141" t="str">
        <f t="shared" ca="1" si="21"/>
        <v/>
      </c>
      <c r="AE141">
        <f t="shared" si="18"/>
        <v>8</v>
      </c>
      <c r="AF141" t="str">
        <f t="shared" si="19"/>
        <v>Delayed</v>
      </c>
    </row>
    <row r="142" spans="4:32">
      <c r="D142" s="4" t="s">
        <v>581</v>
      </c>
      <c r="E142" s="5" t="s">
        <v>235</v>
      </c>
      <c r="F142" s="5" t="s">
        <v>280</v>
      </c>
      <c r="G142" s="6">
        <v>45965</v>
      </c>
      <c r="H142" s="5" t="s">
        <v>67</v>
      </c>
      <c r="I142" s="5" t="s">
        <v>318</v>
      </c>
      <c r="J142" s="5" t="s">
        <v>239</v>
      </c>
      <c r="K142" s="6">
        <v>29099</v>
      </c>
      <c r="L142" s="5" t="s">
        <v>291</v>
      </c>
      <c r="M142" s="5" t="s">
        <v>287</v>
      </c>
      <c r="N142" s="5" t="s">
        <v>15</v>
      </c>
      <c r="O142" s="5" t="s">
        <v>282</v>
      </c>
      <c r="P142" s="5">
        <v>20</v>
      </c>
      <c r="Q142" s="5">
        <v>3500</v>
      </c>
      <c r="R142" s="5">
        <v>20</v>
      </c>
      <c r="S142" s="5">
        <v>56000</v>
      </c>
      <c r="T142" s="5">
        <v>4</v>
      </c>
      <c r="U142" s="5" t="s">
        <v>245</v>
      </c>
      <c r="V142" s="5" t="s">
        <v>263</v>
      </c>
      <c r="W142" s="5" t="s">
        <v>247</v>
      </c>
      <c r="X142" s="5">
        <v>9912630684</v>
      </c>
      <c r="Y142" s="8" t="s">
        <v>257</v>
      </c>
      <c r="Z142" t="str">
        <f t="shared" si="15"/>
        <v>Gold</v>
      </c>
      <c r="AA142" t="str">
        <f t="shared" si="16"/>
        <v>Pooja Shah</v>
      </c>
      <c r="AB142" t="str">
        <f t="shared" si="17"/>
        <v>Poo010Pu</v>
      </c>
      <c r="AC142" t="str">
        <f t="shared" si="20"/>
        <v>pooja.shah@company.com</v>
      </c>
      <c r="AD142" t="str">
        <f t="shared" ca="1" si="21"/>
        <v/>
      </c>
      <c r="AE142" t="str">
        <f t="shared" si="18"/>
        <v/>
      </c>
      <c r="AF142" t="str">
        <f t="shared" si="19"/>
        <v>Delayed</v>
      </c>
    </row>
    <row r="143" spans="4:32">
      <c r="D143" s="9" t="s">
        <v>582</v>
      </c>
      <c r="E143" s="10" t="s">
        <v>275</v>
      </c>
      <c r="F143" s="10" t="s">
        <v>250</v>
      </c>
      <c r="G143" s="11">
        <v>45754</v>
      </c>
      <c r="H143" s="10" t="s">
        <v>29</v>
      </c>
      <c r="I143" s="10" t="s">
        <v>328</v>
      </c>
      <c r="J143" s="10" t="s">
        <v>269</v>
      </c>
      <c r="K143" s="10" t="s">
        <v>583</v>
      </c>
      <c r="L143" s="10" t="s">
        <v>291</v>
      </c>
      <c r="M143" s="10" t="s">
        <v>287</v>
      </c>
      <c r="N143" s="10" t="s">
        <v>15</v>
      </c>
      <c r="O143" s="10" t="s">
        <v>253</v>
      </c>
      <c r="P143" s="10">
        <v>17</v>
      </c>
      <c r="Q143" s="10">
        <v>2200</v>
      </c>
      <c r="R143" s="10">
        <v>0</v>
      </c>
      <c r="S143" s="10">
        <v>37400</v>
      </c>
      <c r="T143" s="10">
        <v>5</v>
      </c>
      <c r="U143" s="10" t="s">
        <v>245</v>
      </c>
      <c r="V143" s="10" t="s">
        <v>255</v>
      </c>
      <c r="W143" s="10" t="s">
        <v>278</v>
      </c>
      <c r="X143" s="10">
        <v>9114017237</v>
      </c>
      <c r="Y143" s="12" t="s">
        <v>248</v>
      </c>
      <c r="Z143" t="str">
        <f t="shared" si="15"/>
        <v/>
      </c>
      <c r="AA143" t="str">
        <f t="shared" si="16"/>
        <v>Arjun Rao</v>
      </c>
      <c r="AB143" t="str">
        <f t="shared" si="17"/>
        <v>Arj007Pu</v>
      </c>
      <c r="AC143" t="str">
        <f t="shared" si="20"/>
        <v>arjun.rao@company.com</v>
      </c>
      <c r="AD143">
        <f t="shared" ca="1" si="21"/>
        <v>47</v>
      </c>
      <c r="AE143" t="str">
        <f t="shared" si="18"/>
        <v/>
      </c>
      <c r="AF143" t="str">
        <f t="shared" si="19"/>
        <v>Delayed</v>
      </c>
    </row>
    <row r="144" spans="4:32">
      <c r="D144" s="4" t="s">
        <v>584</v>
      </c>
      <c r="E144" s="5" t="s">
        <v>275</v>
      </c>
      <c r="F144" s="5" t="s">
        <v>267</v>
      </c>
      <c r="G144" s="5" t="s">
        <v>106</v>
      </c>
      <c r="H144" s="5" t="s">
        <v>585</v>
      </c>
      <c r="I144" s="5" t="s">
        <v>328</v>
      </c>
      <c r="J144" s="5" t="s">
        <v>269</v>
      </c>
      <c r="K144" s="6">
        <v>28129</v>
      </c>
      <c r="L144" s="5" t="s">
        <v>291</v>
      </c>
      <c r="M144" s="5" t="s">
        <v>287</v>
      </c>
      <c r="N144" s="5" t="s">
        <v>243</v>
      </c>
      <c r="O144" s="5" t="s">
        <v>271</v>
      </c>
      <c r="P144" s="5">
        <v>10</v>
      </c>
      <c r="Q144" s="5">
        <v>1200</v>
      </c>
      <c r="R144" s="5">
        <v>5</v>
      </c>
      <c r="S144" s="5">
        <v>11400</v>
      </c>
      <c r="T144" s="5">
        <v>2</v>
      </c>
      <c r="U144" s="5" t="s">
        <v>254</v>
      </c>
      <c r="V144" s="5" t="s">
        <v>263</v>
      </c>
      <c r="W144" s="5" t="s">
        <v>278</v>
      </c>
      <c r="X144" s="5">
        <v>9872471236</v>
      </c>
      <c r="Y144" s="8" t="s">
        <v>265</v>
      </c>
      <c r="Z144" t="str">
        <f t="shared" si="15"/>
        <v>Blacklisted</v>
      </c>
      <c r="AA144" t="str">
        <f t="shared" si="16"/>
        <v>Arjun Rao</v>
      </c>
      <c r="AB144" t="str">
        <f t="shared" si="17"/>
        <v>Arj007Pu</v>
      </c>
      <c r="AC144" t="str">
        <f t="shared" si="20"/>
        <v>arjun.rao@company.com</v>
      </c>
      <c r="AD144" t="str">
        <f t="shared" ca="1" si="21"/>
        <v/>
      </c>
      <c r="AE144">
        <f t="shared" si="18"/>
        <v>7</v>
      </c>
      <c r="AF144" t="str">
        <f t="shared" si="19"/>
        <v>Delayed</v>
      </c>
    </row>
    <row r="145" spans="4:32">
      <c r="D145" s="9" t="s">
        <v>586</v>
      </c>
      <c r="E145" s="10" t="s">
        <v>346</v>
      </c>
      <c r="F145" s="10" t="s">
        <v>294</v>
      </c>
      <c r="G145" s="10" t="s">
        <v>62</v>
      </c>
      <c r="H145" s="10" t="s">
        <v>73</v>
      </c>
      <c r="I145" s="10" t="s">
        <v>348</v>
      </c>
      <c r="J145" s="10" t="s">
        <v>269</v>
      </c>
      <c r="K145" s="11">
        <v>30414</v>
      </c>
      <c r="L145" s="10" t="s">
        <v>252</v>
      </c>
      <c r="M145" s="10" t="s">
        <v>242</v>
      </c>
      <c r="N145" s="10" t="s">
        <v>295</v>
      </c>
      <c r="O145" s="10" t="s">
        <v>296</v>
      </c>
      <c r="P145" s="10">
        <v>3</v>
      </c>
      <c r="Q145" s="10">
        <v>60</v>
      </c>
      <c r="R145" s="10">
        <v>0</v>
      </c>
      <c r="S145" s="10">
        <v>180</v>
      </c>
      <c r="T145" s="10">
        <v>4</v>
      </c>
      <c r="U145" s="10" t="s">
        <v>245</v>
      </c>
      <c r="V145" s="10" t="s">
        <v>312</v>
      </c>
      <c r="W145" s="10" t="s">
        <v>350</v>
      </c>
      <c r="X145" s="10">
        <v>9461383824</v>
      </c>
      <c r="Y145" s="12" t="s">
        <v>257</v>
      </c>
      <c r="Z145" t="str">
        <f t="shared" si="15"/>
        <v>Silver</v>
      </c>
      <c r="AA145" t="str">
        <f t="shared" si="16"/>
        <v>Vikas Mehta</v>
      </c>
      <c r="AB145" t="str">
        <f t="shared" si="17"/>
        <v>Vik005Hy</v>
      </c>
      <c r="AC145" t="str">
        <f t="shared" si="20"/>
        <v>vikas.mehta@company.com</v>
      </c>
      <c r="AD145">
        <f t="shared" ca="1" si="21"/>
        <v>49</v>
      </c>
      <c r="AE145">
        <f t="shared" si="18"/>
        <v>1</v>
      </c>
      <c r="AF145" t="str">
        <f t="shared" si="19"/>
        <v>On time</v>
      </c>
    </row>
    <row r="146" spans="4:32">
      <c r="D146" s="4" t="s">
        <v>587</v>
      </c>
      <c r="E146" s="5" t="s">
        <v>235</v>
      </c>
      <c r="F146" s="5" t="s">
        <v>250</v>
      </c>
      <c r="G146" s="6">
        <v>45940</v>
      </c>
      <c r="H146" s="5" t="s">
        <v>105</v>
      </c>
      <c r="I146" s="5" t="s">
        <v>318</v>
      </c>
      <c r="J146" s="5" t="s">
        <v>239</v>
      </c>
      <c r="K146" s="6">
        <v>28675</v>
      </c>
      <c r="L146" s="5" t="s">
        <v>286</v>
      </c>
      <c r="M146" s="5" t="s">
        <v>287</v>
      </c>
      <c r="N146" s="5" t="s">
        <v>15</v>
      </c>
      <c r="O146" s="5" t="s">
        <v>253</v>
      </c>
      <c r="P146" s="5">
        <v>18</v>
      </c>
      <c r="Q146" s="5">
        <v>2200</v>
      </c>
      <c r="R146" s="5">
        <v>10</v>
      </c>
      <c r="S146" s="5">
        <v>35640</v>
      </c>
      <c r="T146" s="5">
        <v>1</v>
      </c>
      <c r="U146" s="5" t="s">
        <v>272</v>
      </c>
      <c r="V146" s="5" t="s">
        <v>312</v>
      </c>
      <c r="W146" s="5" t="s">
        <v>247</v>
      </c>
      <c r="X146" s="5">
        <v>9243407457</v>
      </c>
      <c r="Y146" s="8" t="s">
        <v>265</v>
      </c>
      <c r="Z146" t="str">
        <f t="shared" si="15"/>
        <v>Blacklisted</v>
      </c>
      <c r="AA146" t="str">
        <f t="shared" si="16"/>
        <v>Pooja Shah</v>
      </c>
      <c r="AB146" t="str">
        <f t="shared" si="17"/>
        <v>Poo010Mu</v>
      </c>
      <c r="AC146" t="str">
        <f t="shared" si="20"/>
        <v>pooja.shah@company.com</v>
      </c>
      <c r="AD146">
        <f t="shared" ca="1" si="21"/>
        <v>43</v>
      </c>
      <c r="AE146" t="str">
        <f t="shared" si="18"/>
        <v/>
      </c>
      <c r="AF146" t="str">
        <f t="shared" si="19"/>
        <v>Delayed</v>
      </c>
    </row>
    <row r="147" spans="4:32">
      <c r="D147" s="9" t="s">
        <v>588</v>
      </c>
      <c r="E147" s="10" t="s">
        <v>266</v>
      </c>
      <c r="F147" s="10" t="s">
        <v>294</v>
      </c>
      <c r="G147" s="11">
        <v>46206</v>
      </c>
      <c r="H147" s="11">
        <v>46298</v>
      </c>
      <c r="I147" s="10" t="s">
        <v>268</v>
      </c>
      <c r="J147" s="10" t="s">
        <v>269</v>
      </c>
      <c r="K147" s="11">
        <v>30409</v>
      </c>
      <c r="L147" s="10" t="s">
        <v>260</v>
      </c>
      <c r="M147" s="10" t="s">
        <v>261</v>
      </c>
      <c r="N147" s="10" t="s">
        <v>295</v>
      </c>
      <c r="O147" s="10" t="s">
        <v>296</v>
      </c>
      <c r="P147" s="10">
        <v>18</v>
      </c>
      <c r="Q147" s="10">
        <v>60</v>
      </c>
      <c r="R147" s="10">
        <v>5</v>
      </c>
      <c r="S147" s="10">
        <v>1026</v>
      </c>
      <c r="T147" s="10">
        <v>3</v>
      </c>
      <c r="U147" s="10" t="s">
        <v>272</v>
      </c>
      <c r="V147" s="10" t="s">
        <v>263</v>
      </c>
      <c r="W147" s="10" t="s">
        <v>273</v>
      </c>
      <c r="X147" s="10">
        <v>9418672379</v>
      </c>
      <c r="Y147" s="12" t="s">
        <v>248</v>
      </c>
      <c r="Z147" t="str">
        <f t="shared" si="15"/>
        <v/>
      </c>
      <c r="AA147" t="str">
        <f t="shared" si="16"/>
        <v>Mohit Verma</v>
      </c>
      <c r="AB147" t="str">
        <f t="shared" si="17"/>
        <v>Moh009De</v>
      </c>
      <c r="AC147" t="str">
        <f t="shared" si="20"/>
        <v>mohit.verma@company.com</v>
      </c>
      <c r="AD147">
        <f t="shared" ca="1" si="21"/>
        <v>48</v>
      </c>
      <c r="AE147" t="str">
        <f t="shared" si="18"/>
        <v/>
      </c>
      <c r="AF147" t="str">
        <f t="shared" si="19"/>
        <v>Delayed</v>
      </c>
    </row>
    <row r="148" spans="4:32">
      <c r="D148" s="4" t="s">
        <v>589</v>
      </c>
      <c r="E148" s="5" t="s">
        <v>299</v>
      </c>
      <c r="F148" s="5" t="s">
        <v>236</v>
      </c>
      <c r="G148" s="5" t="s">
        <v>49</v>
      </c>
      <c r="H148" s="5" t="s">
        <v>125</v>
      </c>
      <c r="I148" s="5" t="s">
        <v>301</v>
      </c>
      <c r="J148" s="5" t="s">
        <v>269</v>
      </c>
      <c r="K148" s="5" t="s">
        <v>590</v>
      </c>
      <c r="L148" s="5" t="s">
        <v>291</v>
      </c>
      <c r="M148" s="5" t="s">
        <v>287</v>
      </c>
      <c r="N148" s="5" t="s">
        <v>243</v>
      </c>
      <c r="O148" s="5" t="s">
        <v>244</v>
      </c>
      <c r="P148" s="5">
        <v>11</v>
      </c>
      <c r="Q148" s="5">
        <v>55000</v>
      </c>
      <c r="R148" s="5">
        <v>15</v>
      </c>
      <c r="S148" s="5">
        <v>514250</v>
      </c>
      <c r="T148" s="5">
        <v>4</v>
      </c>
      <c r="U148" s="5" t="s">
        <v>277</v>
      </c>
      <c r="V148" s="5" t="s">
        <v>292</v>
      </c>
      <c r="W148" s="5" t="s">
        <v>302</v>
      </c>
      <c r="X148" s="5">
        <v>9222733065</v>
      </c>
      <c r="Y148" s="8" t="s">
        <v>265</v>
      </c>
      <c r="Z148" t="str">
        <f t="shared" si="15"/>
        <v>Blacklisted</v>
      </c>
      <c r="AA148" t="str">
        <f t="shared" si="16"/>
        <v>Rohit Singh</v>
      </c>
      <c r="AB148" t="str">
        <f t="shared" si="17"/>
        <v>Roh003Pu</v>
      </c>
      <c r="AC148" t="str">
        <f t="shared" si="20"/>
        <v>rohit.singh@company.com</v>
      </c>
      <c r="AD148">
        <f t="shared" ca="1" si="21"/>
        <v>43</v>
      </c>
      <c r="AE148">
        <f t="shared" si="18"/>
        <v>7</v>
      </c>
      <c r="AF148" t="str">
        <f t="shared" si="19"/>
        <v>Delayed</v>
      </c>
    </row>
    <row r="149" spans="4:32">
      <c r="D149" s="9" t="s">
        <v>591</v>
      </c>
      <c r="E149" s="10" t="s">
        <v>358</v>
      </c>
      <c r="F149" s="10" t="s">
        <v>322</v>
      </c>
      <c r="G149" s="10" t="s">
        <v>127</v>
      </c>
      <c r="H149" s="11">
        <v>46082</v>
      </c>
      <c r="I149" s="10" t="s">
        <v>359</v>
      </c>
      <c r="J149" s="10" t="s">
        <v>239</v>
      </c>
      <c r="K149" s="10" t="s">
        <v>592</v>
      </c>
      <c r="L149" s="10" t="s">
        <v>379</v>
      </c>
      <c r="M149" s="10" t="s">
        <v>21</v>
      </c>
      <c r="N149" s="10" t="s">
        <v>15</v>
      </c>
      <c r="O149" s="10" t="s">
        <v>325</v>
      </c>
      <c r="P149" s="10">
        <v>5</v>
      </c>
      <c r="Q149" s="10">
        <v>8500</v>
      </c>
      <c r="R149" s="10">
        <v>5</v>
      </c>
      <c r="S149" s="10">
        <v>40375</v>
      </c>
      <c r="T149" s="10">
        <v>4</v>
      </c>
      <c r="U149" s="10" t="s">
        <v>254</v>
      </c>
      <c r="V149" s="10" t="s">
        <v>312</v>
      </c>
      <c r="W149" s="10" t="s">
        <v>360</v>
      </c>
      <c r="X149" s="10">
        <v>9684246902</v>
      </c>
      <c r="Y149" s="12" t="s">
        <v>257</v>
      </c>
      <c r="Z149" t="str">
        <f t="shared" si="15"/>
        <v>Silver</v>
      </c>
      <c r="AA149" t="str">
        <f t="shared" si="16"/>
        <v>Sneha Joshi</v>
      </c>
      <c r="AB149" t="str">
        <f t="shared" si="17"/>
        <v>Sne006Ko</v>
      </c>
      <c r="AC149" t="str">
        <f t="shared" si="20"/>
        <v>sneha.joshi@company.com</v>
      </c>
      <c r="AD149" t="str">
        <f t="shared" ca="1" si="21"/>
        <v/>
      </c>
      <c r="AE149" t="str">
        <f t="shared" si="18"/>
        <v/>
      </c>
      <c r="AF149" t="str">
        <f t="shared" si="19"/>
        <v>Delayed</v>
      </c>
    </row>
    <row r="150" spans="4:32">
      <c r="D150" s="4" t="s">
        <v>335</v>
      </c>
      <c r="E150" s="5" t="s">
        <v>284</v>
      </c>
      <c r="F150" s="5" t="s">
        <v>330</v>
      </c>
      <c r="G150" s="6">
        <v>45878</v>
      </c>
      <c r="H150" s="5" t="s">
        <v>83</v>
      </c>
      <c r="I150" s="5" t="s">
        <v>285</v>
      </c>
      <c r="J150" s="5" t="s">
        <v>239</v>
      </c>
      <c r="K150" s="5" t="s">
        <v>593</v>
      </c>
      <c r="L150" s="5" t="s">
        <v>342</v>
      </c>
      <c r="M150" s="5" t="s">
        <v>261</v>
      </c>
      <c r="N150" s="5" t="s">
        <v>243</v>
      </c>
      <c r="O150" s="5" t="s">
        <v>333</v>
      </c>
      <c r="P150" s="5">
        <v>16</v>
      </c>
      <c r="Q150" s="5">
        <v>700</v>
      </c>
      <c r="R150" s="5">
        <v>15</v>
      </c>
      <c r="S150" s="5">
        <v>9520</v>
      </c>
      <c r="T150" s="5">
        <v>4</v>
      </c>
      <c r="U150" s="5" t="s">
        <v>272</v>
      </c>
      <c r="V150" s="5" t="s">
        <v>246</v>
      </c>
      <c r="W150" s="5" t="s">
        <v>308</v>
      </c>
      <c r="X150" s="5">
        <v>9989580228</v>
      </c>
      <c r="Y150" s="8" t="s">
        <v>257</v>
      </c>
      <c r="Z150" t="str">
        <f t="shared" si="15"/>
        <v>Silver</v>
      </c>
      <c r="AA150" t="str">
        <f t="shared" si="16"/>
        <v>Priya Patel</v>
      </c>
      <c r="AB150" t="str">
        <f t="shared" si="17"/>
        <v>Pri002Ja</v>
      </c>
      <c r="AC150" t="str">
        <f t="shared" si="20"/>
        <v>priya.patel@company.com</v>
      </c>
      <c r="AD150" t="str">
        <f t="shared" ca="1" si="21"/>
        <v/>
      </c>
      <c r="AE150" t="str">
        <f t="shared" si="18"/>
        <v/>
      </c>
      <c r="AF150" t="str">
        <f t="shared" si="19"/>
        <v>Delayed</v>
      </c>
    </row>
    <row r="151" spans="4:32">
      <c r="D151" s="9" t="s">
        <v>594</v>
      </c>
      <c r="E151" s="10" t="s">
        <v>299</v>
      </c>
      <c r="F151" s="10" t="s">
        <v>330</v>
      </c>
      <c r="G151" s="11">
        <v>45845</v>
      </c>
      <c r="H151" s="10" t="s">
        <v>365</v>
      </c>
      <c r="I151" s="10" t="s">
        <v>301</v>
      </c>
      <c r="J151" s="10" t="s">
        <v>269</v>
      </c>
      <c r="K151" s="11">
        <v>27521</v>
      </c>
      <c r="L151" s="10" t="s">
        <v>291</v>
      </c>
      <c r="M151" s="10" t="s">
        <v>287</v>
      </c>
      <c r="N151" s="10" t="s">
        <v>243</v>
      </c>
      <c r="O151" s="10" t="s">
        <v>333</v>
      </c>
      <c r="P151" s="10">
        <v>6</v>
      </c>
      <c r="Q151" s="10">
        <v>700</v>
      </c>
      <c r="R151" s="10">
        <v>10</v>
      </c>
      <c r="S151" s="10">
        <v>3780</v>
      </c>
      <c r="T151" s="10">
        <v>4</v>
      </c>
      <c r="U151" s="10" t="s">
        <v>254</v>
      </c>
      <c r="V151" s="10" t="s">
        <v>263</v>
      </c>
      <c r="W151" s="10" t="s">
        <v>302</v>
      </c>
      <c r="X151" s="10">
        <v>9110269572</v>
      </c>
      <c r="Y151" s="12" t="s">
        <v>265</v>
      </c>
      <c r="Z151" t="str">
        <f t="shared" si="15"/>
        <v>Blacklisted</v>
      </c>
      <c r="AA151" t="str">
        <f t="shared" si="16"/>
        <v>Rohit Singh</v>
      </c>
      <c r="AB151" t="str">
        <f t="shared" si="17"/>
        <v>Roh003Pu</v>
      </c>
      <c r="AC151" t="str">
        <f t="shared" si="20"/>
        <v>rohit.singh@company.com</v>
      </c>
      <c r="AD151" t="str">
        <f t="shared" ca="1" si="21"/>
        <v/>
      </c>
      <c r="AE151" t="str">
        <f t="shared" si="18"/>
        <v/>
      </c>
      <c r="AF151" t="str">
        <f t="shared" si="19"/>
        <v>Delayed</v>
      </c>
    </row>
    <row r="152" spans="4:32">
      <c r="D152" s="4" t="s">
        <v>595</v>
      </c>
      <c r="E152" s="5" t="s">
        <v>235</v>
      </c>
      <c r="F152" s="5" t="s">
        <v>280</v>
      </c>
      <c r="G152" s="6">
        <v>46086</v>
      </c>
      <c r="H152" s="5" t="s">
        <v>516</v>
      </c>
      <c r="I152" s="5" t="s">
        <v>318</v>
      </c>
      <c r="J152" s="5" t="s">
        <v>239</v>
      </c>
      <c r="K152" s="6">
        <v>33727</v>
      </c>
      <c r="L152" s="5" t="s">
        <v>260</v>
      </c>
      <c r="M152" s="5" t="s">
        <v>261</v>
      </c>
      <c r="N152" s="5" t="s">
        <v>15</v>
      </c>
      <c r="O152" s="5" t="s">
        <v>282</v>
      </c>
      <c r="P152" s="5">
        <v>20</v>
      </c>
      <c r="Q152" s="5">
        <v>3500</v>
      </c>
      <c r="R152" s="5">
        <v>10</v>
      </c>
      <c r="S152" s="5">
        <v>63000</v>
      </c>
      <c r="T152" s="5">
        <v>4</v>
      </c>
      <c r="U152" s="5" t="s">
        <v>277</v>
      </c>
      <c r="V152" s="5" t="s">
        <v>263</v>
      </c>
      <c r="W152" s="5" t="s">
        <v>247</v>
      </c>
      <c r="X152" s="5">
        <v>9745972422</v>
      </c>
      <c r="Y152" s="8" t="s">
        <v>248</v>
      </c>
      <c r="Z152" t="str">
        <f t="shared" si="15"/>
        <v/>
      </c>
      <c r="AA152" t="str">
        <f t="shared" si="16"/>
        <v>Pooja Shah</v>
      </c>
      <c r="AB152" t="str">
        <f t="shared" si="17"/>
        <v>Poo010De</v>
      </c>
      <c r="AC152" t="str">
        <f t="shared" si="20"/>
        <v>pooja.shah@company.com</v>
      </c>
      <c r="AD152">
        <f t="shared" ca="1" si="21"/>
        <v>51</v>
      </c>
      <c r="AE152" t="str">
        <f t="shared" si="18"/>
        <v/>
      </c>
      <c r="AF152" t="str">
        <f t="shared" si="19"/>
        <v>Delayed</v>
      </c>
    </row>
    <row r="153" spans="4:32">
      <c r="D153" s="9" t="s">
        <v>596</v>
      </c>
      <c r="E153" s="10" t="s">
        <v>249</v>
      </c>
      <c r="F153" s="10" t="s">
        <v>347</v>
      </c>
      <c r="G153" s="10" t="s">
        <v>192</v>
      </c>
      <c r="H153" s="11">
        <v>45850</v>
      </c>
      <c r="I153" s="10" t="s">
        <v>251</v>
      </c>
      <c r="J153" s="10" t="s">
        <v>239</v>
      </c>
      <c r="K153" s="11">
        <v>35860</v>
      </c>
      <c r="L153" s="10" t="s">
        <v>241</v>
      </c>
      <c r="M153" s="10" t="s">
        <v>242</v>
      </c>
      <c r="N153" s="10" t="s">
        <v>295</v>
      </c>
      <c r="O153" s="10" t="s">
        <v>349</v>
      </c>
      <c r="P153" s="10">
        <v>2</v>
      </c>
      <c r="Q153" s="10">
        <v>20</v>
      </c>
      <c r="R153" s="10">
        <v>10</v>
      </c>
      <c r="S153" s="10">
        <v>36</v>
      </c>
      <c r="T153" s="10">
        <v>1</v>
      </c>
      <c r="U153" s="10" t="s">
        <v>245</v>
      </c>
      <c r="V153" s="10" t="s">
        <v>292</v>
      </c>
      <c r="W153" s="10" t="s">
        <v>264</v>
      </c>
      <c r="X153" s="10">
        <v>9123712257</v>
      </c>
      <c r="Y153" s="12" t="s">
        <v>248</v>
      </c>
      <c r="Z153" t="str">
        <f t="shared" si="15"/>
        <v>Blacklisted</v>
      </c>
      <c r="AA153" t="str">
        <f t="shared" si="16"/>
        <v>Kavya Nair</v>
      </c>
      <c r="AB153" t="str">
        <f t="shared" si="17"/>
        <v>Kav008Be</v>
      </c>
      <c r="AC153" t="str">
        <f t="shared" si="20"/>
        <v>kavya.nair@company.com</v>
      </c>
      <c r="AD153">
        <f t="shared" ca="1" si="21"/>
        <v>34</v>
      </c>
      <c r="AE153" t="str">
        <f t="shared" si="18"/>
        <v/>
      </c>
      <c r="AF153" t="str">
        <f t="shared" si="19"/>
        <v>Delayed</v>
      </c>
    </row>
    <row r="154" spans="4:32">
      <c r="D154" s="4" t="s">
        <v>597</v>
      </c>
      <c r="E154" s="5" t="s">
        <v>284</v>
      </c>
      <c r="F154" s="5" t="s">
        <v>250</v>
      </c>
      <c r="G154" s="5" t="s">
        <v>29</v>
      </c>
      <c r="H154" s="5" t="s">
        <v>81</v>
      </c>
      <c r="I154" s="5" t="s">
        <v>285</v>
      </c>
      <c r="J154" s="5" t="s">
        <v>239</v>
      </c>
      <c r="K154" s="5" t="s">
        <v>598</v>
      </c>
      <c r="L154" s="5" t="s">
        <v>291</v>
      </c>
      <c r="M154" s="5" t="s">
        <v>287</v>
      </c>
      <c r="N154" s="5" t="s">
        <v>15</v>
      </c>
      <c r="O154" s="5" t="s">
        <v>253</v>
      </c>
      <c r="P154" s="5">
        <v>16</v>
      </c>
      <c r="Q154" s="5">
        <v>2200</v>
      </c>
      <c r="R154" s="5">
        <v>20</v>
      </c>
      <c r="S154" s="5">
        <v>28160</v>
      </c>
      <c r="T154" s="5">
        <v>2</v>
      </c>
      <c r="U154" s="5" t="s">
        <v>277</v>
      </c>
      <c r="V154" s="5" t="s">
        <v>312</v>
      </c>
      <c r="W154" s="5" t="s">
        <v>308</v>
      </c>
      <c r="X154" s="5">
        <v>9665525431</v>
      </c>
      <c r="Y154" s="8" t="s">
        <v>248</v>
      </c>
      <c r="Z154" t="str">
        <f t="shared" si="15"/>
        <v>Blacklisted</v>
      </c>
      <c r="AA154" t="str">
        <f t="shared" si="16"/>
        <v>Priya Patel</v>
      </c>
      <c r="AB154" t="str">
        <f t="shared" si="17"/>
        <v>Pri002Pu</v>
      </c>
      <c r="AC154" t="str">
        <f t="shared" si="20"/>
        <v>priya.patel@company.com</v>
      </c>
      <c r="AD154">
        <f t="shared" ca="1" si="21"/>
        <v>28</v>
      </c>
      <c r="AE154">
        <f t="shared" si="18"/>
        <v>5</v>
      </c>
      <c r="AF154" t="str">
        <f t="shared" si="19"/>
        <v>On time</v>
      </c>
    </row>
    <row r="155" spans="4:32">
      <c r="D155" s="9" t="s">
        <v>599</v>
      </c>
      <c r="E155" s="10" t="s">
        <v>346</v>
      </c>
      <c r="F155" s="10" t="s">
        <v>258</v>
      </c>
      <c r="G155" s="10" t="s">
        <v>10</v>
      </c>
      <c r="H155" s="10" t="s">
        <v>120</v>
      </c>
      <c r="I155" s="10" t="s">
        <v>348</v>
      </c>
      <c r="J155" s="10" t="s">
        <v>269</v>
      </c>
      <c r="K155" s="10" t="s">
        <v>600</v>
      </c>
      <c r="L155" s="10" t="s">
        <v>291</v>
      </c>
      <c r="M155" s="10" t="s">
        <v>287</v>
      </c>
      <c r="N155" s="10" t="s">
        <v>243</v>
      </c>
      <c r="O155" s="10" t="s">
        <v>262</v>
      </c>
      <c r="P155" s="10">
        <v>15</v>
      </c>
      <c r="Q155" s="10">
        <v>12000</v>
      </c>
      <c r="R155" s="10">
        <v>0</v>
      </c>
      <c r="S155" s="10">
        <v>180000</v>
      </c>
      <c r="T155" s="10">
        <v>1</v>
      </c>
      <c r="U155" s="10" t="s">
        <v>272</v>
      </c>
      <c r="V155" s="10" t="s">
        <v>246</v>
      </c>
      <c r="W155" s="10" t="s">
        <v>350</v>
      </c>
      <c r="X155" s="10">
        <v>9682415134</v>
      </c>
      <c r="Y155" s="12" t="s">
        <v>248</v>
      </c>
      <c r="Z155" t="str">
        <f t="shared" si="15"/>
        <v>Blacklisted</v>
      </c>
      <c r="AA155" t="str">
        <f t="shared" si="16"/>
        <v>Vikas Mehta</v>
      </c>
      <c r="AB155" t="str">
        <f t="shared" si="17"/>
        <v>Vik005Pu</v>
      </c>
      <c r="AC155" t="str">
        <f t="shared" si="20"/>
        <v>vikas.mehta@company.com</v>
      </c>
      <c r="AD155" t="str">
        <f t="shared" ca="1" si="21"/>
        <v/>
      </c>
      <c r="AE155">
        <f t="shared" si="18"/>
        <v>10</v>
      </c>
      <c r="AF155" t="str">
        <f t="shared" si="19"/>
        <v>Delayed</v>
      </c>
    </row>
    <row r="156" spans="4:32">
      <c r="D156" s="4" t="s">
        <v>601</v>
      </c>
      <c r="E156" s="5" t="s">
        <v>249</v>
      </c>
      <c r="F156" s="5" t="s">
        <v>294</v>
      </c>
      <c r="G156" s="5" t="s">
        <v>114</v>
      </c>
      <c r="H156" s="5" t="s">
        <v>124</v>
      </c>
      <c r="I156" s="5" t="s">
        <v>251</v>
      </c>
      <c r="J156" s="5" t="s">
        <v>239</v>
      </c>
      <c r="K156" s="5" t="s">
        <v>602</v>
      </c>
      <c r="L156" s="5" t="s">
        <v>260</v>
      </c>
      <c r="M156" s="5" t="s">
        <v>261</v>
      </c>
      <c r="N156" s="5" t="s">
        <v>295</v>
      </c>
      <c r="O156" s="5" t="s">
        <v>296</v>
      </c>
      <c r="P156" s="5">
        <v>14</v>
      </c>
      <c r="Q156" s="5">
        <v>60</v>
      </c>
      <c r="R156" s="5">
        <v>15</v>
      </c>
      <c r="S156" s="5">
        <v>714</v>
      </c>
      <c r="T156" s="5">
        <v>4</v>
      </c>
      <c r="U156" s="5" t="s">
        <v>277</v>
      </c>
      <c r="V156" s="5" t="s">
        <v>263</v>
      </c>
      <c r="W156" s="5" t="s">
        <v>264</v>
      </c>
      <c r="X156" s="5">
        <v>9808223872</v>
      </c>
      <c r="Y156" s="8" t="s">
        <v>257</v>
      </c>
      <c r="Z156" t="str">
        <f t="shared" si="15"/>
        <v>Silver</v>
      </c>
      <c r="AA156" t="str">
        <f t="shared" si="16"/>
        <v>Kavya Nair</v>
      </c>
      <c r="AB156" t="str">
        <f t="shared" si="17"/>
        <v>Kav008De</v>
      </c>
      <c r="AC156" t="str">
        <f t="shared" si="20"/>
        <v>kavya.nair@company.com</v>
      </c>
      <c r="AD156" t="str">
        <f t="shared" ca="1" si="21"/>
        <v/>
      </c>
      <c r="AE156">
        <f t="shared" si="18"/>
        <v>1</v>
      </c>
      <c r="AF156" t="str">
        <f t="shared" si="19"/>
        <v>On time</v>
      </c>
    </row>
    <row r="157" spans="4:32">
      <c r="D157" s="9" t="s">
        <v>603</v>
      </c>
      <c r="E157" s="10" t="s">
        <v>235</v>
      </c>
      <c r="F157" s="10" t="s">
        <v>267</v>
      </c>
      <c r="G157" s="10" t="s">
        <v>103</v>
      </c>
      <c r="H157" s="10" t="s">
        <v>604</v>
      </c>
      <c r="I157" s="10" t="s">
        <v>318</v>
      </c>
      <c r="J157" s="10" t="s">
        <v>239</v>
      </c>
      <c r="K157" s="10" t="s">
        <v>605</v>
      </c>
      <c r="L157" s="10" t="s">
        <v>252</v>
      </c>
      <c r="M157" s="10" t="s">
        <v>242</v>
      </c>
      <c r="N157" s="10" t="s">
        <v>243</v>
      </c>
      <c r="O157" s="10" t="s">
        <v>271</v>
      </c>
      <c r="P157" s="10">
        <v>9</v>
      </c>
      <c r="Q157" s="10">
        <v>1200</v>
      </c>
      <c r="R157" s="10">
        <v>5</v>
      </c>
      <c r="S157" s="10">
        <v>10260</v>
      </c>
      <c r="T157" s="10">
        <v>5</v>
      </c>
      <c r="U157" s="10" t="s">
        <v>245</v>
      </c>
      <c r="V157" s="10" t="s">
        <v>246</v>
      </c>
      <c r="W157" s="10" t="s">
        <v>247</v>
      </c>
      <c r="X157" s="10">
        <v>9193549730</v>
      </c>
      <c r="Y157" s="12" t="s">
        <v>248</v>
      </c>
      <c r="Z157" t="str">
        <f t="shared" si="15"/>
        <v/>
      </c>
      <c r="AA157" t="str">
        <f t="shared" si="16"/>
        <v>Pooja Shah</v>
      </c>
      <c r="AB157" t="str">
        <f t="shared" si="17"/>
        <v>Poo010Hy</v>
      </c>
      <c r="AC157" t="str">
        <f t="shared" si="20"/>
        <v>pooja.shah@company.com</v>
      </c>
      <c r="AD157" t="str">
        <f t="shared" ca="1" si="21"/>
        <v/>
      </c>
      <c r="AE157">
        <f t="shared" si="18"/>
        <v>3</v>
      </c>
      <c r="AF157" t="str">
        <f t="shared" si="19"/>
        <v>On time</v>
      </c>
    </row>
    <row r="158" spans="4:32">
      <c r="D158" s="4" t="s">
        <v>606</v>
      </c>
      <c r="E158" s="5" t="s">
        <v>346</v>
      </c>
      <c r="F158" s="5" t="s">
        <v>267</v>
      </c>
      <c r="G158" s="5" t="s">
        <v>81</v>
      </c>
      <c r="H158" s="5" t="s">
        <v>189</v>
      </c>
      <c r="I158" s="5" t="s">
        <v>348</v>
      </c>
      <c r="J158" s="5" t="s">
        <v>269</v>
      </c>
      <c r="K158" s="6">
        <v>35954</v>
      </c>
      <c r="L158" s="5" t="s">
        <v>379</v>
      </c>
      <c r="M158" s="5" t="s">
        <v>21</v>
      </c>
      <c r="N158" s="5" t="s">
        <v>243</v>
      </c>
      <c r="O158" s="5" t="s">
        <v>271</v>
      </c>
      <c r="P158" s="5">
        <v>3</v>
      </c>
      <c r="Q158" s="5">
        <v>1200</v>
      </c>
      <c r="R158" s="5">
        <v>10</v>
      </c>
      <c r="S158" s="5">
        <v>3240</v>
      </c>
      <c r="T158" s="5">
        <v>2</v>
      </c>
      <c r="U158" s="5" t="s">
        <v>272</v>
      </c>
      <c r="V158" s="5" t="s">
        <v>312</v>
      </c>
      <c r="W158" s="5" t="s">
        <v>350</v>
      </c>
      <c r="X158" s="5">
        <v>9520617130</v>
      </c>
      <c r="Y158" s="8" t="s">
        <v>265</v>
      </c>
      <c r="Z158" t="str">
        <f t="shared" si="15"/>
        <v>Blacklisted</v>
      </c>
      <c r="AA158" t="str">
        <f t="shared" si="16"/>
        <v>Vikas Mehta</v>
      </c>
      <c r="AB158" t="str">
        <f t="shared" si="17"/>
        <v>Vik005Ko</v>
      </c>
      <c r="AC158" t="str">
        <f t="shared" si="20"/>
        <v>vikas.mehta@company.com</v>
      </c>
      <c r="AD158" t="str">
        <f t="shared" ca="1" si="21"/>
        <v/>
      </c>
      <c r="AE158">
        <f t="shared" si="18"/>
        <v>10</v>
      </c>
      <c r="AF158" t="str">
        <f t="shared" si="19"/>
        <v>Delayed</v>
      </c>
    </row>
    <row r="159" spans="4:32">
      <c r="D159" s="9" t="s">
        <v>607</v>
      </c>
      <c r="E159" s="10" t="s">
        <v>392</v>
      </c>
      <c r="F159" s="10" t="s">
        <v>294</v>
      </c>
      <c r="G159" s="11">
        <v>45934</v>
      </c>
      <c r="H159" s="11">
        <v>45995</v>
      </c>
      <c r="I159" s="10" t="s">
        <v>323</v>
      </c>
      <c r="J159" s="10" t="s">
        <v>269</v>
      </c>
      <c r="K159" s="10" t="s">
        <v>608</v>
      </c>
      <c r="L159" s="10" t="s">
        <v>252</v>
      </c>
      <c r="M159" s="10" t="s">
        <v>242</v>
      </c>
      <c r="N159" s="10" t="s">
        <v>295</v>
      </c>
      <c r="O159" s="10" t="s">
        <v>296</v>
      </c>
      <c r="P159" s="10">
        <v>2</v>
      </c>
      <c r="Q159" s="10">
        <v>60</v>
      </c>
      <c r="R159" s="10">
        <v>10</v>
      </c>
      <c r="S159" s="10">
        <v>108</v>
      </c>
      <c r="T159" s="10">
        <v>2</v>
      </c>
      <c r="U159" s="10" t="s">
        <v>277</v>
      </c>
      <c r="V159" s="10" t="s">
        <v>246</v>
      </c>
      <c r="W159" s="10" t="s">
        <v>395</v>
      </c>
      <c r="X159" s="10">
        <v>9264578122</v>
      </c>
      <c r="Y159" s="12" t="s">
        <v>257</v>
      </c>
      <c r="Z159" t="str">
        <f t="shared" si="15"/>
        <v>Blacklisted</v>
      </c>
      <c r="AA159" t="str">
        <f t="shared" si="16"/>
        <v>Amit Sharma</v>
      </c>
      <c r="AB159" t="str">
        <f t="shared" si="17"/>
        <v>Ami001Hy</v>
      </c>
      <c r="AC159" t="str">
        <f t="shared" si="20"/>
        <v>amit.sharma@company.com</v>
      </c>
      <c r="AD159">
        <f t="shared" ca="1" si="21"/>
        <v>28</v>
      </c>
      <c r="AE159" t="str">
        <f t="shared" si="18"/>
        <v/>
      </c>
      <c r="AF159" t="str">
        <f t="shared" si="19"/>
        <v>Delayed</v>
      </c>
    </row>
    <row r="160" spans="4:32">
      <c r="D160" s="4" t="s">
        <v>609</v>
      </c>
      <c r="E160" s="5" t="s">
        <v>266</v>
      </c>
      <c r="F160" s="5" t="s">
        <v>280</v>
      </c>
      <c r="G160" s="5" t="s">
        <v>16</v>
      </c>
      <c r="H160" s="5" t="s">
        <v>610</v>
      </c>
      <c r="I160" s="5" t="s">
        <v>268</v>
      </c>
      <c r="J160" s="5" t="s">
        <v>269</v>
      </c>
      <c r="K160" s="6">
        <v>36473</v>
      </c>
      <c r="L160" s="5" t="s">
        <v>260</v>
      </c>
      <c r="M160" s="5" t="s">
        <v>261</v>
      </c>
      <c r="N160" s="5" t="s">
        <v>15</v>
      </c>
      <c r="O160" s="5" t="s">
        <v>282</v>
      </c>
      <c r="P160" s="5">
        <v>9</v>
      </c>
      <c r="Q160" s="5">
        <v>3500</v>
      </c>
      <c r="R160" s="5">
        <v>20</v>
      </c>
      <c r="S160" s="5">
        <v>25200</v>
      </c>
      <c r="T160" s="5">
        <v>1</v>
      </c>
      <c r="U160" s="5" t="s">
        <v>245</v>
      </c>
      <c r="V160" s="5" t="s">
        <v>255</v>
      </c>
      <c r="W160" s="5" t="s">
        <v>273</v>
      </c>
      <c r="X160" s="5">
        <v>9275071213</v>
      </c>
      <c r="Y160" s="8" t="s">
        <v>257</v>
      </c>
      <c r="Z160" t="str">
        <f t="shared" si="15"/>
        <v>Blacklisted</v>
      </c>
      <c r="AA160" t="str">
        <f t="shared" si="16"/>
        <v>Mohit Verma</v>
      </c>
      <c r="AB160" t="str">
        <f t="shared" si="17"/>
        <v>Moh009De</v>
      </c>
      <c r="AC160" t="str">
        <f t="shared" si="20"/>
        <v>mohit.verma@company.com</v>
      </c>
      <c r="AD160" t="str">
        <f t="shared" ca="1" si="21"/>
        <v/>
      </c>
      <c r="AE160">
        <f t="shared" si="18"/>
        <v>10</v>
      </c>
      <c r="AF160" t="str">
        <f t="shared" si="19"/>
        <v>Delayed</v>
      </c>
    </row>
    <row r="161" spans="4:32">
      <c r="D161" s="9" t="s">
        <v>611</v>
      </c>
      <c r="E161" s="10" t="s">
        <v>346</v>
      </c>
      <c r="F161" s="10" t="s">
        <v>236</v>
      </c>
      <c r="G161" s="10" t="s">
        <v>11</v>
      </c>
      <c r="H161" s="10" t="s">
        <v>44</v>
      </c>
      <c r="I161" s="10" t="s">
        <v>348</v>
      </c>
      <c r="J161" s="10" t="s">
        <v>269</v>
      </c>
      <c r="K161" s="11">
        <v>34892</v>
      </c>
      <c r="L161" s="10" t="s">
        <v>342</v>
      </c>
      <c r="M161" s="10" t="s">
        <v>261</v>
      </c>
      <c r="N161" s="10" t="s">
        <v>243</v>
      </c>
      <c r="O161" s="10" t="s">
        <v>244</v>
      </c>
      <c r="P161" s="10">
        <v>4</v>
      </c>
      <c r="Q161" s="10">
        <v>55000</v>
      </c>
      <c r="R161" s="10">
        <v>5</v>
      </c>
      <c r="S161" s="10">
        <v>209000</v>
      </c>
      <c r="T161" s="10">
        <v>2</v>
      </c>
      <c r="U161" s="10" t="s">
        <v>254</v>
      </c>
      <c r="V161" s="10" t="s">
        <v>312</v>
      </c>
      <c r="W161" s="10" t="s">
        <v>350</v>
      </c>
      <c r="X161" s="10">
        <v>9715222543</v>
      </c>
      <c r="Y161" s="12" t="s">
        <v>248</v>
      </c>
      <c r="Z161" t="str">
        <f t="shared" si="15"/>
        <v>Blacklisted</v>
      </c>
      <c r="AA161" t="str">
        <f t="shared" si="16"/>
        <v>Vikas Mehta</v>
      </c>
      <c r="AB161" t="str">
        <f t="shared" si="17"/>
        <v>Vik005Ja</v>
      </c>
      <c r="AC161" t="str">
        <f t="shared" si="20"/>
        <v>vikas.mehta@company.com</v>
      </c>
      <c r="AD161">
        <f t="shared" ca="1" si="21"/>
        <v>26</v>
      </c>
      <c r="AE161">
        <f t="shared" si="18"/>
        <v>3</v>
      </c>
      <c r="AF161" t="str">
        <f t="shared" si="19"/>
        <v>On time</v>
      </c>
    </row>
    <row r="162" spans="4:32">
      <c r="D162" s="4" t="s">
        <v>612</v>
      </c>
      <c r="E162" s="5" t="s">
        <v>392</v>
      </c>
      <c r="F162" s="5" t="s">
        <v>330</v>
      </c>
      <c r="G162" s="5" t="s">
        <v>167</v>
      </c>
      <c r="H162" s="6">
        <v>45664</v>
      </c>
      <c r="I162" s="5" t="s">
        <v>323</v>
      </c>
      <c r="J162" s="5" t="s">
        <v>269</v>
      </c>
      <c r="K162" s="5" t="s">
        <v>613</v>
      </c>
      <c r="L162" s="5" t="s">
        <v>260</v>
      </c>
      <c r="M162" s="5" t="s">
        <v>261</v>
      </c>
      <c r="N162" s="5" t="s">
        <v>243</v>
      </c>
      <c r="O162" s="5" t="s">
        <v>333</v>
      </c>
      <c r="P162" s="5">
        <v>11</v>
      </c>
      <c r="Q162" s="5">
        <v>700</v>
      </c>
      <c r="R162" s="5">
        <v>20</v>
      </c>
      <c r="S162" s="5">
        <v>6160</v>
      </c>
      <c r="T162" s="5">
        <v>4</v>
      </c>
      <c r="U162" s="5" t="s">
        <v>254</v>
      </c>
      <c r="V162" s="5" t="s">
        <v>312</v>
      </c>
      <c r="W162" s="5" t="s">
        <v>395</v>
      </c>
      <c r="X162" s="5">
        <v>9942010833</v>
      </c>
      <c r="Y162" s="8" t="s">
        <v>265</v>
      </c>
      <c r="Z162" t="str">
        <f t="shared" si="15"/>
        <v>Blacklisted</v>
      </c>
      <c r="AA162" t="str">
        <f t="shared" si="16"/>
        <v>Amit Sharma</v>
      </c>
      <c r="AB162" t="str">
        <f t="shared" si="17"/>
        <v>Ami001De</v>
      </c>
      <c r="AC162" t="str">
        <f t="shared" si="20"/>
        <v>amit.sharma@company.com</v>
      </c>
      <c r="AD162">
        <f t="shared" ca="1" si="21"/>
        <v>31</v>
      </c>
      <c r="AE162" t="str">
        <f t="shared" si="18"/>
        <v/>
      </c>
      <c r="AF162" t="str">
        <f t="shared" si="19"/>
        <v>Delayed</v>
      </c>
    </row>
    <row r="163" spans="4:32">
      <c r="D163" s="9" t="s">
        <v>614</v>
      </c>
      <c r="E163" s="10" t="s">
        <v>321</v>
      </c>
      <c r="F163" s="10" t="s">
        <v>267</v>
      </c>
      <c r="G163" s="10" t="s">
        <v>85</v>
      </c>
      <c r="H163" s="10" t="s">
        <v>192</v>
      </c>
      <c r="I163" s="10" t="s">
        <v>408</v>
      </c>
      <c r="J163" s="10" t="s">
        <v>239</v>
      </c>
      <c r="K163" s="10" t="s">
        <v>615</v>
      </c>
      <c r="L163" s="10" t="s">
        <v>379</v>
      </c>
      <c r="M163" s="10" t="s">
        <v>21</v>
      </c>
      <c r="N163" s="10" t="s">
        <v>243</v>
      </c>
      <c r="O163" s="10" t="s">
        <v>271</v>
      </c>
      <c r="P163" s="10">
        <v>16</v>
      </c>
      <c r="Q163" s="10">
        <v>1200</v>
      </c>
      <c r="R163" s="10">
        <v>5</v>
      </c>
      <c r="S163" s="10">
        <v>18240</v>
      </c>
      <c r="T163" s="10">
        <v>1</v>
      </c>
      <c r="U163" s="10" t="s">
        <v>272</v>
      </c>
      <c r="V163" s="10" t="s">
        <v>255</v>
      </c>
      <c r="W163" s="10" t="s">
        <v>326</v>
      </c>
      <c r="X163" s="10">
        <v>9347718932</v>
      </c>
      <c r="Y163" s="12" t="s">
        <v>248</v>
      </c>
      <c r="Z163" t="str">
        <f t="shared" si="15"/>
        <v>Blacklisted</v>
      </c>
      <c r="AA163" t="str">
        <f t="shared" si="16"/>
        <v>Anita Gupta</v>
      </c>
      <c r="AB163" t="str">
        <f t="shared" si="17"/>
        <v>Ani004Ko</v>
      </c>
      <c r="AC163" t="str">
        <f t="shared" si="20"/>
        <v>anita.gupta@company.com</v>
      </c>
      <c r="AD163" t="str">
        <f t="shared" ca="1" si="21"/>
        <v/>
      </c>
      <c r="AE163">
        <f t="shared" si="18"/>
        <v>10</v>
      </c>
      <c r="AF163" t="str">
        <f t="shared" si="19"/>
        <v>Delayed</v>
      </c>
    </row>
    <row r="164" spans="4:32">
      <c r="D164" s="4" t="s">
        <v>616</v>
      </c>
      <c r="E164" s="5" t="s">
        <v>321</v>
      </c>
      <c r="F164" s="5" t="s">
        <v>267</v>
      </c>
      <c r="G164" s="5" t="s">
        <v>36</v>
      </c>
      <c r="H164" s="5" t="s">
        <v>61</v>
      </c>
      <c r="I164" s="5" t="s">
        <v>408</v>
      </c>
      <c r="J164" s="5" t="s">
        <v>239</v>
      </c>
      <c r="K164" s="5" t="s">
        <v>617</v>
      </c>
      <c r="L164" s="5" t="s">
        <v>291</v>
      </c>
      <c r="M164" s="5" t="s">
        <v>287</v>
      </c>
      <c r="N164" s="5" t="s">
        <v>243</v>
      </c>
      <c r="O164" s="5" t="s">
        <v>271</v>
      </c>
      <c r="P164" s="5">
        <v>1</v>
      </c>
      <c r="Q164" s="5">
        <v>1200</v>
      </c>
      <c r="R164" s="5">
        <v>5</v>
      </c>
      <c r="S164" s="5">
        <v>1140</v>
      </c>
      <c r="T164" s="5">
        <v>4</v>
      </c>
      <c r="U164" s="5" t="s">
        <v>272</v>
      </c>
      <c r="V164" s="5" t="s">
        <v>255</v>
      </c>
      <c r="W164" s="5" t="s">
        <v>326</v>
      </c>
      <c r="X164" s="5">
        <v>9274808844</v>
      </c>
      <c r="Y164" s="8" t="s">
        <v>257</v>
      </c>
      <c r="Z164" t="str">
        <f t="shared" si="15"/>
        <v>Silver</v>
      </c>
      <c r="AA164" t="str">
        <f t="shared" si="16"/>
        <v>Anita Gupta</v>
      </c>
      <c r="AB164" t="str">
        <f t="shared" si="17"/>
        <v>Ani004Pu</v>
      </c>
      <c r="AC164" t="str">
        <f t="shared" si="20"/>
        <v>anita.gupta@company.com</v>
      </c>
      <c r="AD164" t="str">
        <f t="shared" ca="1" si="21"/>
        <v/>
      </c>
      <c r="AE164">
        <f t="shared" si="18"/>
        <v>2</v>
      </c>
      <c r="AF164" t="str">
        <f t="shared" si="19"/>
        <v>On time</v>
      </c>
    </row>
    <row r="165" spans="4:32">
      <c r="D165" s="9" t="s">
        <v>618</v>
      </c>
      <c r="E165" s="10" t="s">
        <v>392</v>
      </c>
      <c r="F165" s="10" t="s">
        <v>294</v>
      </c>
      <c r="G165" s="11">
        <v>45758</v>
      </c>
      <c r="H165" s="10" t="s">
        <v>619</v>
      </c>
      <c r="I165" s="10" t="s">
        <v>323</v>
      </c>
      <c r="J165" s="10" t="s">
        <v>269</v>
      </c>
      <c r="K165" s="10" t="s">
        <v>620</v>
      </c>
      <c r="L165" s="10" t="s">
        <v>342</v>
      </c>
      <c r="M165" s="10" t="s">
        <v>261</v>
      </c>
      <c r="N165" s="10" t="s">
        <v>295</v>
      </c>
      <c r="O165" s="10" t="s">
        <v>296</v>
      </c>
      <c r="P165" s="10">
        <v>7</v>
      </c>
      <c r="Q165" s="10">
        <v>60</v>
      </c>
      <c r="R165" s="10">
        <v>0</v>
      </c>
      <c r="S165" s="10">
        <v>420</v>
      </c>
      <c r="T165" s="10">
        <v>2</v>
      </c>
      <c r="U165" s="10" t="s">
        <v>277</v>
      </c>
      <c r="V165" s="10" t="s">
        <v>312</v>
      </c>
      <c r="W165" s="10" t="s">
        <v>395</v>
      </c>
      <c r="X165" s="10">
        <v>9798996063</v>
      </c>
      <c r="Y165" s="12" t="s">
        <v>257</v>
      </c>
      <c r="Z165" t="str">
        <f t="shared" si="15"/>
        <v>Blacklisted</v>
      </c>
      <c r="AA165" t="str">
        <f t="shared" si="16"/>
        <v>Amit Sharma</v>
      </c>
      <c r="AB165" t="str">
        <f t="shared" si="17"/>
        <v>Ami001Ja</v>
      </c>
      <c r="AC165" t="str">
        <f t="shared" si="20"/>
        <v>amit.sharma@company.com</v>
      </c>
      <c r="AD165" t="str">
        <f t="shared" ca="1" si="21"/>
        <v/>
      </c>
      <c r="AE165" t="str">
        <f t="shared" si="18"/>
        <v/>
      </c>
      <c r="AF165" t="str">
        <f t="shared" si="19"/>
        <v>Delayed</v>
      </c>
    </row>
    <row r="166" spans="4:32">
      <c r="D166" s="4" t="s">
        <v>621</v>
      </c>
      <c r="E166" s="5" t="s">
        <v>321</v>
      </c>
      <c r="F166" s="5" t="s">
        <v>250</v>
      </c>
      <c r="G166" s="6">
        <v>45717</v>
      </c>
      <c r="H166" s="6">
        <v>45839</v>
      </c>
      <c r="I166" s="5" t="s">
        <v>408</v>
      </c>
      <c r="J166" s="5" t="s">
        <v>239</v>
      </c>
      <c r="K166" s="5" t="s">
        <v>622</v>
      </c>
      <c r="L166" s="5" t="s">
        <v>291</v>
      </c>
      <c r="M166" s="5" t="s">
        <v>287</v>
      </c>
      <c r="N166" s="5" t="s">
        <v>15</v>
      </c>
      <c r="O166" s="5" t="s">
        <v>253</v>
      </c>
      <c r="P166" s="5">
        <v>14</v>
      </c>
      <c r="Q166" s="5">
        <v>2200</v>
      </c>
      <c r="R166" s="5">
        <v>0</v>
      </c>
      <c r="S166" s="5">
        <v>30800</v>
      </c>
      <c r="T166" s="5">
        <v>2</v>
      </c>
      <c r="U166" s="5" t="s">
        <v>277</v>
      </c>
      <c r="V166" s="5" t="s">
        <v>255</v>
      </c>
      <c r="W166" s="5" t="s">
        <v>326</v>
      </c>
      <c r="X166" s="5">
        <v>9145200936</v>
      </c>
      <c r="Y166" s="8" t="s">
        <v>265</v>
      </c>
      <c r="Z166" t="str">
        <f t="shared" si="15"/>
        <v>Blacklisted</v>
      </c>
      <c r="AA166" t="str">
        <f t="shared" si="16"/>
        <v>Anita Gupta</v>
      </c>
      <c r="AB166" t="str">
        <f t="shared" si="17"/>
        <v>Ani004Pu</v>
      </c>
      <c r="AC166" t="str">
        <f t="shared" si="20"/>
        <v>anita.gupta@company.com</v>
      </c>
      <c r="AD166" t="str">
        <f t="shared" ca="1" si="21"/>
        <v/>
      </c>
      <c r="AE166" t="str">
        <f t="shared" si="18"/>
        <v/>
      </c>
      <c r="AF166" t="str">
        <f t="shared" si="19"/>
        <v>Delayed</v>
      </c>
    </row>
    <row r="167" spans="4:32">
      <c r="D167" s="9" t="s">
        <v>623</v>
      </c>
      <c r="E167" s="10" t="s">
        <v>321</v>
      </c>
      <c r="F167" s="10" t="s">
        <v>280</v>
      </c>
      <c r="G167" s="10" t="s">
        <v>80</v>
      </c>
      <c r="H167" s="10" t="s">
        <v>167</v>
      </c>
      <c r="I167" s="10" t="s">
        <v>408</v>
      </c>
      <c r="J167" s="10" t="s">
        <v>239</v>
      </c>
      <c r="K167" s="10" t="s">
        <v>624</v>
      </c>
      <c r="L167" s="10" t="s">
        <v>306</v>
      </c>
      <c r="M167" s="10" t="s">
        <v>287</v>
      </c>
      <c r="N167" s="10" t="s">
        <v>15</v>
      </c>
      <c r="O167" s="10" t="s">
        <v>282</v>
      </c>
      <c r="P167" s="10">
        <v>15</v>
      </c>
      <c r="Q167" s="10">
        <v>3500</v>
      </c>
      <c r="R167" s="10">
        <v>15</v>
      </c>
      <c r="S167" s="10">
        <v>44625</v>
      </c>
      <c r="T167" s="10">
        <v>2</v>
      </c>
      <c r="U167" s="10" t="s">
        <v>277</v>
      </c>
      <c r="V167" s="10" t="s">
        <v>246</v>
      </c>
      <c r="W167" s="10" t="s">
        <v>326</v>
      </c>
      <c r="X167" s="10">
        <v>9697654418</v>
      </c>
      <c r="Y167" s="12" t="s">
        <v>248</v>
      </c>
      <c r="Z167" t="str">
        <f t="shared" si="15"/>
        <v>Blacklisted</v>
      </c>
      <c r="AA167" t="str">
        <f t="shared" si="16"/>
        <v>Anita Gupta</v>
      </c>
      <c r="AB167" t="str">
        <f t="shared" si="17"/>
        <v>Ani004Ah</v>
      </c>
      <c r="AC167" t="str">
        <f t="shared" si="20"/>
        <v>anita.gupta@company.com</v>
      </c>
      <c r="AD167" t="str">
        <f t="shared" ca="1" si="21"/>
        <v/>
      </c>
      <c r="AE167">
        <f t="shared" si="18"/>
        <v>8</v>
      </c>
      <c r="AF167" t="str">
        <f t="shared" si="19"/>
        <v>Delayed</v>
      </c>
    </row>
    <row r="168" spans="4:32">
      <c r="D168" s="4" t="s">
        <v>625</v>
      </c>
      <c r="E168" s="5" t="s">
        <v>299</v>
      </c>
      <c r="F168" s="5" t="s">
        <v>280</v>
      </c>
      <c r="G168" s="5" t="s">
        <v>151</v>
      </c>
      <c r="H168" s="6">
        <v>45812</v>
      </c>
      <c r="I168" s="5" t="s">
        <v>301</v>
      </c>
      <c r="J168" s="5" t="s">
        <v>269</v>
      </c>
      <c r="K168" s="6">
        <v>31721</v>
      </c>
      <c r="L168" s="5" t="s">
        <v>379</v>
      </c>
      <c r="M168" s="5" t="s">
        <v>21</v>
      </c>
      <c r="N168" s="5" t="s">
        <v>15</v>
      </c>
      <c r="O168" s="5" t="s">
        <v>282</v>
      </c>
      <c r="P168" s="5">
        <v>19</v>
      </c>
      <c r="Q168" s="5">
        <v>3500</v>
      </c>
      <c r="R168" s="5">
        <v>5</v>
      </c>
      <c r="S168" s="5">
        <v>63175</v>
      </c>
      <c r="T168" s="5">
        <v>2</v>
      </c>
      <c r="U168" s="5" t="s">
        <v>254</v>
      </c>
      <c r="V168" s="5" t="s">
        <v>292</v>
      </c>
      <c r="W168" s="5" t="s">
        <v>302</v>
      </c>
      <c r="X168" s="5">
        <v>9457923119</v>
      </c>
      <c r="Y168" s="8" t="s">
        <v>265</v>
      </c>
      <c r="Z168" t="str">
        <f t="shared" si="15"/>
        <v>Blacklisted</v>
      </c>
      <c r="AA168" t="str">
        <f t="shared" si="16"/>
        <v>Rohit Singh</v>
      </c>
      <c r="AB168" t="str">
        <f t="shared" si="17"/>
        <v>Roh003Ko</v>
      </c>
      <c r="AC168" t="str">
        <f t="shared" si="20"/>
        <v>rohit.singh@company.com</v>
      </c>
      <c r="AD168" t="str">
        <f t="shared" ca="1" si="21"/>
        <v/>
      </c>
      <c r="AE168" t="str">
        <f t="shared" si="18"/>
        <v/>
      </c>
      <c r="AF168" t="str">
        <f t="shared" si="19"/>
        <v>Delayed</v>
      </c>
    </row>
    <row r="169" spans="4:32">
      <c r="D169" s="9" t="s">
        <v>626</v>
      </c>
      <c r="E169" s="10" t="s">
        <v>392</v>
      </c>
      <c r="F169" s="10" t="s">
        <v>236</v>
      </c>
      <c r="G169" s="11">
        <v>45815</v>
      </c>
      <c r="H169" s="11">
        <v>45937</v>
      </c>
      <c r="I169" s="10" t="s">
        <v>323</v>
      </c>
      <c r="J169" s="10" t="s">
        <v>269</v>
      </c>
      <c r="K169" s="10" t="s">
        <v>627</v>
      </c>
      <c r="L169" s="10" t="s">
        <v>241</v>
      </c>
      <c r="M169" s="10" t="s">
        <v>242</v>
      </c>
      <c r="N169" s="10" t="s">
        <v>243</v>
      </c>
      <c r="O169" s="10" t="s">
        <v>244</v>
      </c>
      <c r="P169" s="10">
        <v>12</v>
      </c>
      <c r="Q169" s="10">
        <v>55000</v>
      </c>
      <c r="R169" s="10">
        <v>5</v>
      </c>
      <c r="S169" s="10">
        <v>627000</v>
      </c>
      <c r="T169" s="10">
        <v>4</v>
      </c>
      <c r="U169" s="10" t="s">
        <v>272</v>
      </c>
      <c r="V169" s="10" t="s">
        <v>246</v>
      </c>
      <c r="W169" s="10" t="s">
        <v>395</v>
      </c>
      <c r="X169" s="10">
        <v>9236111271</v>
      </c>
      <c r="Y169" s="12" t="s">
        <v>265</v>
      </c>
      <c r="Z169" t="str">
        <f t="shared" si="15"/>
        <v>Blacklisted</v>
      </c>
      <c r="AA169" t="str">
        <f t="shared" si="16"/>
        <v>Amit Sharma</v>
      </c>
      <c r="AB169" t="str">
        <f t="shared" si="17"/>
        <v>Ami001Be</v>
      </c>
      <c r="AC169" t="str">
        <f t="shared" si="20"/>
        <v>amit.sharma@company.com</v>
      </c>
      <c r="AD169">
        <f t="shared" ca="1" si="21"/>
        <v>39</v>
      </c>
      <c r="AE169" t="str">
        <f t="shared" si="18"/>
        <v/>
      </c>
      <c r="AF169" t="str">
        <f t="shared" si="19"/>
        <v>Delayed</v>
      </c>
    </row>
    <row r="170" spans="4:32">
      <c r="D170" s="4" t="s">
        <v>628</v>
      </c>
      <c r="E170" s="5" t="s">
        <v>235</v>
      </c>
      <c r="F170" s="5" t="s">
        <v>267</v>
      </c>
      <c r="G170" s="5" t="s">
        <v>63</v>
      </c>
      <c r="H170" s="5" t="s">
        <v>149</v>
      </c>
      <c r="I170" s="5" t="s">
        <v>318</v>
      </c>
      <c r="J170" s="5" t="s">
        <v>239</v>
      </c>
      <c r="K170" s="5" t="s">
        <v>629</v>
      </c>
      <c r="L170" s="5" t="s">
        <v>286</v>
      </c>
      <c r="M170" s="5" t="s">
        <v>287</v>
      </c>
      <c r="N170" s="5" t="s">
        <v>243</v>
      </c>
      <c r="O170" s="5" t="s">
        <v>271</v>
      </c>
      <c r="P170" s="5">
        <v>6</v>
      </c>
      <c r="Q170" s="5">
        <v>1200</v>
      </c>
      <c r="R170" s="5">
        <v>10</v>
      </c>
      <c r="S170" s="5">
        <v>6480</v>
      </c>
      <c r="T170" s="5">
        <v>5</v>
      </c>
      <c r="U170" s="5" t="s">
        <v>245</v>
      </c>
      <c r="V170" s="5" t="s">
        <v>292</v>
      </c>
      <c r="W170" s="5" t="s">
        <v>247</v>
      </c>
      <c r="X170" s="5">
        <v>9402569141</v>
      </c>
      <c r="Y170" s="8" t="s">
        <v>265</v>
      </c>
      <c r="Z170" t="str">
        <f t="shared" si="15"/>
        <v>Blacklisted</v>
      </c>
      <c r="AA170" t="str">
        <f t="shared" si="16"/>
        <v>Pooja Shah</v>
      </c>
      <c r="AB170" t="str">
        <f t="shared" si="17"/>
        <v>Poo010Mu</v>
      </c>
      <c r="AC170" t="str">
        <f t="shared" si="20"/>
        <v>pooja.shah@company.com</v>
      </c>
      <c r="AD170" t="str">
        <f t="shared" ca="1" si="21"/>
        <v/>
      </c>
      <c r="AE170">
        <f t="shared" si="18"/>
        <v>8</v>
      </c>
      <c r="AF170" t="str">
        <f t="shared" si="19"/>
        <v>Delayed</v>
      </c>
    </row>
    <row r="171" spans="4:32">
      <c r="D171" s="9" t="s">
        <v>630</v>
      </c>
      <c r="E171" s="10" t="s">
        <v>358</v>
      </c>
      <c r="F171" s="10" t="s">
        <v>322</v>
      </c>
      <c r="G171" s="10" t="s">
        <v>83</v>
      </c>
      <c r="H171" s="10" t="s">
        <v>356</v>
      </c>
      <c r="I171" s="10" t="s">
        <v>359</v>
      </c>
      <c r="J171" s="10" t="s">
        <v>239</v>
      </c>
      <c r="K171" s="10" t="s">
        <v>631</v>
      </c>
      <c r="L171" s="10" t="s">
        <v>252</v>
      </c>
      <c r="M171" s="10" t="s">
        <v>242</v>
      </c>
      <c r="N171" s="10" t="s">
        <v>15</v>
      </c>
      <c r="O171" s="10" t="s">
        <v>325</v>
      </c>
      <c r="P171" s="10">
        <v>1</v>
      </c>
      <c r="Q171" s="10">
        <v>8500</v>
      </c>
      <c r="R171" s="10">
        <v>0</v>
      </c>
      <c r="S171" s="10">
        <v>8500</v>
      </c>
      <c r="T171" s="10">
        <v>1</v>
      </c>
      <c r="U171" s="10" t="s">
        <v>277</v>
      </c>
      <c r="V171" s="10" t="s">
        <v>312</v>
      </c>
      <c r="W171" s="10" t="s">
        <v>360</v>
      </c>
      <c r="X171" s="10">
        <v>9138184056</v>
      </c>
      <c r="Y171" s="12" t="s">
        <v>265</v>
      </c>
      <c r="Z171" t="str">
        <f t="shared" si="15"/>
        <v>Blacklisted</v>
      </c>
      <c r="AA171" t="str">
        <f t="shared" si="16"/>
        <v>Sneha Joshi</v>
      </c>
      <c r="AB171" t="str">
        <f t="shared" si="17"/>
        <v>Sne006Hy</v>
      </c>
      <c r="AC171" t="str">
        <f t="shared" si="20"/>
        <v>sneha.joshi@company.com</v>
      </c>
      <c r="AD171" t="str">
        <f t="shared" ca="1" si="21"/>
        <v/>
      </c>
      <c r="AE171">
        <f t="shared" si="18"/>
        <v>1</v>
      </c>
      <c r="AF171" t="str">
        <f t="shared" si="19"/>
        <v>On time</v>
      </c>
    </row>
    <row r="172" spans="4:32">
      <c r="D172" s="4" t="s">
        <v>632</v>
      </c>
      <c r="E172" s="5" t="s">
        <v>299</v>
      </c>
      <c r="F172" s="5" t="s">
        <v>236</v>
      </c>
      <c r="G172" s="6">
        <v>46026</v>
      </c>
      <c r="H172" s="6">
        <v>46207</v>
      </c>
      <c r="I172" s="5" t="s">
        <v>301</v>
      </c>
      <c r="J172" s="5" t="s">
        <v>269</v>
      </c>
      <c r="K172" s="6">
        <v>31841</v>
      </c>
      <c r="L172" s="5" t="s">
        <v>306</v>
      </c>
      <c r="M172" s="5" t="s">
        <v>287</v>
      </c>
      <c r="N172" s="5" t="s">
        <v>243</v>
      </c>
      <c r="O172" s="5" t="s">
        <v>244</v>
      </c>
      <c r="P172" s="5">
        <v>20</v>
      </c>
      <c r="Q172" s="5">
        <v>55000</v>
      </c>
      <c r="R172" s="5">
        <v>10</v>
      </c>
      <c r="S172" s="5">
        <v>990000</v>
      </c>
      <c r="T172" s="5">
        <v>5</v>
      </c>
      <c r="U172" s="5" t="s">
        <v>245</v>
      </c>
      <c r="V172" s="5" t="s">
        <v>312</v>
      </c>
      <c r="W172" s="5" t="s">
        <v>302</v>
      </c>
      <c r="X172" s="5">
        <v>9609598700</v>
      </c>
      <c r="Y172" s="8" t="s">
        <v>257</v>
      </c>
      <c r="Z172" t="str">
        <f t="shared" si="15"/>
        <v>Gold</v>
      </c>
      <c r="AA172" t="str">
        <f t="shared" si="16"/>
        <v>Rohit Singh</v>
      </c>
      <c r="AB172" t="str">
        <f t="shared" si="17"/>
        <v>Roh003Ah</v>
      </c>
      <c r="AC172" t="str">
        <f t="shared" si="20"/>
        <v>rohit.singh@company.com</v>
      </c>
      <c r="AD172" t="str">
        <f t="shared" ca="1" si="21"/>
        <v/>
      </c>
      <c r="AE172" t="str">
        <f t="shared" si="18"/>
        <v/>
      </c>
      <c r="AF172" t="str">
        <f t="shared" si="19"/>
        <v>Delayed</v>
      </c>
    </row>
    <row r="173" spans="4:32">
      <c r="D173" s="9" t="s">
        <v>633</v>
      </c>
      <c r="E173" s="10" t="s">
        <v>346</v>
      </c>
      <c r="F173" s="10" t="s">
        <v>267</v>
      </c>
      <c r="G173" s="10" t="s">
        <v>182</v>
      </c>
      <c r="H173" s="10" t="s">
        <v>191</v>
      </c>
      <c r="I173" s="10" t="s">
        <v>348</v>
      </c>
      <c r="J173" s="10" t="s">
        <v>269</v>
      </c>
      <c r="K173" s="11">
        <v>37299</v>
      </c>
      <c r="L173" s="10" t="s">
        <v>306</v>
      </c>
      <c r="M173" s="10" t="s">
        <v>287</v>
      </c>
      <c r="N173" s="10" t="s">
        <v>243</v>
      </c>
      <c r="O173" s="10" t="s">
        <v>271</v>
      </c>
      <c r="P173" s="10">
        <v>8</v>
      </c>
      <c r="Q173" s="10">
        <v>1200</v>
      </c>
      <c r="R173" s="10">
        <v>15</v>
      </c>
      <c r="S173" s="10">
        <v>8160</v>
      </c>
      <c r="T173" s="10">
        <v>2</v>
      </c>
      <c r="U173" s="10" t="s">
        <v>277</v>
      </c>
      <c r="V173" s="10" t="s">
        <v>292</v>
      </c>
      <c r="W173" s="10" t="s">
        <v>350</v>
      </c>
      <c r="X173" s="10">
        <v>9385894399</v>
      </c>
      <c r="Y173" s="12" t="s">
        <v>265</v>
      </c>
      <c r="Z173" t="str">
        <f t="shared" si="15"/>
        <v>Blacklisted</v>
      </c>
      <c r="AA173" t="str">
        <f t="shared" si="16"/>
        <v>Vikas Mehta</v>
      </c>
      <c r="AB173" t="str">
        <f t="shared" si="17"/>
        <v>Vik005Ah</v>
      </c>
      <c r="AC173" t="str">
        <f t="shared" si="20"/>
        <v>vikas.mehta@company.com</v>
      </c>
      <c r="AD173">
        <f t="shared" ca="1" si="21"/>
        <v>39</v>
      </c>
      <c r="AE173">
        <f t="shared" si="18"/>
        <v>1</v>
      </c>
      <c r="AF173" t="str">
        <f t="shared" si="19"/>
        <v>On time</v>
      </c>
    </row>
    <row r="174" spans="4:32">
      <c r="D174" s="4" t="s">
        <v>634</v>
      </c>
      <c r="E174" s="5" t="s">
        <v>249</v>
      </c>
      <c r="F174" s="5" t="s">
        <v>280</v>
      </c>
      <c r="G174" s="6">
        <v>45810</v>
      </c>
      <c r="H174" s="5" t="s">
        <v>55</v>
      </c>
      <c r="I174" s="5" t="s">
        <v>251</v>
      </c>
      <c r="J174" s="5" t="s">
        <v>239</v>
      </c>
      <c r="K174" s="5" t="s">
        <v>635</v>
      </c>
      <c r="L174" s="5" t="s">
        <v>342</v>
      </c>
      <c r="M174" s="5" t="s">
        <v>261</v>
      </c>
      <c r="N174" s="5" t="s">
        <v>15</v>
      </c>
      <c r="O174" s="5" t="s">
        <v>282</v>
      </c>
      <c r="P174" s="5">
        <v>19</v>
      </c>
      <c r="Q174" s="5">
        <v>3500</v>
      </c>
      <c r="R174" s="5">
        <v>5</v>
      </c>
      <c r="S174" s="5">
        <v>63175</v>
      </c>
      <c r="T174" s="5">
        <v>4</v>
      </c>
      <c r="U174" s="5" t="s">
        <v>277</v>
      </c>
      <c r="V174" s="5" t="s">
        <v>263</v>
      </c>
      <c r="W174" s="5" t="s">
        <v>264</v>
      </c>
      <c r="X174" s="5">
        <v>9329448011</v>
      </c>
      <c r="Y174" s="8" t="s">
        <v>248</v>
      </c>
      <c r="Z174" t="str">
        <f t="shared" si="15"/>
        <v/>
      </c>
      <c r="AA174" t="str">
        <f t="shared" si="16"/>
        <v>Kavya Nair</v>
      </c>
      <c r="AB174" t="str">
        <f t="shared" si="17"/>
        <v>Kav008Ja</v>
      </c>
      <c r="AC174" t="str">
        <f t="shared" si="20"/>
        <v>kavya.nair@company.com</v>
      </c>
      <c r="AD174">
        <f t="shared" ca="1" si="21"/>
        <v>24</v>
      </c>
      <c r="AE174" t="str">
        <f t="shared" si="18"/>
        <v/>
      </c>
      <c r="AF174" t="str">
        <f t="shared" si="19"/>
        <v>Delayed</v>
      </c>
    </row>
    <row r="175" spans="4:32">
      <c r="D175" s="9" t="s">
        <v>636</v>
      </c>
      <c r="E175" s="10" t="s">
        <v>346</v>
      </c>
      <c r="F175" s="10" t="s">
        <v>362</v>
      </c>
      <c r="G175" s="10" t="s">
        <v>165</v>
      </c>
      <c r="H175" s="10" t="s">
        <v>511</v>
      </c>
      <c r="I175" s="10" t="s">
        <v>348</v>
      </c>
      <c r="J175" s="10" t="s">
        <v>269</v>
      </c>
      <c r="K175" s="10" t="s">
        <v>637</v>
      </c>
      <c r="L175" s="10" t="s">
        <v>342</v>
      </c>
      <c r="M175" s="10" t="s">
        <v>261</v>
      </c>
      <c r="N175" s="10" t="s">
        <v>295</v>
      </c>
      <c r="O175" s="10" t="s">
        <v>363</v>
      </c>
      <c r="P175" s="10">
        <v>6</v>
      </c>
      <c r="Q175" s="10">
        <v>45</v>
      </c>
      <c r="R175" s="10">
        <v>20</v>
      </c>
      <c r="S175" s="10">
        <v>216</v>
      </c>
      <c r="T175" s="10">
        <v>1</v>
      </c>
      <c r="U175" s="10" t="s">
        <v>272</v>
      </c>
      <c r="V175" s="10" t="s">
        <v>263</v>
      </c>
      <c r="W175" s="10" t="s">
        <v>638</v>
      </c>
      <c r="X175" s="10">
        <v>9889544104</v>
      </c>
      <c r="Y175" s="12" t="s">
        <v>248</v>
      </c>
      <c r="Z175" t="str">
        <f t="shared" si="15"/>
        <v>Blacklisted</v>
      </c>
      <c r="AA175" t="str">
        <f t="shared" si="16"/>
        <v>Vikas Mehta</v>
      </c>
      <c r="AB175" t="str">
        <f t="shared" si="17"/>
        <v>Vik005Ja</v>
      </c>
      <c r="AC175" t="str">
        <f t="shared" si="20"/>
        <v>invalid email</v>
      </c>
      <c r="AD175" t="str">
        <f t="shared" ca="1" si="21"/>
        <v/>
      </c>
      <c r="AE175">
        <f t="shared" si="18"/>
        <v>2</v>
      </c>
      <c r="AF175" t="str">
        <f t="shared" si="19"/>
        <v>On time</v>
      </c>
    </row>
    <row r="176" spans="4:32">
      <c r="D176" s="4" t="s">
        <v>639</v>
      </c>
      <c r="E176" s="5" t="s">
        <v>358</v>
      </c>
      <c r="F176" s="5" t="s">
        <v>362</v>
      </c>
      <c r="G176" s="5" t="s">
        <v>25</v>
      </c>
      <c r="H176" s="5" t="s">
        <v>140</v>
      </c>
      <c r="I176" s="5" t="s">
        <v>359</v>
      </c>
      <c r="J176" s="5" t="s">
        <v>239</v>
      </c>
      <c r="K176" s="6">
        <v>32328</v>
      </c>
      <c r="L176" s="5" t="s">
        <v>291</v>
      </c>
      <c r="M176" s="5" t="s">
        <v>287</v>
      </c>
      <c r="N176" s="5" t="s">
        <v>295</v>
      </c>
      <c r="O176" s="5" t="s">
        <v>363</v>
      </c>
      <c r="P176" s="5">
        <v>17</v>
      </c>
      <c r="Q176" s="5">
        <v>45</v>
      </c>
      <c r="R176" s="5">
        <v>15</v>
      </c>
      <c r="S176" s="5">
        <v>650.25</v>
      </c>
      <c r="T176" s="5">
        <v>5</v>
      </c>
      <c r="U176" s="5" t="s">
        <v>254</v>
      </c>
      <c r="V176" s="5" t="s">
        <v>292</v>
      </c>
      <c r="W176" s="5" t="s">
        <v>360</v>
      </c>
      <c r="X176" s="5">
        <v>9101861045</v>
      </c>
      <c r="Y176" s="8" t="s">
        <v>248</v>
      </c>
      <c r="Z176" t="str">
        <f t="shared" si="15"/>
        <v/>
      </c>
      <c r="AA176" t="str">
        <f t="shared" si="16"/>
        <v>Sneha Joshi</v>
      </c>
      <c r="AB176" t="str">
        <f t="shared" si="17"/>
        <v>Sne006Pu</v>
      </c>
      <c r="AC176" t="str">
        <f t="shared" si="20"/>
        <v>sneha.joshi@company.com</v>
      </c>
      <c r="AD176" t="str">
        <f t="shared" ca="1" si="21"/>
        <v/>
      </c>
      <c r="AE176">
        <f t="shared" si="18"/>
        <v>11</v>
      </c>
      <c r="AF176" t="str">
        <f t="shared" si="19"/>
        <v>Delayed</v>
      </c>
    </row>
    <row r="177" spans="4:32">
      <c r="D177" s="9" t="s">
        <v>640</v>
      </c>
      <c r="E177" s="10" t="s">
        <v>249</v>
      </c>
      <c r="F177" s="10" t="s">
        <v>347</v>
      </c>
      <c r="G177" s="11">
        <v>45754</v>
      </c>
      <c r="H177" s="10" t="s">
        <v>641</v>
      </c>
      <c r="I177" s="10" t="s">
        <v>251</v>
      </c>
      <c r="J177" s="10" t="s">
        <v>239</v>
      </c>
      <c r="K177" s="10" t="s">
        <v>642</v>
      </c>
      <c r="L177" s="10" t="s">
        <v>291</v>
      </c>
      <c r="M177" s="10" t="s">
        <v>287</v>
      </c>
      <c r="N177" s="10" t="s">
        <v>295</v>
      </c>
      <c r="O177" s="10" t="s">
        <v>349</v>
      </c>
      <c r="P177" s="10">
        <v>19</v>
      </c>
      <c r="Q177" s="10">
        <v>20</v>
      </c>
      <c r="R177" s="10">
        <v>5</v>
      </c>
      <c r="S177" s="10">
        <v>361</v>
      </c>
      <c r="T177" s="10">
        <v>4</v>
      </c>
      <c r="U177" s="10" t="s">
        <v>254</v>
      </c>
      <c r="V177" s="10" t="s">
        <v>255</v>
      </c>
      <c r="W177" s="10" t="s">
        <v>264</v>
      </c>
      <c r="X177" s="10">
        <v>9364712105</v>
      </c>
      <c r="Y177" s="12" t="s">
        <v>248</v>
      </c>
      <c r="Z177" t="str">
        <f t="shared" si="15"/>
        <v/>
      </c>
      <c r="AA177" t="str">
        <f t="shared" si="16"/>
        <v>Kavya Nair</v>
      </c>
      <c r="AB177" t="str">
        <f t="shared" si="17"/>
        <v>Kav008Pu</v>
      </c>
      <c r="AC177" t="str">
        <f t="shared" si="20"/>
        <v>kavya.nair@company.com</v>
      </c>
      <c r="AD177">
        <f t="shared" ca="1" si="21"/>
        <v>38</v>
      </c>
      <c r="AE177" t="str">
        <f t="shared" si="18"/>
        <v/>
      </c>
      <c r="AF177" t="str">
        <f t="shared" si="19"/>
        <v>Delayed</v>
      </c>
    </row>
    <row r="178" spans="4:32">
      <c r="D178" s="4" t="s">
        <v>643</v>
      </c>
      <c r="E178" s="5" t="s">
        <v>358</v>
      </c>
      <c r="F178" s="5" t="s">
        <v>347</v>
      </c>
      <c r="G178" s="6">
        <v>45700</v>
      </c>
      <c r="H178" s="6">
        <v>45728</v>
      </c>
      <c r="I178" s="5" t="s">
        <v>359</v>
      </c>
      <c r="J178" s="5" t="s">
        <v>239</v>
      </c>
      <c r="K178" s="5" t="s">
        <v>644</v>
      </c>
      <c r="L178" s="5" t="s">
        <v>306</v>
      </c>
      <c r="M178" s="5" t="s">
        <v>287</v>
      </c>
      <c r="N178" s="5" t="s">
        <v>295</v>
      </c>
      <c r="O178" s="5" t="s">
        <v>349</v>
      </c>
      <c r="P178" s="5">
        <v>11</v>
      </c>
      <c r="Q178" s="5">
        <v>20</v>
      </c>
      <c r="R178" s="5">
        <v>0</v>
      </c>
      <c r="S178" s="5">
        <v>220</v>
      </c>
      <c r="T178" s="5">
        <v>3</v>
      </c>
      <c r="U178" s="5" t="s">
        <v>245</v>
      </c>
      <c r="V178" s="5" t="s">
        <v>263</v>
      </c>
      <c r="W178" s="5" t="s">
        <v>360</v>
      </c>
      <c r="X178" s="5">
        <v>9950206376</v>
      </c>
      <c r="Y178" s="8" t="s">
        <v>257</v>
      </c>
      <c r="Z178" t="str">
        <f t="shared" si="15"/>
        <v>Silver</v>
      </c>
      <c r="AA178" t="str">
        <f t="shared" si="16"/>
        <v>Sneha Joshi</v>
      </c>
      <c r="AB178" t="str">
        <f t="shared" si="17"/>
        <v>Sne006Ah</v>
      </c>
      <c r="AC178" t="str">
        <f t="shared" si="20"/>
        <v>sneha.joshi@company.com</v>
      </c>
      <c r="AD178" t="str">
        <f t="shared" ca="1" si="21"/>
        <v/>
      </c>
      <c r="AE178" t="str">
        <f t="shared" si="18"/>
        <v/>
      </c>
      <c r="AF178" t="str">
        <f t="shared" si="19"/>
        <v>Delayed</v>
      </c>
    </row>
    <row r="179" spans="4:32">
      <c r="D179" s="9" t="s">
        <v>645</v>
      </c>
      <c r="E179" s="10" t="s">
        <v>321</v>
      </c>
      <c r="F179" s="10" t="s">
        <v>294</v>
      </c>
      <c r="G179" s="10" t="s">
        <v>24</v>
      </c>
      <c r="H179" s="10" t="s">
        <v>99</v>
      </c>
      <c r="I179" s="10" t="s">
        <v>408</v>
      </c>
      <c r="J179" s="10" t="s">
        <v>239</v>
      </c>
      <c r="K179" s="11">
        <v>34221</v>
      </c>
      <c r="L179" s="10" t="s">
        <v>260</v>
      </c>
      <c r="M179" s="10" t="s">
        <v>261</v>
      </c>
      <c r="N179" s="10" t="s">
        <v>295</v>
      </c>
      <c r="O179" s="10" t="s">
        <v>296</v>
      </c>
      <c r="P179" s="10">
        <v>12</v>
      </c>
      <c r="Q179" s="10">
        <v>60</v>
      </c>
      <c r="R179" s="10">
        <v>0</v>
      </c>
      <c r="S179" s="10">
        <v>720</v>
      </c>
      <c r="T179" s="10">
        <v>2</v>
      </c>
      <c r="U179" s="10" t="s">
        <v>245</v>
      </c>
      <c r="V179" s="10" t="s">
        <v>263</v>
      </c>
      <c r="W179" s="10" t="s">
        <v>326</v>
      </c>
      <c r="X179" s="10">
        <v>9235822094</v>
      </c>
      <c r="Y179" s="12" t="s">
        <v>257</v>
      </c>
      <c r="Z179" t="str">
        <f t="shared" si="15"/>
        <v>Blacklisted</v>
      </c>
      <c r="AA179" t="str">
        <f t="shared" si="16"/>
        <v>Anita Gupta</v>
      </c>
      <c r="AB179" t="str">
        <f t="shared" si="17"/>
        <v>Ani004De</v>
      </c>
      <c r="AC179" t="str">
        <f t="shared" si="20"/>
        <v>anita.gupta@company.com</v>
      </c>
      <c r="AD179" t="str">
        <f t="shared" ca="1" si="21"/>
        <v/>
      </c>
      <c r="AE179">
        <f t="shared" si="18"/>
        <v>7</v>
      </c>
      <c r="AF179" t="str">
        <f t="shared" si="19"/>
        <v>Delayed</v>
      </c>
    </row>
    <row r="180" spans="4:32">
      <c r="D180" s="4" t="s">
        <v>646</v>
      </c>
      <c r="E180" s="5" t="s">
        <v>346</v>
      </c>
      <c r="F180" s="5" t="s">
        <v>362</v>
      </c>
      <c r="G180" s="6">
        <v>45911</v>
      </c>
      <c r="H180" s="5" t="s">
        <v>619</v>
      </c>
      <c r="I180" s="5" t="s">
        <v>285</v>
      </c>
      <c r="J180" s="5" t="s">
        <v>269</v>
      </c>
      <c r="K180" s="5" t="s">
        <v>647</v>
      </c>
      <c r="L180" s="5" t="s">
        <v>379</v>
      </c>
      <c r="M180" s="5" t="s">
        <v>21</v>
      </c>
      <c r="N180" s="5" t="s">
        <v>295</v>
      </c>
      <c r="O180" s="5" t="s">
        <v>363</v>
      </c>
      <c r="P180" s="5">
        <v>14</v>
      </c>
      <c r="Q180" s="5">
        <v>45</v>
      </c>
      <c r="R180" s="5">
        <v>15</v>
      </c>
      <c r="S180" s="5">
        <v>535.5</v>
      </c>
      <c r="T180" s="5">
        <v>5</v>
      </c>
      <c r="U180" s="5" t="s">
        <v>277</v>
      </c>
      <c r="V180" s="5" t="s">
        <v>292</v>
      </c>
      <c r="W180" s="5" t="s">
        <v>350</v>
      </c>
      <c r="X180" s="5">
        <v>9311021344</v>
      </c>
      <c r="Y180" s="8" t="s">
        <v>248</v>
      </c>
      <c r="Z180" t="str">
        <f t="shared" si="15"/>
        <v/>
      </c>
      <c r="AA180" t="str">
        <f t="shared" si="16"/>
        <v>Priya Patel</v>
      </c>
      <c r="AB180" t="str">
        <f t="shared" si="17"/>
        <v>Pri005Ko</v>
      </c>
      <c r="AC180" t="str">
        <f t="shared" si="20"/>
        <v>vikas.mehta@company.com</v>
      </c>
      <c r="AD180">
        <f t="shared" ca="1" si="21"/>
        <v>33</v>
      </c>
      <c r="AE180" t="str">
        <f t="shared" si="18"/>
        <v/>
      </c>
      <c r="AF180" t="str">
        <f t="shared" si="19"/>
        <v>Delayed</v>
      </c>
    </row>
    <row r="181" spans="4:32">
      <c r="D181" s="9" t="s">
        <v>648</v>
      </c>
      <c r="E181" s="10" t="s">
        <v>249</v>
      </c>
      <c r="F181" s="10" t="s">
        <v>330</v>
      </c>
      <c r="G181" s="11">
        <v>45840</v>
      </c>
      <c r="H181" s="10" t="s">
        <v>75</v>
      </c>
      <c r="I181" s="10" t="s">
        <v>251</v>
      </c>
      <c r="J181" s="10" t="s">
        <v>239</v>
      </c>
      <c r="K181" s="10" t="s">
        <v>649</v>
      </c>
      <c r="L181" s="10" t="s">
        <v>252</v>
      </c>
      <c r="M181" s="10" t="s">
        <v>242</v>
      </c>
      <c r="N181" s="10" t="s">
        <v>243</v>
      </c>
      <c r="O181" s="10" t="s">
        <v>333</v>
      </c>
      <c r="P181" s="10">
        <v>15</v>
      </c>
      <c r="Q181" s="10">
        <v>700</v>
      </c>
      <c r="R181" s="10">
        <v>10</v>
      </c>
      <c r="S181" s="10">
        <v>9450</v>
      </c>
      <c r="T181" s="10">
        <v>3</v>
      </c>
      <c r="U181" s="10" t="s">
        <v>245</v>
      </c>
      <c r="V181" s="10" t="s">
        <v>263</v>
      </c>
      <c r="W181" s="10" t="s">
        <v>264</v>
      </c>
      <c r="X181" s="10">
        <v>9891358505</v>
      </c>
      <c r="Y181" s="12" t="s">
        <v>248</v>
      </c>
      <c r="Z181" t="str">
        <f t="shared" si="15"/>
        <v/>
      </c>
      <c r="AA181" t="str">
        <f t="shared" si="16"/>
        <v>Kavya Nair</v>
      </c>
      <c r="AB181" t="str">
        <f t="shared" si="17"/>
        <v>Kav008Hy</v>
      </c>
      <c r="AC181" t="str">
        <f t="shared" si="20"/>
        <v>kavya.nair@company.com</v>
      </c>
      <c r="AD181" t="str">
        <f t="shared" ca="1" si="21"/>
        <v/>
      </c>
      <c r="AE181" t="str">
        <f t="shared" si="18"/>
        <v/>
      </c>
      <c r="AF181" t="str">
        <f t="shared" si="19"/>
        <v>Delayed</v>
      </c>
    </row>
    <row r="182" spans="4:32">
      <c r="D182" s="4" t="s">
        <v>650</v>
      </c>
      <c r="E182" s="5" t="s">
        <v>284</v>
      </c>
      <c r="F182" s="5" t="s">
        <v>322</v>
      </c>
      <c r="G182" s="5" t="s">
        <v>155</v>
      </c>
      <c r="H182" s="5" t="s">
        <v>197</v>
      </c>
      <c r="I182" s="5" t="s">
        <v>285</v>
      </c>
      <c r="J182" s="5" t="s">
        <v>239</v>
      </c>
      <c r="K182" s="6">
        <v>29564</v>
      </c>
      <c r="L182" s="5" t="s">
        <v>306</v>
      </c>
      <c r="M182" s="5" t="s">
        <v>287</v>
      </c>
      <c r="N182" s="5" t="s">
        <v>15</v>
      </c>
      <c r="O182" s="5" t="s">
        <v>325</v>
      </c>
      <c r="P182" s="5">
        <v>19</v>
      </c>
      <c r="Q182" s="5">
        <v>8500</v>
      </c>
      <c r="R182" s="5">
        <v>15</v>
      </c>
      <c r="S182" s="5">
        <v>137275</v>
      </c>
      <c r="T182" s="5">
        <v>2</v>
      </c>
      <c r="U182" s="5" t="s">
        <v>254</v>
      </c>
      <c r="V182" s="5" t="s">
        <v>255</v>
      </c>
      <c r="W182" s="5" t="s">
        <v>308</v>
      </c>
      <c r="X182" s="5">
        <v>9910085332</v>
      </c>
      <c r="Y182" s="8" t="s">
        <v>265</v>
      </c>
      <c r="Z182" t="str">
        <f t="shared" si="15"/>
        <v>Blacklisted</v>
      </c>
      <c r="AA182" t="str">
        <f t="shared" si="16"/>
        <v>Priya Patel</v>
      </c>
      <c r="AB182" t="str">
        <f t="shared" si="17"/>
        <v>Pri002Ah</v>
      </c>
      <c r="AC182" t="str">
        <f t="shared" si="20"/>
        <v>priya.patel@company.com</v>
      </c>
      <c r="AD182" t="str">
        <f t="shared" ca="1" si="21"/>
        <v/>
      </c>
      <c r="AE182">
        <f t="shared" si="18"/>
        <v>4</v>
      </c>
      <c r="AF182" t="str">
        <f t="shared" si="19"/>
        <v>On time</v>
      </c>
    </row>
    <row r="183" spans="4:32">
      <c r="D183" s="9" t="s">
        <v>651</v>
      </c>
      <c r="E183" s="10" t="s">
        <v>358</v>
      </c>
      <c r="F183" s="10" t="s">
        <v>294</v>
      </c>
      <c r="G183" s="11">
        <v>45757</v>
      </c>
      <c r="H183" s="11">
        <v>45818</v>
      </c>
      <c r="I183" s="10" t="s">
        <v>359</v>
      </c>
      <c r="J183" s="10" t="s">
        <v>239</v>
      </c>
      <c r="K183" s="11">
        <v>32328</v>
      </c>
      <c r="L183" s="10" t="s">
        <v>342</v>
      </c>
      <c r="M183" s="10" t="s">
        <v>261</v>
      </c>
      <c r="N183" s="10" t="s">
        <v>295</v>
      </c>
      <c r="O183" s="10" t="s">
        <v>296</v>
      </c>
      <c r="P183" s="10">
        <v>19</v>
      </c>
      <c r="Q183" s="10">
        <v>60</v>
      </c>
      <c r="R183" s="10">
        <v>20</v>
      </c>
      <c r="S183" s="10">
        <v>912</v>
      </c>
      <c r="T183" s="10">
        <v>4</v>
      </c>
      <c r="U183" s="10" t="s">
        <v>272</v>
      </c>
      <c r="V183" s="10" t="s">
        <v>263</v>
      </c>
      <c r="W183" s="10" t="s">
        <v>360</v>
      </c>
      <c r="X183" s="10">
        <v>9756908023</v>
      </c>
      <c r="Y183" s="12" t="s">
        <v>248</v>
      </c>
      <c r="Z183" t="str">
        <f t="shared" si="15"/>
        <v/>
      </c>
      <c r="AA183" t="str">
        <f t="shared" si="16"/>
        <v>Sneha Joshi</v>
      </c>
      <c r="AB183" t="str">
        <f t="shared" si="17"/>
        <v>Sne006Ja</v>
      </c>
      <c r="AC183" t="str">
        <f t="shared" si="20"/>
        <v>sneha.joshi@company.com</v>
      </c>
      <c r="AD183">
        <f t="shared" ca="1" si="21"/>
        <v>45</v>
      </c>
      <c r="AE183" t="str">
        <f t="shared" si="18"/>
        <v/>
      </c>
      <c r="AF183" t="str">
        <f t="shared" si="19"/>
        <v>Delayed</v>
      </c>
    </row>
    <row r="184" spans="4:32">
      <c r="D184" s="4" t="s">
        <v>652</v>
      </c>
      <c r="E184" s="5" t="s">
        <v>284</v>
      </c>
      <c r="F184" s="5" t="s">
        <v>362</v>
      </c>
      <c r="G184" s="5" t="s">
        <v>34</v>
      </c>
      <c r="H184" s="5" t="s">
        <v>155</v>
      </c>
      <c r="I184" s="5" t="s">
        <v>285</v>
      </c>
      <c r="J184" s="5" t="s">
        <v>239</v>
      </c>
      <c r="K184" s="5" t="s">
        <v>653</v>
      </c>
      <c r="L184" s="5" t="s">
        <v>241</v>
      </c>
      <c r="M184" s="5" t="s">
        <v>242</v>
      </c>
      <c r="N184" s="5" t="s">
        <v>295</v>
      </c>
      <c r="O184" s="5" t="s">
        <v>363</v>
      </c>
      <c r="P184" s="5">
        <v>10</v>
      </c>
      <c r="Q184" s="5">
        <v>45</v>
      </c>
      <c r="R184" s="5">
        <v>15</v>
      </c>
      <c r="S184" s="5">
        <v>382.5</v>
      </c>
      <c r="T184" s="5">
        <v>4</v>
      </c>
      <c r="U184" s="5" t="s">
        <v>254</v>
      </c>
      <c r="V184" s="5" t="s">
        <v>312</v>
      </c>
      <c r="W184" s="5" t="s">
        <v>308</v>
      </c>
      <c r="X184" s="5">
        <v>9645913247</v>
      </c>
      <c r="Y184" s="8" t="s">
        <v>257</v>
      </c>
      <c r="Z184" t="str">
        <f t="shared" si="15"/>
        <v>Silver</v>
      </c>
      <c r="AA184" t="str">
        <f t="shared" si="16"/>
        <v>Priya Patel</v>
      </c>
      <c r="AB184" t="str">
        <f t="shared" si="17"/>
        <v>Pri002Be</v>
      </c>
      <c r="AC184" t="str">
        <f t="shared" si="20"/>
        <v>priya.patel@company.com</v>
      </c>
      <c r="AD184">
        <f t="shared" ca="1" si="21"/>
        <v>38</v>
      </c>
      <c r="AE184">
        <f t="shared" si="18"/>
        <v>11</v>
      </c>
      <c r="AF184" t="str">
        <f t="shared" si="19"/>
        <v>Delayed</v>
      </c>
    </row>
    <row r="185" spans="4:32">
      <c r="D185" s="9" t="s">
        <v>654</v>
      </c>
      <c r="E185" s="10" t="s">
        <v>266</v>
      </c>
      <c r="F185" s="10" t="s">
        <v>250</v>
      </c>
      <c r="G185" s="10" t="s">
        <v>28</v>
      </c>
      <c r="H185" s="10" t="s">
        <v>655</v>
      </c>
      <c r="I185" s="10" t="s">
        <v>268</v>
      </c>
      <c r="J185" s="10" t="s">
        <v>269</v>
      </c>
      <c r="K185" s="11">
        <v>29657</v>
      </c>
      <c r="L185" s="10" t="s">
        <v>260</v>
      </c>
      <c r="M185" s="10" t="s">
        <v>261</v>
      </c>
      <c r="N185" s="10" t="s">
        <v>15</v>
      </c>
      <c r="O185" s="10" t="s">
        <v>253</v>
      </c>
      <c r="P185" s="10">
        <v>7</v>
      </c>
      <c r="Q185" s="10">
        <v>2200</v>
      </c>
      <c r="R185" s="10">
        <v>20</v>
      </c>
      <c r="S185" s="10">
        <v>12320</v>
      </c>
      <c r="T185" s="10">
        <v>5</v>
      </c>
      <c r="U185" s="10" t="s">
        <v>277</v>
      </c>
      <c r="V185" s="10" t="s">
        <v>263</v>
      </c>
      <c r="W185" s="10" t="s">
        <v>273</v>
      </c>
      <c r="X185" s="10">
        <v>9806914795</v>
      </c>
      <c r="Y185" s="12" t="s">
        <v>248</v>
      </c>
      <c r="Z185" t="str">
        <f t="shared" si="15"/>
        <v/>
      </c>
      <c r="AA185" t="str">
        <f t="shared" si="16"/>
        <v>Mohit Verma</v>
      </c>
      <c r="AB185" t="str">
        <f t="shared" si="17"/>
        <v>Moh009De</v>
      </c>
      <c r="AC185" t="str">
        <f t="shared" si="20"/>
        <v>mohit.verma@company.com</v>
      </c>
      <c r="AD185" t="str">
        <f t="shared" ca="1" si="21"/>
        <v/>
      </c>
      <c r="AE185">
        <f t="shared" si="18"/>
        <v>9</v>
      </c>
      <c r="AF185" t="str">
        <f t="shared" si="19"/>
        <v>Delayed</v>
      </c>
    </row>
    <row r="186" spans="4:32">
      <c r="D186" s="4" t="s">
        <v>656</v>
      </c>
      <c r="E186" s="5" t="s">
        <v>284</v>
      </c>
      <c r="F186" s="5" t="s">
        <v>322</v>
      </c>
      <c r="G186" s="5" t="s">
        <v>110</v>
      </c>
      <c r="H186" s="6">
        <v>45752</v>
      </c>
      <c r="I186" s="5" t="s">
        <v>285</v>
      </c>
      <c r="J186" s="5" t="s">
        <v>239</v>
      </c>
      <c r="K186" s="6">
        <v>30988</v>
      </c>
      <c r="L186" s="5" t="s">
        <v>379</v>
      </c>
      <c r="M186" s="5" t="s">
        <v>21</v>
      </c>
      <c r="N186" s="5" t="s">
        <v>15</v>
      </c>
      <c r="O186" s="5" t="s">
        <v>325</v>
      </c>
      <c r="P186" s="5">
        <v>20</v>
      </c>
      <c r="Q186" s="5">
        <v>8500</v>
      </c>
      <c r="R186" s="5">
        <v>20</v>
      </c>
      <c r="S186" s="5">
        <v>136000</v>
      </c>
      <c r="T186" s="5">
        <v>4</v>
      </c>
      <c r="U186" s="5" t="s">
        <v>245</v>
      </c>
      <c r="V186" s="5" t="s">
        <v>255</v>
      </c>
      <c r="W186" s="5" t="s">
        <v>308</v>
      </c>
      <c r="X186" s="5">
        <v>9276222829</v>
      </c>
      <c r="Y186" s="8" t="s">
        <v>257</v>
      </c>
      <c r="Z186" t="str">
        <f t="shared" si="15"/>
        <v>Gold</v>
      </c>
      <c r="AA186" t="str">
        <f t="shared" si="16"/>
        <v>Priya Patel</v>
      </c>
      <c r="AB186" t="str">
        <f t="shared" si="17"/>
        <v>Pri002Ko</v>
      </c>
      <c r="AC186" t="str">
        <f t="shared" si="20"/>
        <v>priya.patel@company.com</v>
      </c>
      <c r="AD186">
        <f t="shared" ca="1" si="21"/>
        <v>45</v>
      </c>
      <c r="AE186" t="str">
        <f t="shared" si="18"/>
        <v/>
      </c>
      <c r="AF186" t="str">
        <f t="shared" si="19"/>
        <v>Delayed</v>
      </c>
    </row>
    <row r="187" spans="4:32">
      <c r="D187" s="9" t="s">
        <v>657</v>
      </c>
      <c r="E187" s="10" t="s">
        <v>358</v>
      </c>
      <c r="F187" s="10" t="s">
        <v>250</v>
      </c>
      <c r="G187" s="10" t="s">
        <v>106</v>
      </c>
      <c r="H187" s="10" t="s">
        <v>128</v>
      </c>
      <c r="I187" s="10" t="s">
        <v>359</v>
      </c>
      <c r="J187" s="10" t="s">
        <v>239</v>
      </c>
      <c r="K187" s="11">
        <v>33431</v>
      </c>
      <c r="L187" s="10" t="s">
        <v>252</v>
      </c>
      <c r="M187" s="10" t="s">
        <v>242</v>
      </c>
      <c r="N187" s="10" t="s">
        <v>15</v>
      </c>
      <c r="O187" s="10" t="s">
        <v>253</v>
      </c>
      <c r="P187" s="10">
        <v>10</v>
      </c>
      <c r="Q187" s="10">
        <v>2200</v>
      </c>
      <c r="R187" s="10">
        <v>5</v>
      </c>
      <c r="S187" s="10">
        <v>20900</v>
      </c>
      <c r="T187" s="10">
        <v>2</v>
      </c>
      <c r="U187" s="10" t="s">
        <v>245</v>
      </c>
      <c r="V187" s="10" t="s">
        <v>263</v>
      </c>
      <c r="W187" s="10" t="s">
        <v>360</v>
      </c>
      <c r="X187" s="10">
        <v>9533835528</v>
      </c>
      <c r="Y187" s="12" t="s">
        <v>257</v>
      </c>
      <c r="Z187" t="str">
        <f t="shared" si="15"/>
        <v>Blacklisted</v>
      </c>
      <c r="AA187" t="str">
        <f t="shared" si="16"/>
        <v>Sneha Joshi</v>
      </c>
      <c r="AB187" t="str">
        <f t="shared" si="17"/>
        <v>Sne006Hy</v>
      </c>
      <c r="AC187" t="str">
        <f t="shared" si="20"/>
        <v>sneha.joshi@company.com</v>
      </c>
      <c r="AD187">
        <f t="shared" ca="1" si="21"/>
        <v>41</v>
      </c>
      <c r="AE187">
        <f t="shared" si="18"/>
        <v>2</v>
      </c>
      <c r="AF187" t="str">
        <f t="shared" si="19"/>
        <v>On time</v>
      </c>
    </row>
    <row r="188" spans="4:32">
      <c r="D188" s="4" t="s">
        <v>658</v>
      </c>
      <c r="E188" s="5" t="s">
        <v>299</v>
      </c>
      <c r="F188" s="5" t="s">
        <v>294</v>
      </c>
      <c r="G188" s="5" t="s">
        <v>52</v>
      </c>
      <c r="H188" s="5" t="s">
        <v>159</v>
      </c>
      <c r="I188" s="5" t="s">
        <v>301</v>
      </c>
      <c r="J188" s="5" t="s">
        <v>269</v>
      </c>
      <c r="K188" s="5" t="s">
        <v>659</v>
      </c>
      <c r="L188" s="5" t="s">
        <v>291</v>
      </c>
      <c r="M188" s="5" t="s">
        <v>287</v>
      </c>
      <c r="N188" s="5" t="s">
        <v>295</v>
      </c>
      <c r="O188" s="5" t="s">
        <v>296</v>
      </c>
      <c r="P188" s="5">
        <v>15</v>
      </c>
      <c r="Q188" s="5">
        <v>60</v>
      </c>
      <c r="R188" s="5">
        <v>20</v>
      </c>
      <c r="S188" s="5">
        <v>720</v>
      </c>
      <c r="T188" s="5">
        <v>1</v>
      </c>
      <c r="U188" s="5" t="s">
        <v>272</v>
      </c>
      <c r="V188" s="5" t="s">
        <v>255</v>
      </c>
      <c r="W188" s="5" t="s">
        <v>302</v>
      </c>
      <c r="X188" s="5">
        <v>9654885820</v>
      </c>
      <c r="Y188" s="8" t="s">
        <v>257</v>
      </c>
      <c r="Z188" t="str">
        <f t="shared" si="15"/>
        <v>Blacklisted</v>
      </c>
      <c r="AA188" t="str">
        <f t="shared" si="16"/>
        <v>Rohit Singh</v>
      </c>
      <c r="AB188" t="str">
        <f t="shared" si="17"/>
        <v>Roh003Pu</v>
      </c>
      <c r="AC188" t="str">
        <f t="shared" si="20"/>
        <v>rohit.singh@company.com</v>
      </c>
      <c r="AD188">
        <f t="shared" ca="1" si="21"/>
        <v>35</v>
      </c>
      <c r="AE188">
        <f t="shared" si="18"/>
        <v>10</v>
      </c>
      <c r="AF188" t="str">
        <f t="shared" si="19"/>
        <v>Delayed</v>
      </c>
    </row>
    <row r="189" spans="4:32">
      <c r="D189" s="9" t="s">
        <v>660</v>
      </c>
      <c r="E189" s="10" t="s">
        <v>346</v>
      </c>
      <c r="F189" s="10" t="s">
        <v>280</v>
      </c>
      <c r="G189" s="10" t="s">
        <v>134</v>
      </c>
      <c r="H189" s="10" t="s">
        <v>661</v>
      </c>
      <c r="I189" s="10" t="s">
        <v>348</v>
      </c>
      <c r="J189" s="10" t="s">
        <v>269</v>
      </c>
      <c r="K189" s="10" t="s">
        <v>662</v>
      </c>
      <c r="L189" s="10" t="s">
        <v>252</v>
      </c>
      <c r="M189" s="10" t="s">
        <v>242</v>
      </c>
      <c r="N189" s="10" t="s">
        <v>15</v>
      </c>
      <c r="O189" s="10" t="s">
        <v>282</v>
      </c>
      <c r="P189" s="10">
        <v>18</v>
      </c>
      <c r="Q189" s="10">
        <v>3500</v>
      </c>
      <c r="R189" s="10">
        <v>5</v>
      </c>
      <c r="S189" s="10">
        <v>59850</v>
      </c>
      <c r="T189" s="10">
        <v>1</v>
      </c>
      <c r="U189" s="10" t="s">
        <v>272</v>
      </c>
      <c r="V189" s="10" t="s">
        <v>263</v>
      </c>
      <c r="W189" s="10" t="s">
        <v>350</v>
      </c>
      <c r="X189" s="10">
        <v>9456029544</v>
      </c>
      <c r="Y189" s="12" t="s">
        <v>265</v>
      </c>
      <c r="Z189" t="str">
        <f t="shared" si="15"/>
        <v>Blacklisted</v>
      </c>
      <c r="AA189" t="str">
        <f t="shared" si="16"/>
        <v>Vikas Mehta</v>
      </c>
      <c r="AB189" t="str">
        <f t="shared" si="17"/>
        <v>Vik005Hy</v>
      </c>
      <c r="AC189" t="str">
        <f t="shared" si="20"/>
        <v>vikas.mehta@company.com</v>
      </c>
      <c r="AD189" t="str">
        <f t="shared" ca="1" si="21"/>
        <v/>
      </c>
      <c r="AE189">
        <f t="shared" si="18"/>
        <v>4</v>
      </c>
      <c r="AF189" t="str">
        <f t="shared" si="19"/>
        <v>On time</v>
      </c>
    </row>
    <row r="190" spans="4:32">
      <c r="D190" s="4" t="s">
        <v>663</v>
      </c>
      <c r="E190" s="5" t="s">
        <v>392</v>
      </c>
      <c r="F190" s="5" t="s">
        <v>258</v>
      </c>
      <c r="G190" s="6">
        <v>46361</v>
      </c>
      <c r="H190" s="5" t="s">
        <v>664</v>
      </c>
      <c r="I190" s="5" t="s">
        <v>323</v>
      </c>
      <c r="J190" s="5" t="s">
        <v>269</v>
      </c>
      <c r="K190" s="6">
        <v>31909</v>
      </c>
      <c r="L190" s="5" t="s">
        <v>291</v>
      </c>
      <c r="M190" s="5" t="s">
        <v>287</v>
      </c>
      <c r="N190" s="5" t="s">
        <v>243</v>
      </c>
      <c r="O190" s="5" t="s">
        <v>262</v>
      </c>
      <c r="P190" s="5">
        <v>6</v>
      </c>
      <c r="Q190" s="5">
        <v>12000</v>
      </c>
      <c r="R190" s="5">
        <v>5</v>
      </c>
      <c r="S190" s="5">
        <v>68400</v>
      </c>
      <c r="T190" s="5">
        <v>1</v>
      </c>
      <c r="U190" s="5" t="s">
        <v>245</v>
      </c>
      <c r="V190" s="5" t="s">
        <v>263</v>
      </c>
      <c r="W190" s="5" t="s">
        <v>395</v>
      </c>
      <c r="X190" s="5">
        <v>9914571493</v>
      </c>
      <c r="Y190" s="8" t="s">
        <v>265</v>
      </c>
      <c r="Z190" t="str">
        <f t="shared" si="15"/>
        <v>Blacklisted</v>
      </c>
      <c r="AA190" t="str">
        <f t="shared" si="16"/>
        <v>Amit Sharma</v>
      </c>
      <c r="AB190" t="str">
        <f t="shared" si="17"/>
        <v>Ami001Pu</v>
      </c>
      <c r="AC190" t="str">
        <f t="shared" si="20"/>
        <v>amit.sharma@company.com</v>
      </c>
      <c r="AD190" t="str">
        <f t="shared" ca="1" si="21"/>
        <v/>
      </c>
      <c r="AE190" t="str">
        <f t="shared" si="18"/>
        <v/>
      </c>
      <c r="AF190" t="str">
        <f t="shared" si="19"/>
        <v>Delayed</v>
      </c>
    </row>
    <row r="191" spans="4:32">
      <c r="D191" s="9" t="s">
        <v>665</v>
      </c>
      <c r="E191" s="10" t="s">
        <v>392</v>
      </c>
      <c r="F191" s="10" t="s">
        <v>347</v>
      </c>
      <c r="G191" s="10" t="s">
        <v>24</v>
      </c>
      <c r="H191" s="10" t="s">
        <v>459</v>
      </c>
      <c r="I191" s="10" t="s">
        <v>323</v>
      </c>
      <c r="J191" s="10" t="s">
        <v>269</v>
      </c>
      <c r="K191" s="10" t="s">
        <v>666</v>
      </c>
      <c r="L191" s="10" t="s">
        <v>241</v>
      </c>
      <c r="M191" s="10" t="s">
        <v>242</v>
      </c>
      <c r="N191" s="10" t="s">
        <v>295</v>
      </c>
      <c r="O191" s="10" t="s">
        <v>349</v>
      </c>
      <c r="P191" s="10">
        <v>19</v>
      </c>
      <c r="Q191" s="10">
        <v>20</v>
      </c>
      <c r="R191" s="10">
        <v>10</v>
      </c>
      <c r="S191" s="10">
        <v>342</v>
      </c>
      <c r="T191" s="10">
        <v>2</v>
      </c>
      <c r="U191" s="10" t="s">
        <v>245</v>
      </c>
      <c r="V191" s="10" t="s">
        <v>255</v>
      </c>
      <c r="W191" s="10" t="s">
        <v>395</v>
      </c>
      <c r="X191" s="10">
        <v>9270726986</v>
      </c>
      <c r="Y191" s="12" t="s">
        <v>248</v>
      </c>
      <c r="Z191" t="str">
        <f t="shared" si="15"/>
        <v>Blacklisted</v>
      </c>
      <c r="AA191" t="str">
        <f t="shared" si="16"/>
        <v>Amit Sharma</v>
      </c>
      <c r="AB191" t="str">
        <f t="shared" si="17"/>
        <v>Ami001Be</v>
      </c>
      <c r="AC191" t="str">
        <f t="shared" si="20"/>
        <v>amit.sharma@company.com</v>
      </c>
      <c r="AD191">
        <f t="shared" ca="1" si="21"/>
        <v>39</v>
      </c>
      <c r="AE191">
        <f t="shared" si="18"/>
        <v>2</v>
      </c>
      <c r="AF191" t="str">
        <f t="shared" si="19"/>
        <v>On time</v>
      </c>
    </row>
    <row r="192" spans="4:32">
      <c r="D192" s="4" t="s">
        <v>667</v>
      </c>
      <c r="E192" s="5" t="s">
        <v>346</v>
      </c>
      <c r="F192" s="5" t="s">
        <v>250</v>
      </c>
      <c r="G192" s="5" t="s">
        <v>16</v>
      </c>
      <c r="H192" s="5" t="s">
        <v>436</v>
      </c>
      <c r="I192" s="5" t="s">
        <v>348</v>
      </c>
      <c r="J192" s="5" t="s">
        <v>269</v>
      </c>
      <c r="K192" s="5" t="s">
        <v>668</v>
      </c>
      <c r="L192" s="5" t="s">
        <v>291</v>
      </c>
      <c r="M192" s="5" t="s">
        <v>287</v>
      </c>
      <c r="N192" s="5" t="s">
        <v>15</v>
      </c>
      <c r="O192" s="5" t="s">
        <v>253</v>
      </c>
      <c r="P192" s="5">
        <v>7</v>
      </c>
      <c r="Q192" s="5">
        <v>2200</v>
      </c>
      <c r="R192" s="5">
        <v>0</v>
      </c>
      <c r="S192" s="5">
        <v>15400</v>
      </c>
      <c r="T192" s="5">
        <v>1</v>
      </c>
      <c r="U192" s="5" t="s">
        <v>272</v>
      </c>
      <c r="V192" s="5" t="s">
        <v>292</v>
      </c>
      <c r="W192" s="5" t="s">
        <v>350</v>
      </c>
      <c r="X192" s="5">
        <v>9570080664</v>
      </c>
      <c r="Y192" s="8" t="s">
        <v>265</v>
      </c>
      <c r="Z192" t="str">
        <f t="shared" si="15"/>
        <v>Blacklisted</v>
      </c>
      <c r="AA192" t="str">
        <f t="shared" si="16"/>
        <v>Vikas Mehta</v>
      </c>
      <c r="AB192" t="str">
        <f t="shared" si="17"/>
        <v>Vik005Pu</v>
      </c>
      <c r="AC192" t="str">
        <f t="shared" si="20"/>
        <v>vikas.mehta@company.com</v>
      </c>
      <c r="AD192" t="str">
        <f t="shared" ca="1" si="21"/>
        <v/>
      </c>
      <c r="AE192">
        <f t="shared" si="18"/>
        <v>7</v>
      </c>
      <c r="AF192" t="str">
        <f t="shared" si="19"/>
        <v>Delayed</v>
      </c>
    </row>
    <row r="193" spans="4:32">
      <c r="D193" s="9" t="s">
        <v>669</v>
      </c>
      <c r="E193" s="10" t="s">
        <v>392</v>
      </c>
      <c r="F193" s="10" t="s">
        <v>258</v>
      </c>
      <c r="G193" s="10" t="s">
        <v>51</v>
      </c>
      <c r="H193" s="10" t="s">
        <v>670</v>
      </c>
      <c r="I193" s="10" t="s">
        <v>323</v>
      </c>
      <c r="J193" s="10" t="s">
        <v>269</v>
      </c>
      <c r="K193" s="10" t="s">
        <v>671</v>
      </c>
      <c r="L193" s="10" t="s">
        <v>342</v>
      </c>
      <c r="M193" s="10" t="s">
        <v>261</v>
      </c>
      <c r="N193" s="10" t="s">
        <v>243</v>
      </c>
      <c r="O193" s="10" t="s">
        <v>262</v>
      </c>
      <c r="P193" s="10">
        <v>3</v>
      </c>
      <c r="Q193" s="10">
        <v>12000</v>
      </c>
      <c r="R193" s="10">
        <v>5</v>
      </c>
      <c r="S193" s="10">
        <v>34200</v>
      </c>
      <c r="T193" s="10">
        <v>3</v>
      </c>
      <c r="U193" s="10" t="s">
        <v>272</v>
      </c>
      <c r="V193" s="10" t="s">
        <v>246</v>
      </c>
      <c r="W193" s="10" t="s">
        <v>395</v>
      </c>
      <c r="X193" s="10">
        <v>9109009524</v>
      </c>
      <c r="Y193" s="12" t="s">
        <v>265</v>
      </c>
      <c r="Z193" t="str">
        <f t="shared" si="15"/>
        <v>Blacklisted</v>
      </c>
      <c r="AA193" t="str">
        <f t="shared" si="16"/>
        <v>Amit Sharma</v>
      </c>
      <c r="AB193" t="str">
        <f t="shared" si="17"/>
        <v>Ami001Ja</v>
      </c>
      <c r="AC193" t="str">
        <f t="shared" si="20"/>
        <v>amit.sharma@company.com</v>
      </c>
      <c r="AD193" t="str">
        <f t="shared" ca="1" si="21"/>
        <v/>
      </c>
      <c r="AE193">
        <f t="shared" si="18"/>
        <v>4</v>
      </c>
      <c r="AF193" t="str">
        <f t="shared" si="19"/>
        <v>On time</v>
      </c>
    </row>
    <row r="194" spans="4:32">
      <c r="D194" s="4" t="s">
        <v>672</v>
      </c>
      <c r="E194" s="5" t="s">
        <v>321</v>
      </c>
      <c r="F194" s="5" t="s">
        <v>250</v>
      </c>
      <c r="G194" s="5" t="s">
        <v>126</v>
      </c>
      <c r="H194" s="6">
        <v>45758</v>
      </c>
      <c r="I194" s="5" t="s">
        <v>408</v>
      </c>
      <c r="J194" s="5" t="s">
        <v>239</v>
      </c>
      <c r="K194" s="5" t="s">
        <v>673</v>
      </c>
      <c r="L194" s="5" t="s">
        <v>342</v>
      </c>
      <c r="M194" s="5" t="s">
        <v>261</v>
      </c>
      <c r="N194" s="5" t="s">
        <v>15</v>
      </c>
      <c r="O194" s="5" t="s">
        <v>253</v>
      </c>
      <c r="P194" s="5">
        <v>16</v>
      </c>
      <c r="Q194" s="5">
        <v>2200</v>
      </c>
      <c r="R194" s="5">
        <v>0</v>
      </c>
      <c r="S194" s="5">
        <v>35200</v>
      </c>
      <c r="T194" s="5">
        <v>5</v>
      </c>
      <c r="U194" s="5" t="s">
        <v>272</v>
      </c>
      <c r="V194" s="5" t="s">
        <v>255</v>
      </c>
      <c r="W194" s="5" t="s">
        <v>326</v>
      </c>
      <c r="X194" s="5">
        <v>9701276770</v>
      </c>
      <c r="Y194" s="8" t="s">
        <v>248</v>
      </c>
      <c r="Z194" t="str">
        <f t="shared" si="15"/>
        <v/>
      </c>
      <c r="AA194" t="str">
        <f t="shared" si="16"/>
        <v>Anita Gupta</v>
      </c>
      <c r="AB194" t="str">
        <f t="shared" si="17"/>
        <v>Ani004Ja</v>
      </c>
      <c r="AC194" t="str">
        <f t="shared" si="20"/>
        <v>anita.gupta@company.com</v>
      </c>
      <c r="AD194" t="str">
        <f t="shared" ca="1" si="21"/>
        <v/>
      </c>
      <c r="AE194" t="str">
        <f t="shared" si="18"/>
        <v/>
      </c>
      <c r="AF194" t="str">
        <f t="shared" si="19"/>
        <v>Delayed</v>
      </c>
    </row>
    <row r="195" spans="4:32">
      <c r="D195" s="9" t="s">
        <v>674</v>
      </c>
      <c r="E195" s="10" t="s">
        <v>358</v>
      </c>
      <c r="F195" s="10" t="s">
        <v>250</v>
      </c>
      <c r="G195" s="10" t="s">
        <v>42</v>
      </c>
      <c r="H195" s="10" t="s">
        <v>64</v>
      </c>
      <c r="I195" s="10" t="s">
        <v>359</v>
      </c>
      <c r="J195" s="10" t="s">
        <v>239</v>
      </c>
      <c r="K195" s="11">
        <v>32605</v>
      </c>
      <c r="L195" s="10" t="s">
        <v>260</v>
      </c>
      <c r="M195" s="10" t="s">
        <v>261</v>
      </c>
      <c r="N195" s="10" t="s">
        <v>15</v>
      </c>
      <c r="O195" s="10" t="s">
        <v>253</v>
      </c>
      <c r="P195" s="10">
        <v>8</v>
      </c>
      <c r="Q195" s="10">
        <v>2200</v>
      </c>
      <c r="R195" s="10">
        <v>5</v>
      </c>
      <c r="S195" s="10">
        <v>16720</v>
      </c>
      <c r="T195" s="10">
        <v>2</v>
      </c>
      <c r="U195" s="10" t="s">
        <v>277</v>
      </c>
      <c r="V195" s="10" t="s">
        <v>312</v>
      </c>
      <c r="W195" s="10" t="s">
        <v>360</v>
      </c>
      <c r="X195" s="10">
        <v>9298278507</v>
      </c>
      <c r="Y195" s="12" t="s">
        <v>257</v>
      </c>
      <c r="Z195" t="str">
        <f t="shared" ref="Z195:Z258" si="22">IF(OR(T195&lt;=2,Y195="Cancelled"),"Blacklisted",IF(AND(S195&gt;100000,T195&gt;=4,R195&lt;=10%,Y195="Completed"),"Platinum",IF(AND(S195&gt;=50000,T195&gt;=3,Y195="Completed"),"Gold",IF(AND(S195&lt;50000,Y195="Completed"),"Silver",""))))</f>
        <v>Blacklisted</v>
      </c>
      <c r="AA195" t="str">
        <f t="shared" ref="AA195:AA258" si="23">PROPER(TRIM(I195))</f>
        <v>Sneha Joshi</v>
      </c>
      <c r="AB195" t="str">
        <f t="shared" ref="AB195:AB258" si="24">LEFT(I195,3)&amp;MID(E195,2,3)&amp;LEFT(L195,2)</f>
        <v>Sne006De</v>
      </c>
      <c r="AC195" t="str">
        <f t="shared" si="20"/>
        <v>sneha.joshi@company.com</v>
      </c>
      <c r="AD195" t="str">
        <f t="shared" ca="1" si="21"/>
        <v/>
      </c>
      <c r="AE195">
        <f t="shared" ref="AE195:AE258" si="25">IF(OR(G195="",H195=""),"",IFERROR(DATE(MID(H195,7,4),MID(H195,4,2),LEFT(H195,2))-DATE(MID(G195,7,4),MID(G195,4,2),LEFT(G195,2)),""))</f>
        <v>2</v>
      </c>
      <c r="AF195" t="str">
        <f t="shared" ref="AF195:AF258" si="26">IF(H195="","Pending",IF(AE195&lt;=5,"On time","Delayed"))</f>
        <v>On time</v>
      </c>
    </row>
    <row r="196" spans="4:32">
      <c r="D196" s="4" t="s">
        <v>675</v>
      </c>
      <c r="E196" s="5" t="s">
        <v>358</v>
      </c>
      <c r="F196" s="5" t="s">
        <v>250</v>
      </c>
      <c r="G196" s="6">
        <v>45973</v>
      </c>
      <c r="H196" s="5" t="s">
        <v>30</v>
      </c>
      <c r="I196" s="5" t="s">
        <v>359</v>
      </c>
      <c r="J196" s="5" t="s">
        <v>239</v>
      </c>
      <c r="K196" s="6">
        <v>36041</v>
      </c>
      <c r="L196" s="5" t="s">
        <v>306</v>
      </c>
      <c r="M196" s="5" t="s">
        <v>287</v>
      </c>
      <c r="N196" s="5" t="s">
        <v>15</v>
      </c>
      <c r="O196" s="5" t="s">
        <v>253</v>
      </c>
      <c r="P196" s="5">
        <v>10</v>
      </c>
      <c r="Q196" s="5">
        <v>2200</v>
      </c>
      <c r="R196" s="5">
        <v>10</v>
      </c>
      <c r="S196" s="5">
        <v>19800</v>
      </c>
      <c r="T196" s="5">
        <v>5</v>
      </c>
      <c r="U196" s="5" t="s">
        <v>245</v>
      </c>
      <c r="V196" s="5" t="s">
        <v>292</v>
      </c>
      <c r="W196" s="5" t="s">
        <v>360</v>
      </c>
      <c r="X196" s="5">
        <v>9895908093</v>
      </c>
      <c r="Y196" s="8" t="s">
        <v>248</v>
      </c>
      <c r="Z196" t="str">
        <f t="shared" si="22"/>
        <v/>
      </c>
      <c r="AA196" t="str">
        <f t="shared" si="23"/>
        <v>Sneha Joshi</v>
      </c>
      <c r="AB196" t="str">
        <f t="shared" si="24"/>
        <v>Sne006Ah</v>
      </c>
      <c r="AC196" t="str">
        <f t="shared" ref="AC196:AC259" si="27">IF(ISNUMBER(SEARCH("@",W196)),LOWER(TRIM(W196)),"invalid email")</f>
        <v>sneha.joshi@company.com</v>
      </c>
      <c r="AD196">
        <f t="shared" ca="1" si="21"/>
        <v>37</v>
      </c>
      <c r="AE196" t="str">
        <f t="shared" si="25"/>
        <v/>
      </c>
      <c r="AF196" t="str">
        <f t="shared" si="26"/>
        <v>Delayed</v>
      </c>
    </row>
    <row r="197" spans="4:32">
      <c r="D197" s="9" t="s">
        <v>676</v>
      </c>
      <c r="E197" s="10" t="s">
        <v>275</v>
      </c>
      <c r="F197" s="10" t="s">
        <v>347</v>
      </c>
      <c r="G197" s="10" t="s">
        <v>178</v>
      </c>
      <c r="H197" s="11">
        <v>45905</v>
      </c>
      <c r="I197" s="10" t="s">
        <v>328</v>
      </c>
      <c r="J197" s="10" t="s">
        <v>269</v>
      </c>
      <c r="K197" s="10" t="s">
        <v>677</v>
      </c>
      <c r="L197" s="10" t="s">
        <v>260</v>
      </c>
      <c r="M197" s="10" t="s">
        <v>261</v>
      </c>
      <c r="N197" s="10" t="s">
        <v>295</v>
      </c>
      <c r="O197" s="10" t="s">
        <v>349</v>
      </c>
      <c r="P197" s="10">
        <v>7</v>
      </c>
      <c r="Q197" s="10">
        <v>20</v>
      </c>
      <c r="R197" s="10">
        <v>10</v>
      </c>
      <c r="S197" s="10">
        <v>126</v>
      </c>
      <c r="T197" s="10">
        <v>4</v>
      </c>
      <c r="U197" s="10" t="s">
        <v>272</v>
      </c>
      <c r="V197" s="10" t="s">
        <v>246</v>
      </c>
      <c r="W197" s="10" t="s">
        <v>278</v>
      </c>
      <c r="X197" s="10">
        <v>9734108795</v>
      </c>
      <c r="Y197" s="12" t="s">
        <v>257</v>
      </c>
      <c r="Z197" t="str">
        <f t="shared" si="22"/>
        <v>Silver</v>
      </c>
      <c r="AA197" t="str">
        <f t="shared" si="23"/>
        <v>Arjun Rao</v>
      </c>
      <c r="AB197" t="str">
        <f t="shared" si="24"/>
        <v>Arj007De</v>
      </c>
      <c r="AC197" t="str">
        <f t="shared" si="27"/>
        <v>arjun.rao@company.com</v>
      </c>
      <c r="AD197">
        <f t="shared" ref="AD197:AD260" ca="1" si="28">IF(K196="","",IFERROR(DATEDIF(IF(ISNUMBER(K196),K196,DATE(VALUE(RIGHT(K196,4)),VALUE(MID(K196,3,2)),VALUE(LEFT(K196,2)))),TODAY(),"Y"),""))</f>
        <v>28</v>
      </c>
      <c r="AE197" t="str">
        <f t="shared" si="25"/>
        <v/>
      </c>
      <c r="AF197" t="str">
        <f t="shared" si="26"/>
        <v>Delayed</v>
      </c>
    </row>
    <row r="198" spans="4:32">
      <c r="D198" s="4" t="s">
        <v>678</v>
      </c>
      <c r="E198" s="5" t="s">
        <v>346</v>
      </c>
      <c r="F198" s="5" t="s">
        <v>322</v>
      </c>
      <c r="G198" s="6">
        <v>46327</v>
      </c>
      <c r="H198" s="5" t="s">
        <v>23</v>
      </c>
      <c r="I198" s="5" t="s">
        <v>348</v>
      </c>
      <c r="J198" s="5" t="s">
        <v>269</v>
      </c>
      <c r="K198" s="5" t="s">
        <v>679</v>
      </c>
      <c r="L198" s="5" t="s">
        <v>252</v>
      </c>
      <c r="M198" s="5" t="s">
        <v>242</v>
      </c>
      <c r="N198" s="5" t="s">
        <v>15</v>
      </c>
      <c r="O198" s="5" t="s">
        <v>325</v>
      </c>
      <c r="P198" s="5">
        <v>19</v>
      </c>
      <c r="Q198" s="5">
        <v>8500</v>
      </c>
      <c r="R198" s="5">
        <v>20</v>
      </c>
      <c r="S198" s="5">
        <v>129200</v>
      </c>
      <c r="T198" s="5">
        <v>3</v>
      </c>
      <c r="U198" s="5" t="s">
        <v>245</v>
      </c>
      <c r="V198" s="5" t="s">
        <v>246</v>
      </c>
      <c r="W198" s="5" t="s">
        <v>350</v>
      </c>
      <c r="X198" s="5">
        <v>9799597413</v>
      </c>
      <c r="Y198" s="8" t="s">
        <v>248</v>
      </c>
      <c r="Z198" t="str">
        <f t="shared" si="22"/>
        <v/>
      </c>
      <c r="AA198" t="str">
        <f t="shared" si="23"/>
        <v>Vikas Mehta</v>
      </c>
      <c r="AB198" t="str">
        <f t="shared" si="24"/>
        <v>Vik005Hy</v>
      </c>
      <c r="AC198" t="str">
        <f t="shared" si="27"/>
        <v>vikas.mehta@company.com</v>
      </c>
      <c r="AD198" t="str">
        <f t="shared" ca="1" si="28"/>
        <v/>
      </c>
      <c r="AE198" t="str">
        <f t="shared" si="25"/>
        <v/>
      </c>
      <c r="AF198" t="str">
        <f t="shared" si="26"/>
        <v>Delayed</v>
      </c>
    </row>
    <row r="199" spans="4:32">
      <c r="D199" s="9" t="s">
        <v>680</v>
      </c>
      <c r="E199" s="10" t="s">
        <v>284</v>
      </c>
      <c r="F199" s="10" t="s">
        <v>294</v>
      </c>
      <c r="G199" s="11">
        <v>45660</v>
      </c>
      <c r="H199" s="11">
        <v>45811</v>
      </c>
      <c r="I199" s="10" t="s">
        <v>285</v>
      </c>
      <c r="J199" s="10" t="s">
        <v>239</v>
      </c>
      <c r="K199" s="10" t="s">
        <v>681</v>
      </c>
      <c r="L199" s="10" t="s">
        <v>291</v>
      </c>
      <c r="M199" s="10" t="s">
        <v>287</v>
      </c>
      <c r="N199" s="10" t="s">
        <v>295</v>
      </c>
      <c r="O199" s="10" t="s">
        <v>296</v>
      </c>
      <c r="P199" s="10">
        <v>16</v>
      </c>
      <c r="Q199" s="10">
        <v>60</v>
      </c>
      <c r="R199" s="10">
        <v>0</v>
      </c>
      <c r="S199" s="10">
        <v>960</v>
      </c>
      <c r="T199" s="10">
        <v>2</v>
      </c>
      <c r="U199" s="10" t="s">
        <v>245</v>
      </c>
      <c r="V199" s="10" t="s">
        <v>292</v>
      </c>
      <c r="W199" s="10" t="s">
        <v>308</v>
      </c>
      <c r="X199" s="10">
        <v>9688987266</v>
      </c>
      <c r="Y199" s="12" t="s">
        <v>257</v>
      </c>
      <c r="Z199" t="str">
        <f t="shared" si="22"/>
        <v>Blacklisted</v>
      </c>
      <c r="AA199" t="str">
        <f t="shared" si="23"/>
        <v>Priya Patel</v>
      </c>
      <c r="AB199" t="str">
        <f t="shared" si="24"/>
        <v>Pri002Pu</v>
      </c>
      <c r="AC199" t="str">
        <f t="shared" si="27"/>
        <v>priya.patel@company.com</v>
      </c>
      <c r="AD199" t="str">
        <f t="shared" ca="1" si="28"/>
        <v/>
      </c>
      <c r="AE199" t="str">
        <f t="shared" si="25"/>
        <v/>
      </c>
      <c r="AF199" t="str">
        <f t="shared" si="26"/>
        <v>Delayed</v>
      </c>
    </row>
    <row r="200" spans="4:32">
      <c r="D200" s="4" t="s">
        <v>682</v>
      </c>
      <c r="E200" s="5" t="s">
        <v>346</v>
      </c>
      <c r="F200" s="5" t="s">
        <v>280</v>
      </c>
      <c r="G200" s="5" t="s">
        <v>33</v>
      </c>
      <c r="H200" s="5" t="s">
        <v>166</v>
      </c>
      <c r="I200" s="5" t="s">
        <v>348</v>
      </c>
      <c r="J200" s="5" t="s">
        <v>269</v>
      </c>
      <c r="K200" s="5" t="s">
        <v>683</v>
      </c>
      <c r="L200" s="5" t="s">
        <v>241</v>
      </c>
      <c r="M200" s="5" t="s">
        <v>242</v>
      </c>
      <c r="N200" s="5" t="s">
        <v>684</v>
      </c>
      <c r="O200" s="5" t="s">
        <v>282</v>
      </c>
      <c r="P200" s="5">
        <v>18</v>
      </c>
      <c r="Q200" s="5">
        <v>3500</v>
      </c>
      <c r="R200" s="5">
        <v>5</v>
      </c>
      <c r="S200" s="5">
        <v>59850</v>
      </c>
      <c r="T200" s="5">
        <v>1</v>
      </c>
      <c r="U200" s="5" t="s">
        <v>277</v>
      </c>
      <c r="V200" s="5" t="s">
        <v>292</v>
      </c>
      <c r="W200" s="5" t="s">
        <v>350</v>
      </c>
      <c r="X200" s="5">
        <v>9867169037</v>
      </c>
      <c r="Y200" s="8" t="s">
        <v>248</v>
      </c>
      <c r="Z200" t="str">
        <f t="shared" si="22"/>
        <v>Blacklisted</v>
      </c>
      <c r="AA200" t="str">
        <f t="shared" si="23"/>
        <v>Vikas Mehta</v>
      </c>
      <c r="AB200" t="str">
        <f t="shared" si="24"/>
        <v>Vik005Be</v>
      </c>
      <c r="AC200" t="str">
        <f t="shared" si="27"/>
        <v>vikas.mehta@company.com</v>
      </c>
      <c r="AD200" t="str">
        <f t="shared" ca="1" si="28"/>
        <v/>
      </c>
      <c r="AE200">
        <f t="shared" si="25"/>
        <v>12</v>
      </c>
      <c r="AF200" t="str">
        <f t="shared" si="26"/>
        <v>Delayed</v>
      </c>
    </row>
    <row r="201" spans="4:32">
      <c r="D201" s="9" t="s">
        <v>685</v>
      </c>
      <c r="E201" s="10" t="s">
        <v>284</v>
      </c>
      <c r="F201" s="10" t="s">
        <v>236</v>
      </c>
      <c r="G201" s="10" t="s">
        <v>86</v>
      </c>
      <c r="H201" s="11">
        <v>45660</v>
      </c>
      <c r="I201" s="10" t="s">
        <v>285</v>
      </c>
      <c r="J201" s="10" t="s">
        <v>239</v>
      </c>
      <c r="K201" s="10" t="s">
        <v>686</v>
      </c>
      <c r="L201" s="10" t="s">
        <v>342</v>
      </c>
      <c r="M201" s="10" t="s">
        <v>261</v>
      </c>
      <c r="N201" s="10" t="s">
        <v>243</v>
      </c>
      <c r="O201" s="10" t="s">
        <v>244</v>
      </c>
      <c r="P201" s="10">
        <v>16</v>
      </c>
      <c r="Q201" s="10">
        <v>55000</v>
      </c>
      <c r="R201" s="10">
        <v>0</v>
      </c>
      <c r="S201" s="10">
        <v>880000</v>
      </c>
      <c r="T201" s="10">
        <v>1</v>
      </c>
      <c r="U201" s="10" t="s">
        <v>272</v>
      </c>
      <c r="V201" s="10" t="s">
        <v>246</v>
      </c>
      <c r="W201" s="10" t="s">
        <v>308</v>
      </c>
      <c r="X201" s="10">
        <v>9485547425</v>
      </c>
      <c r="Y201" s="12" t="s">
        <v>265</v>
      </c>
      <c r="Z201" t="str">
        <f t="shared" si="22"/>
        <v>Blacklisted</v>
      </c>
      <c r="AA201" t="str">
        <f t="shared" si="23"/>
        <v>Priya Patel</v>
      </c>
      <c r="AB201" t="str">
        <f t="shared" si="24"/>
        <v>Pri002Ja</v>
      </c>
      <c r="AC201" t="str">
        <f t="shared" si="27"/>
        <v>priya.patel@company.com</v>
      </c>
      <c r="AD201" t="str">
        <f t="shared" ca="1" si="28"/>
        <v/>
      </c>
      <c r="AE201" t="str">
        <f t="shared" si="25"/>
        <v/>
      </c>
      <c r="AF201" t="str">
        <f t="shared" si="26"/>
        <v>Delayed</v>
      </c>
    </row>
    <row r="202" spans="4:32">
      <c r="D202" s="4" t="s">
        <v>687</v>
      </c>
      <c r="E202" s="5" t="s">
        <v>346</v>
      </c>
      <c r="F202" s="5" t="s">
        <v>267</v>
      </c>
      <c r="G202" s="6">
        <v>45810</v>
      </c>
      <c r="H202" s="6">
        <v>45902</v>
      </c>
      <c r="I202" s="5" t="s">
        <v>348</v>
      </c>
      <c r="J202" s="5" t="s">
        <v>269</v>
      </c>
      <c r="K202" s="6">
        <v>34742</v>
      </c>
      <c r="L202" s="5" t="s">
        <v>306</v>
      </c>
      <c r="M202" s="5" t="s">
        <v>287</v>
      </c>
      <c r="N202" s="5" t="s">
        <v>243</v>
      </c>
      <c r="O202" s="5" t="s">
        <v>271</v>
      </c>
      <c r="P202" s="5">
        <v>18</v>
      </c>
      <c r="Q202" s="5">
        <v>1200</v>
      </c>
      <c r="R202" s="5">
        <v>15</v>
      </c>
      <c r="S202" s="5">
        <v>18360</v>
      </c>
      <c r="T202" s="5">
        <v>2</v>
      </c>
      <c r="U202" s="5" t="s">
        <v>245</v>
      </c>
      <c r="V202" s="5" t="s">
        <v>255</v>
      </c>
      <c r="W202" s="5" t="s">
        <v>350</v>
      </c>
      <c r="X202" s="5">
        <v>9889733076</v>
      </c>
      <c r="Y202" s="8" t="s">
        <v>265</v>
      </c>
      <c r="Z202" t="str">
        <f t="shared" si="22"/>
        <v>Blacklisted</v>
      </c>
      <c r="AA202" t="str">
        <f t="shared" si="23"/>
        <v>Vikas Mehta</v>
      </c>
      <c r="AB202" t="str">
        <f t="shared" si="24"/>
        <v>Vik005Ah</v>
      </c>
      <c r="AC202" t="str">
        <f t="shared" si="27"/>
        <v>vikas.mehta@company.com</v>
      </c>
      <c r="AD202" t="str">
        <f t="shared" ca="1" si="28"/>
        <v/>
      </c>
      <c r="AE202" t="str">
        <f t="shared" si="25"/>
        <v/>
      </c>
      <c r="AF202" t="str">
        <f t="shared" si="26"/>
        <v>Delayed</v>
      </c>
    </row>
    <row r="203" spans="4:32">
      <c r="D203" s="9" t="s">
        <v>688</v>
      </c>
      <c r="E203" s="10" t="s">
        <v>266</v>
      </c>
      <c r="F203" s="10" t="s">
        <v>362</v>
      </c>
      <c r="G203" s="10" t="s">
        <v>133</v>
      </c>
      <c r="H203" s="10" t="s">
        <v>689</v>
      </c>
      <c r="I203" s="10" t="s">
        <v>268</v>
      </c>
      <c r="J203" s="10" t="s">
        <v>269</v>
      </c>
      <c r="K203" s="11">
        <v>31327</v>
      </c>
      <c r="L203" s="10" t="s">
        <v>252</v>
      </c>
      <c r="M203" s="10" t="s">
        <v>242</v>
      </c>
      <c r="N203" s="10" t="s">
        <v>295</v>
      </c>
      <c r="O203" s="10" t="s">
        <v>363</v>
      </c>
      <c r="P203" s="10">
        <v>2</v>
      </c>
      <c r="Q203" s="10">
        <v>45</v>
      </c>
      <c r="R203" s="10">
        <v>15</v>
      </c>
      <c r="S203" s="10">
        <v>76.5</v>
      </c>
      <c r="T203" s="10">
        <v>5</v>
      </c>
      <c r="U203" s="10" t="s">
        <v>254</v>
      </c>
      <c r="V203" s="10" t="s">
        <v>246</v>
      </c>
      <c r="W203" s="10" t="s">
        <v>273</v>
      </c>
      <c r="X203" s="10">
        <v>9145434449</v>
      </c>
      <c r="Y203" s="12" t="s">
        <v>265</v>
      </c>
      <c r="Z203" t="str">
        <f t="shared" si="22"/>
        <v>Blacklisted</v>
      </c>
      <c r="AA203" t="str">
        <f t="shared" si="23"/>
        <v>Mohit Verma</v>
      </c>
      <c r="AB203" t="str">
        <f t="shared" si="24"/>
        <v>Moh009Hy</v>
      </c>
      <c r="AC203" t="str">
        <f t="shared" si="27"/>
        <v>mohit.verma@company.com</v>
      </c>
      <c r="AD203">
        <f t="shared" ca="1" si="28"/>
        <v>31</v>
      </c>
      <c r="AE203">
        <f t="shared" si="25"/>
        <v>3</v>
      </c>
      <c r="AF203" t="str">
        <f t="shared" si="26"/>
        <v>On time</v>
      </c>
    </row>
    <row r="204" spans="4:32">
      <c r="D204" s="4" t="s">
        <v>690</v>
      </c>
      <c r="E204" s="5" t="s">
        <v>235</v>
      </c>
      <c r="F204" s="5" t="s">
        <v>322</v>
      </c>
      <c r="G204" s="6">
        <v>46174</v>
      </c>
      <c r="H204" s="6">
        <v>46357</v>
      </c>
      <c r="I204" s="5" t="s">
        <v>318</v>
      </c>
      <c r="J204" s="5" t="s">
        <v>239</v>
      </c>
      <c r="K204" s="5" t="s">
        <v>691</v>
      </c>
      <c r="L204" s="5" t="s">
        <v>241</v>
      </c>
      <c r="M204" s="5" t="s">
        <v>242</v>
      </c>
      <c r="N204" s="5" t="s">
        <v>15</v>
      </c>
      <c r="O204" s="5" t="s">
        <v>325</v>
      </c>
      <c r="P204" s="5">
        <v>20</v>
      </c>
      <c r="Q204" s="5">
        <v>8500</v>
      </c>
      <c r="R204" s="5">
        <v>0</v>
      </c>
      <c r="S204" s="5">
        <v>170000</v>
      </c>
      <c r="T204" s="5">
        <v>4</v>
      </c>
      <c r="U204" s="5" t="s">
        <v>245</v>
      </c>
      <c r="V204" s="5" t="s">
        <v>246</v>
      </c>
      <c r="W204" s="5" t="s">
        <v>247</v>
      </c>
      <c r="X204" s="5">
        <v>9598942148</v>
      </c>
      <c r="Y204" s="8" t="s">
        <v>265</v>
      </c>
      <c r="Z204" t="str">
        <f t="shared" si="22"/>
        <v>Blacklisted</v>
      </c>
      <c r="AA204" t="str">
        <f t="shared" si="23"/>
        <v>Pooja Shah</v>
      </c>
      <c r="AB204" t="str">
        <f t="shared" si="24"/>
        <v>Poo010Be</v>
      </c>
      <c r="AC204" t="str">
        <f t="shared" si="27"/>
        <v>pooja.shah@company.com</v>
      </c>
      <c r="AD204">
        <f t="shared" ca="1" si="28"/>
        <v>41</v>
      </c>
      <c r="AE204" t="str">
        <f t="shared" si="25"/>
        <v/>
      </c>
      <c r="AF204" t="str">
        <f t="shared" si="26"/>
        <v>Delayed</v>
      </c>
    </row>
    <row r="205" spans="4:32">
      <c r="D205" s="9" t="s">
        <v>692</v>
      </c>
      <c r="E205" s="10" t="s">
        <v>299</v>
      </c>
      <c r="F205" s="10" t="s">
        <v>280</v>
      </c>
      <c r="G205" s="11">
        <v>46237</v>
      </c>
      <c r="H205" s="11">
        <v>46268</v>
      </c>
      <c r="I205" s="10" t="s">
        <v>301</v>
      </c>
      <c r="J205" s="10" t="s">
        <v>269</v>
      </c>
      <c r="K205" s="10" t="s">
        <v>464</v>
      </c>
      <c r="L205" s="10" t="s">
        <v>342</v>
      </c>
      <c r="M205" s="10" t="s">
        <v>261</v>
      </c>
      <c r="N205" s="10" t="s">
        <v>15</v>
      </c>
      <c r="O205" s="10" t="s">
        <v>282</v>
      </c>
      <c r="P205" s="10">
        <v>6</v>
      </c>
      <c r="Q205" s="10">
        <v>3500</v>
      </c>
      <c r="R205" s="10">
        <v>5</v>
      </c>
      <c r="S205" s="10">
        <v>19950</v>
      </c>
      <c r="T205" s="10">
        <v>1</v>
      </c>
      <c r="U205" s="10" t="s">
        <v>254</v>
      </c>
      <c r="V205" s="10" t="s">
        <v>312</v>
      </c>
      <c r="W205" s="10" t="s">
        <v>302</v>
      </c>
      <c r="X205" s="10">
        <v>9599252705</v>
      </c>
      <c r="Y205" s="12" t="s">
        <v>257</v>
      </c>
      <c r="Z205" t="str">
        <f t="shared" si="22"/>
        <v>Blacklisted</v>
      </c>
      <c r="AA205" t="str">
        <f t="shared" si="23"/>
        <v>Rohit Singh</v>
      </c>
      <c r="AB205" t="str">
        <f t="shared" si="24"/>
        <v>Roh003Ja</v>
      </c>
      <c r="AC205" t="str">
        <f t="shared" si="27"/>
        <v>rohit.singh@company.com</v>
      </c>
      <c r="AD205" t="str">
        <f t="shared" ca="1" si="28"/>
        <v/>
      </c>
      <c r="AE205" t="str">
        <f t="shared" si="25"/>
        <v/>
      </c>
      <c r="AF205" t="str">
        <f t="shared" si="26"/>
        <v>Delayed</v>
      </c>
    </row>
    <row r="206" spans="4:32">
      <c r="D206" s="4" t="s">
        <v>693</v>
      </c>
      <c r="E206" s="5" t="s">
        <v>321</v>
      </c>
      <c r="F206" s="5" t="s">
        <v>362</v>
      </c>
      <c r="G206" s="6">
        <v>45787</v>
      </c>
      <c r="H206" s="6">
        <v>45910</v>
      </c>
      <c r="I206" s="5" t="s">
        <v>408</v>
      </c>
      <c r="J206" s="5" t="s">
        <v>239</v>
      </c>
      <c r="K206" s="5" t="s">
        <v>694</v>
      </c>
      <c r="L206" s="5" t="s">
        <v>291</v>
      </c>
      <c r="M206" s="5" t="s">
        <v>287</v>
      </c>
      <c r="N206" s="5" t="s">
        <v>295</v>
      </c>
      <c r="O206" s="5" t="s">
        <v>363</v>
      </c>
      <c r="P206" s="5">
        <v>8</v>
      </c>
      <c r="Q206" s="5">
        <v>45</v>
      </c>
      <c r="R206" s="5">
        <v>5</v>
      </c>
      <c r="S206" s="5">
        <v>342</v>
      </c>
      <c r="T206" s="5">
        <v>2</v>
      </c>
      <c r="U206" s="5" t="s">
        <v>254</v>
      </c>
      <c r="V206" s="5" t="s">
        <v>263</v>
      </c>
      <c r="W206" s="5" t="s">
        <v>326</v>
      </c>
      <c r="X206" s="5">
        <v>9626843681</v>
      </c>
      <c r="Y206" s="8" t="s">
        <v>248</v>
      </c>
      <c r="Z206" t="str">
        <f t="shared" si="22"/>
        <v>Blacklisted</v>
      </c>
      <c r="AA206" t="str">
        <f t="shared" si="23"/>
        <v>Anita Gupta</v>
      </c>
      <c r="AB206" t="str">
        <f t="shared" si="24"/>
        <v>Ani004Pu</v>
      </c>
      <c r="AC206" t="str">
        <f t="shared" si="27"/>
        <v>anita.gupta@company.com</v>
      </c>
      <c r="AD206" t="str">
        <f t="shared" ca="1" si="28"/>
        <v/>
      </c>
      <c r="AE206" t="str">
        <f t="shared" si="25"/>
        <v/>
      </c>
      <c r="AF206" t="str">
        <f t="shared" si="26"/>
        <v>Delayed</v>
      </c>
    </row>
    <row r="207" spans="4:32">
      <c r="D207" s="9" t="s">
        <v>695</v>
      </c>
      <c r="E207" s="10" t="s">
        <v>392</v>
      </c>
      <c r="F207" s="10" t="s">
        <v>250</v>
      </c>
      <c r="G207" s="11">
        <v>45811</v>
      </c>
      <c r="H207" s="11">
        <v>45994</v>
      </c>
      <c r="I207" s="10" t="s">
        <v>323</v>
      </c>
      <c r="J207" s="10" t="s">
        <v>269</v>
      </c>
      <c r="K207" s="11">
        <v>29261</v>
      </c>
      <c r="L207" s="10" t="s">
        <v>286</v>
      </c>
      <c r="M207" s="10" t="s">
        <v>287</v>
      </c>
      <c r="N207" s="10" t="s">
        <v>15</v>
      </c>
      <c r="O207" s="10" t="s">
        <v>253</v>
      </c>
      <c r="P207" s="10">
        <v>18</v>
      </c>
      <c r="Q207" s="10">
        <v>2200</v>
      </c>
      <c r="R207" s="10">
        <v>15</v>
      </c>
      <c r="S207" s="10">
        <v>33660</v>
      </c>
      <c r="T207" s="10">
        <v>4</v>
      </c>
      <c r="U207" s="10" t="s">
        <v>272</v>
      </c>
      <c r="V207" s="10" t="s">
        <v>246</v>
      </c>
      <c r="W207" s="10" t="s">
        <v>395</v>
      </c>
      <c r="X207" s="10">
        <v>9934933215</v>
      </c>
      <c r="Y207" s="12" t="s">
        <v>248</v>
      </c>
      <c r="Z207" t="str">
        <f t="shared" si="22"/>
        <v/>
      </c>
      <c r="AA207" t="str">
        <f t="shared" si="23"/>
        <v>Amit Sharma</v>
      </c>
      <c r="AB207" t="str">
        <f t="shared" si="24"/>
        <v>Ami001Mu</v>
      </c>
      <c r="AC207" t="str">
        <f t="shared" si="27"/>
        <v>amit.sharma@company.com</v>
      </c>
      <c r="AD207" t="str">
        <f t="shared" ca="1" si="28"/>
        <v/>
      </c>
      <c r="AE207" t="str">
        <f t="shared" si="25"/>
        <v/>
      </c>
      <c r="AF207" t="str">
        <f t="shared" si="26"/>
        <v>Delayed</v>
      </c>
    </row>
    <row r="208" spans="4:32">
      <c r="D208" s="4" t="s">
        <v>696</v>
      </c>
      <c r="E208" s="5" t="s">
        <v>346</v>
      </c>
      <c r="F208" s="5" t="s">
        <v>330</v>
      </c>
      <c r="G208" s="6">
        <v>46177</v>
      </c>
      <c r="H208" s="5" t="s">
        <v>33</v>
      </c>
      <c r="I208" s="5" t="s">
        <v>348</v>
      </c>
      <c r="J208" s="5" t="s">
        <v>269</v>
      </c>
      <c r="K208" s="5" t="s">
        <v>697</v>
      </c>
      <c r="L208" s="5" t="s">
        <v>252</v>
      </c>
      <c r="M208" s="5" t="s">
        <v>242</v>
      </c>
      <c r="N208" s="5" t="s">
        <v>243</v>
      </c>
      <c r="O208" s="5" t="s">
        <v>333</v>
      </c>
      <c r="P208" s="5">
        <v>18</v>
      </c>
      <c r="Q208" s="5">
        <v>700</v>
      </c>
      <c r="R208" s="5">
        <v>15</v>
      </c>
      <c r="S208" s="5">
        <v>10710</v>
      </c>
      <c r="T208" s="5">
        <v>3</v>
      </c>
      <c r="U208" s="5" t="s">
        <v>272</v>
      </c>
      <c r="V208" s="5" t="s">
        <v>312</v>
      </c>
      <c r="W208" s="5" t="s">
        <v>350</v>
      </c>
      <c r="X208" s="5">
        <v>9508025585</v>
      </c>
      <c r="Y208" s="8" t="s">
        <v>265</v>
      </c>
      <c r="Z208" t="str">
        <f t="shared" si="22"/>
        <v>Blacklisted</v>
      </c>
      <c r="AA208" t="str">
        <f t="shared" si="23"/>
        <v>Vikas Mehta</v>
      </c>
      <c r="AB208" t="str">
        <f t="shared" si="24"/>
        <v>Vik005Hy</v>
      </c>
      <c r="AC208" t="str">
        <f t="shared" si="27"/>
        <v>vikas.mehta@company.com</v>
      </c>
      <c r="AD208">
        <f t="shared" ca="1" si="28"/>
        <v>46</v>
      </c>
      <c r="AE208" t="str">
        <f t="shared" si="25"/>
        <v/>
      </c>
      <c r="AF208" t="str">
        <f t="shared" si="26"/>
        <v>Delayed</v>
      </c>
    </row>
    <row r="209" spans="4:32">
      <c r="D209" s="9" t="s">
        <v>698</v>
      </c>
      <c r="E209" s="10" t="s">
        <v>392</v>
      </c>
      <c r="F209" s="10" t="s">
        <v>236</v>
      </c>
      <c r="G209" s="10" t="s">
        <v>54</v>
      </c>
      <c r="H209" s="10" t="s">
        <v>699</v>
      </c>
      <c r="I209" s="10" t="s">
        <v>323</v>
      </c>
      <c r="J209" s="10" t="s">
        <v>269</v>
      </c>
      <c r="K209" s="10" t="s">
        <v>700</v>
      </c>
      <c r="L209" s="10" t="s">
        <v>291</v>
      </c>
      <c r="M209" s="10" t="s">
        <v>287</v>
      </c>
      <c r="N209" s="10" t="s">
        <v>243</v>
      </c>
      <c r="O209" s="10" t="s">
        <v>244</v>
      </c>
      <c r="P209" s="10">
        <v>12</v>
      </c>
      <c r="Q209" s="10">
        <v>55000</v>
      </c>
      <c r="R209" s="10">
        <v>0</v>
      </c>
      <c r="S209" s="10">
        <v>660000</v>
      </c>
      <c r="T209" s="10">
        <v>2</v>
      </c>
      <c r="U209" s="10" t="s">
        <v>277</v>
      </c>
      <c r="V209" s="10" t="s">
        <v>263</v>
      </c>
      <c r="W209" s="10" t="s">
        <v>395</v>
      </c>
      <c r="X209" s="10">
        <v>9364681052</v>
      </c>
      <c r="Y209" s="12" t="s">
        <v>265</v>
      </c>
      <c r="Z209" t="str">
        <f t="shared" si="22"/>
        <v>Blacklisted</v>
      </c>
      <c r="AA209" t="str">
        <f t="shared" si="23"/>
        <v>Amit Sharma</v>
      </c>
      <c r="AB209" t="str">
        <f t="shared" si="24"/>
        <v>Ami001Pu</v>
      </c>
      <c r="AC209" t="str">
        <f t="shared" si="27"/>
        <v>amit.sharma@company.com</v>
      </c>
      <c r="AD209" t="str">
        <f t="shared" ca="1" si="28"/>
        <v/>
      </c>
      <c r="AE209">
        <f t="shared" si="25"/>
        <v>3</v>
      </c>
      <c r="AF209" t="str">
        <f t="shared" si="26"/>
        <v>On time</v>
      </c>
    </row>
    <row r="210" spans="4:32">
      <c r="D210" s="4" t="s">
        <v>701</v>
      </c>
      <c r="E210" s="5" t="s">
        <v>249</v>
      </c>
      <c r="F210" s="5" t="s">
        <v>258</v>
      </c>
      <c r="G210" s="5" t="s">
        <v>38</v>
      </c>
      <c r="H210" s="5" t="s">
        <v>702</v>
      </c>
      <c r="I210" s="5" t="s">
        <v>251</v>
      </c>
      <c r="J210" s="5" t="s">
        <v>239</v>
      </c>
      <c r="K210" s="6">
        <v>35105</v>
      </c>
      <c r="L210" s="5" t="s">
        <v>286</v>
      </c>
      <c r="M210" s="5" t="s">
        <v>287</v>
      </c>
      <c r="N210" s="5" t="s">
        <v>243</v>
      </c>
      <c r="O210" s="5" t="s">
        <v>262</v>
      </c>
      <c r="P210" s="5">
        <v>7</v>
      </c>
      <c r="Q210" s="5">
        <v>12000</v>
      </c>
      <c r="R210" s="5">
        <v>5</v>
      </c>
      <c r="S210" s="5">
        <v>79800</v>
      </c>
      <c r="T210" s="5">
        <v>3</v>
      </c>
      <c r="U210" s="5" t="s">
        <v>272</v>
      </c>
      <c r="V210" s="5" t="s">
        <v>312</v>
      </c>
      <c r="W210" s="5" t="s">
        <v>264</v>
      </c>
      <c r="X210" s="5">
        <v>9117102884</v>
      </c>
      <c r="Y210" s="8" t="s">
        <v>248</v>
      </c>
      <c r="Z210" t="str">
        <f t="shared" si="22"/>
        <v/>
      </c>
      <c r="AA210" t="str">
        <f t="shared" si="23"/>
        <v>Kavya Nair</v>
      </c>
      <c r="AB210" t="str">
        <f t="shared" si="24"/>
        <v>Kav008Mu</v>
      </c>
      <c r="AC210" t="str">
        <f t="shared" si="27"/>
        <v>kavya.nair@company.com</v>
      </c>
      <c r="AD210" t="str">
        <f t="shared" ca="1" si="28"/>
        <v/>
      </c>
      <c r="AE210">
        <f t="shared" si="25"/>
        <v>9</v>
      </c>
      <c r="AF210" t="str">
        <f t="shared" si="26"/>
        <v>Delayed</v>
      </c>
    </row>
    <row r="211" spans="4:32">
      <c r="D211" s="9" t="s">
        <v>703</v>
      </c>
      <c r="E211" s="10" t="s">
        <v>358</v>
      </c>
      <c r="F211" s="10" t="s">
        <v>258</v>
      </c>
      <c r="G211" s="10" t="s">
        <v>104</v>
      </c>
      <c r="H211" s="10" t="s">
        <v>300</v>
      </c>
      <c r="I211" s="10" t="s">
        <v>359</v>
      </c>
      <c r="J211" s="10" t="s">
        <v>239</v>
      </c>
      <c r="K211" s="10" t="s">
        <v>704</v>
      </c>
      <c r="L211" s="10" t="s">
        <v>286</v>
      </c>
      <c r="M211" s="10" t="s">
        <v>287</v>
      </c>
      <c r="N211" s="10" t="s">
        <v>243</v>
      </c>
      <c r="O211" s="10" t="s">
        <v>262</v>
      </c>
      <c r="P211" s="10">
        <v>8</v>
      </c>
      <c r="Q211" s="10">
        <v>12000</v>
      </c>
      <c r="R211" s="10">
        <v>15</v>
      </c>
      <c r="S211" s="10">
        <v>81600</v>
      </c>
      <c r="T211" s="10">
        <v>4</v>
      </c>
      <c r="U211" s="10" t="s">
        <v>272</v>
      </c>
      <c r="V211" s="10" t="s">
        <v>263</v>
      </c>
      <c r="W211" s="10" t="s">
        <v>360</v>
      </c>
      <c r="X211" s="10">
        <v>9819453185</v>
      </c>
      <c r="Y211" s="12" t="s">
        <v>257</v>
      </c>
      <c r="Z211" t="str">
        <f t="shared" si="22"/>
        <v>Gold</v>
      </c>
      <c r="AA211" t="str">
        <f t="shared" si="23"/>
        <v>Sneha Joshi</v>
      </c>
      <c r="AB211" t="str">
        <f t="shared" si="24"/>
        <v>Sne006Mu</v>
      </c>
      <c r="AC211" t="str">
        <f t="shared" si="27"/>
        <v>sneha.joshi@company.com</v>
      </c>
      <c r="AD211">
        <f t="shared" ca="1" si="28"/>
        <v>30</v>
      </c>
      <c r="AE211">
        <f t="shared" si="25"/>
        <v>2</v>
      </c>
      <c r="AF211" t="str">
        <f t="shared" si="26"/>
        <v>On time</v>
      </c>
    </row>
    <row r="212" spans="4:32">
      <c r="D212" s="4" t="s">
        <v>705</v>
      </c>
      <c r="E212" s="5" t="s">
        <v>392</v>
      </c>
      <c r="F212" s="5" t="s">
        <v>280</v>
      </c>
      <c r="G212" s="5" t="s">
        <v>73</v>
      </c>
      <c r="H212" s="5" t="s">
        <v>172</v>
      </c>
      <c r="I212" s="5" t="s">
        <v>323</v>
      </c>
      <c r="J212" s="5" t="s">
        <v>269</v>
      </c>
      <c r="K212" s="6">
        <v>32032</v>
      </c>
      <c r="L212" s="5" t="s">
        <v>286</v>
      </c>
      <c r="M212" s="5" t="s">
        <v>287</v>
      </c>
      <c r="N212" s="5" t="s">
        <v>15</v>
      </c>
      <c r="O212" s="5" t="s">
        <v>282</v>
      </c>
      <c r="P212" s="5">
        <v>19</v>
      </c>
      <c r="Q212" s="5">
        <v>3500</v>
      </c>
      <c r="R212" s="5">
        <v>5</v>
      </c>
      <c r="S212" s="5">
        <v>63175</v>
      </c>
      <c r="T212" s="5">
        <v>3</v>
      </c>
      <c r="U212" s="5" t="s">
        <v>272</v>
      </c>
      <c r="V212" s="5" t="s">
        <v>246</v>
      </c>
      <c r="W212" s="5" t="s">
        <v>395</v>
      </c>
      <c r="X212" s="5">
        <v>9511806701</v>
      </c>
      <c r="Y212" s="8" t="s">
        <v>248</v>
      </c>
      <c r="Z212" t="str">
        <f t="shared" si="22"/>
        <v/>
      </c>
      <c r="AA212" t="str">
        <f t="shared" si="23"/>
        <v>Amit Sharma</v>
      </c>
      <c r="AB212" t="str">
        <f t="shared" si="24"/>
        <v>Ami001Mu</v>
      </c>
      <c r="AC212" t="str">
        <f t="shared" si="27"/>
        <v>amit.sharma@company.com</v>
      </c>
      <c r="AD212" t="str">
        <f t="shared" ca="1" si="28"/>
        <v/>
      </c>
      <c r="AE212">
        <f t="shared" si="25"/>
        <v>9</v>
      </c>
      <c r="AF212" t="str">
        <f t="shared" si="26"/>
        <v>Delayed</v>
      </c>
    </row>
    <row r="213" spans="4:32">
      <c r="D213" s="9" t="s">
        <v>706</v>
      </c>
      <c r="E213" s="10" t="s">
        <v>358</v>
      </c>
      <c r="F213" s="10" t="s">
        <v>362</v>
      </c>
      <c r="G213" s="11">
        <v>45810</v>
      </c>
      <c r="H213" s="10" t="s">
        <v>42</v>
      </c>
      <c r="I213" s="10" t="s">
        <v>359</v>
      </c>
      <c r="J213" s="10" t="s">
        <v>239</v>
      </c>
      <c r="K213" s="10" t="s">
        <v>707</v>
      </c>
      <c r="L213" s="10" t="s">
        <v>306</v>
      </c>
      <c r="M213" s="10" t="s">
        <v>287</v>
      </c>
      <c r="N213" s="10" t="s">
        <v>295</v>
      </c>
      <c r="O213" s="10" t="s">
        <v>363</v>
      </c>
      <c r="P213" s="10">
        <v>7</v>
      </c>
      <c r="Q213" s="10">
        <v>45</v>
      </c>
      <c r="R213" s="10">
        <v>5</v>
      </c>
      <c r="S213" s="10">
        <v>299.25</v>
      </c>
      <c r="T213" s="10">
        <v>3</v>
      </c>
      <c r="U213" s="10" t="s">
        <v>272</v>
      </c>
      <c r="V213" s="10" t="s">
        <v>255</v>
      </c>
      <c r="W213" s="10" t="s">
        <v>360</v>
      </c>
      <c r="X213" s="10">
        <v>9875249891</v>
      </c>
      <c r="Y213" s="12" t="s">
        <v>265</v>
      </c>
      <c r="Z213" t="str">
        <f t="shared" si="22"/>
        <v>Blacklisted</v>
      </c>
      <c r="AA213" t="str">
        <f t="shared" si="23"/>
        <v>Sneha Joshi</v>
      </c>
      <c r="AB213" t="str">
        <f t="shared" si="24"/>
        <v>Sne006Ah</v>
      </c>
      <c r="AC213" t="str">
        <f t="shared" si="27"/>
        <v>sneha.joshi@company.com</v>
      </c>
      <c r="AD213">
        <f t="shared" ca="1" si="28"/>
        <v>39</v>
      </c>
      <c r="AE213" t="str">
        <f t="shared" si="25"/>
        <v/>
      </c>
      <c r="AF213" t="str">
        <f t="shared" si="26"/>
        <v>Delayed</v>
      </c>
    </row>
    <row r="214" spans="4:32">
      <c r="D214" s="4" t="s">
        <v>708</v>
      </c>
      <c r="E214" s="5" t="s">
        <v>249</v>
      </c>
      <c r="F214" s="5" t="s">
        <v>294</v>
      </c>
      <c r="G214" s="6">
        <v>45694</v>
      </c>
      <c r="H214" s="6">
        <v>45875</v>
      </c>
      <c r="I214" s="5" t="s">
        <v>251</v>
      </c>
      <c r="J214" s="5" t="s">
        <v>239</v>
      </c>
      <c r="K214" s="6">
        <v>33489</v>
      </c>
      <c r="L214" s="5" t="s">
        <v>252</v>
      </c>
      <c r="M214" s="5" t="s">
        <v>242</v>
      </c>
      <c r="N214" s="5" t="s">
        <v>295</v>
      </c>
      <c r="O214" s="5" t="s">
        <v>296</v>
      </c>
      <c r="P214" s="5">
        <v>3</v>
      </c>
      <c r="Q214" s="5">
        <v>60</v>
      </c>
      <c r="R214" s="5">
        <v>15</v>
      </c>
      <c r="S214" s="5">
        <v>153</v>
      </c>
      <c r="T214" s="5">
        <v>3</v>
      </c>
      <c r="U214" s="5" t="s">
        <v>245</v>
      </c>
      <c r="V214" s="5" t="s">
        <v>263</v>
      </c>
      <c r="W214" s="5" t="s">
        <v>264</v>
      </c>
      <c r="X214" s="5">
        <v>9438232503</v>
      </c>
      <c r="Y214" s="8" t="s">
        <v>265</v>
      </c>
      <c r="Z214" t="str">
        <f t="shared" si="22"/>
        <v>Blacklisted</v>
      </c>
      <c r="AA214" t="str">
        <f t="shared" si="23"/>
        <v>Kavya Nair</v>
      </c>
      <c r="AB214" t="str">
        <f t="shared" si="24"/>
        <v>Kav008Hy</v>
      </c>
      <c r="AC214" t="str">
        <f t="shared" si="27"/>
        <v>kavya.nair@company.com</v>
      </c>
      <c r="AD214" t="str">
        <f t="shared" ca="1" si="28"/>
        <v/>
      </c>
      <c r="AE214" t="str">
        <f t="shared" si="25"/>
        <v/>
      </c>
      <c r="AF214" t="str">
        <f t="shared" si="26"/>
        <v>Delayed</v>
      </c>
    </row>
    <row r="215" spans="4:32">
      <c r="D215" s="9" t="s">
        <v>709</v>
      </c>
      <c r="E215" s="10" t="s">
        <v>235</v>
      </c>
      <c r="F215" s="10" t="s">
        <v>362</v>
      </c>
      <c r="G215" s="10" t="s">
        <v>111</v>
      </c>
      <c r="H215" s="11">
        <v>46117</v>
      </c>
      <c r="I215" s="10" t="s">
        <v>318</v>
      </c>
      <c r="J215" s="10" t="s">
        <v>239</v>
      </c>
      <c r="K215" s="10" t="s">
        <v>710</v>
      </c>
      <c r="L215" s="10" t="s">
        <v>291</v>
      </c>
      <c r="M215" s="10" t="s">
        <v>287</v>
      </c>
      <c r="N215" s="10" t="s">
        <v>295</v>
      </c>
      <c r="O215" s="10" t="s">
        <v>363</v>
      </c>
      <c r="P215" s="10">
        <v>19</v>
      </c>
      <c r="Q215" s="10">
        <v>45</v>
      </c>
      <c r="R215" s="10">
        <v>0</v>
      </c>
      <c r="S215" s="10">
        <v>855</v>
      </c>
      <c r="T215" s="10">
        <v>2</v>
      </c>
      <c r="U215" s="10" t="s">
        <v>254</v>
      </c>
      <c r="V215" s="10" t="s">
        <v>246</v>
      </c>
      <c r="W215" s="10" t="s">
        <v>247</v>
      </c>
      <c r="X215" s="10">
        <v>9449953754</v>
      </c>
      <c r="Y215" s="12" t="s">
        <v>257</v>
      </c>
      <c r="Z215" t="str">
        <f t="shared" si="22"/>
        <v>Blacklisted</v>
      </c>
      <c r="AA215" t="str">
        <f t="shared" si="23"/>
        <v>Pooja Shah</v>
      </c>
      <c r="AB215" t="str">
        <f t="shared" si="24"/>
        <v>Poo010Pu</v>
      </c>
      <c r="AC215" t="str">
        <f t="shared" si="27"/>
        <v>pooja.shah@company.com</v>
      </c>
      <c r="AD215">
        <f t="shared" ca="1" si="28"/>
        <v>35</v>
      </c>
      <c r="AE215" t="str">
        <f t="shared" si="25"/>
        <v/>
      </c>
      <c r="AF215" t="str">
        <f t="shared" si="26"/>
        <v>Delayed</v>
      </c>
    </row>
    <row r="216" spans="4:32">
      <c r="D216" s="4" t="s">
        <v>711</v>
      </c>
      <c r="E216" s="5" t="s">
        <v>284</v>
      </c>
      <c r="F216" s="5" t="s">
        <v>258</v>
      </c>
      <c r="G216" s="6">
        <v>46176</v>
      </c>
      <c r="H216" s="5" t="s">
        <v>44</v>
      </c>
      <c r="I216" s="5" t="s">
        <v>285</v>
      </c>
      <c r="J216" s="5" t="s">
        <v>239</v>
      </c>
      <c r="K216" s="6">
        <v>34795</v>
      </c>
      <c r="L216" s="5" t="s">
        <v>241</v>
      </c>
      <c r="M216" s="5" t="s">
        <v>242</v>
      </c>
      <c r="N216" s="5" t="s">
        <v>243</v>
      </c>
      <c r="O216" s="5" t="s">
        <v>262</v>
      </c>
      <c r="P216" s="5">
        <v>10</v>
      </c>
      <c r="Q216" s="5">
        <v>12000</v>
      </c>
      <c r="R216" s="5">
        <v>5</v>
      </c>
      <c r="S216" s="5">
        <v>114000</v>
      </c>
      <c r="T216" s="5">
        <v>1</v>
      </c>
      <c r="U216" s="5" t="s">
        <v>272</v>
      </c>
      <c r="V216" s="5" t="s">
        <v>292</v>
      </c>
      <c r="W216" s="5" t="s">
        <v>308</v>
      </c>
      <c r="X216" s="5">
        <v>9833801891</v>
      </c>
      <c r="Y216" s="8" t="s">
        <v>265</v>
      </c>
      <c r="Z216" t="str">
        <f t="shared" si="22"/>
        <v>Blacklisted</v>
      </c>
      <c r="AA216" t="str">
        <f t="shared" si="23"/>
        <v>Priya Patel</v>
      </c>
      <c r="AB216" t="str">
        <f t="shared" si="24"/>
        <v>Pri002Be</v>
      </c>
      <c r="AC216" t="str">
        <f t="shared" si="27"/>
        <v>priya.patel@company.com</v>
      </c>
      <c r="AD216" t="str">
        <f t="shared" ca="1" si="28"/>
        <v/>
      </c>
      <c r="AE216" t="str">
        <f t="shared" si="25"/>
        <v/>
      </c>
      <c r="AF216" t="str">
        <f t="shared" si="26"/>
        <v>Delayed</v>
      </c>
    </row>
    <row r="217" spans="4:32">
      <c r="D217" s="9" t="s">
        <v>712</v>
      </c>
      <c r="E217" s="10" t="s">
        <v>249</v>
      </c>
      <c r="F217" s="10" t="s">
        <v>267</v>
      </c>
      <c r="G217" s="10" t="s">
        <v>175</v>
      </c>
      <c r="H217" s="11">
        <v>45994</v>
      </c>
      <c r="I217" s="10" t="s">
        <v>251</v>
      </c>
      <c r="J217" s="10" t="s">
        <v>239</v>
      </c>
      <c r="K217" s="10" t="s">
        <v>713</v>
      </c>
      <c r="L217" s="10" t="s">
        <v>379</v>
      </c>
      <c r="M217" s="10" t="s">
        <v>21</v>
      </c>
      <c r="N217" s="10" t="s">
        <v>243</v>
      </c>
      <c r="O217" s="10" t="s">
        <v>271</v>
      </c>
      <c r="P217" s="10">
        <v>4</v>
      </c>
      <c r="Q217" s="10">
        <v>1200</v>
      </c>
      <c r="R217" s="10">
        <v>0</v>
      </c>
      <c r="S217" s="10">
        <v>4800</v>
      </c>
      <c r="T217" s="10">
        <v>4</v>
      </c>
      <c r="U217" s="10" t="s">
        <v>254</v>
      </c>
      <c r="V217" s="10" t="s">
        <v>246</v>
      </c>
      <c r="W217" s="10" t="s">
        <v>264</v>
      </c>
      <c r="X217" s="10">
        <v>9183949273</v>
      </c>
      <c r="Y217" s="12" t="s">
        <v>257</v>
      </c>
      <c r="Z217" t="str">
        <f t="shared" si="22"/>
        <v>Silver</v>
      </c>
      <c r="AA217" t="str">
        <f t="shared" si="23"/>
        <v>Kavya Nair</v>
      </c>
      <c r="AB217" t="str">
        <f t="shared" si="24"/>
        <v>Kav008Ko</v>
      </c>
      <c r="AC217" t="str">
        <f t="shared" si="27"/>
        <v>kavya.nair@company.com</v>
      </c>
      <c r="AD217">
        <f t="shared" ca="1" si="28"/>
        <v>31</v>
      </c>
      <c r="AE217" t="str">
        <f t="shared" si="25"/>
        <v/>
      </c>
      <c r="AF217" t="str">
        <f t="shared" si="26"/>
        <v>Delayed</v>
      </c>
    </row>
    <row r="218" spans="4:32">
      <c r="D218" s="4" t="s">
        <v>714</v>
      </c>
      <c r="E218" s="5" t="s">
        <v>346</v>
      </c>
      <c r="F218" s="5" t="s">
        <v>322</v>
      </c>
      <c r="G218" s="5" t="s">
        <v>205</v>
      </c>
      <c r="H218" s="6">
        <v>45849</v>
      </c>
      <c r="I218" s="5" t="s">
        <v>348</v>
      </c>
      <c r="J218" s="5" t="s">
        <v>269</v>
      </c>
      <c r="K218" s="6">
        <v>31330</v>
      </c>
      <c r="L218" s="5" t="s">
        <v>241</v>
      </c>
      <c r="M218" s="5" t="s">
        <v>242</v>
      </c>
      <c r="N218" s="5" t="s">
        <v>15</v>
      </c>
      <c r="O218" s="5" t="s">
        <v>325</v>
      </c>
      <c r="P218" s="5">
        <v>2</v>
      </c>
      <c r="Q218" s="5">
        <v>8500</v>
      </c>
      <c r="R218" s="5">
        <v>20</v>
      </c>
      <c r="S218" s="5">
        <v>13600</v>
      </c>
      <c r="T218" s="5">
        <v>3</v>
      </c>
      <c r="U218" s="5" t="s">
        <v>272</v>
      </c>
      <c r="V218" s="5" t="s">
        <v>312</v>
      </c>
      <c r="W218" s="5" t="s">
        <v>350</v>
      </c>
      <c r="X218" s="5">
        <v>9168257367</v>
      </c>
      <c r="Y218" s="8" t="s">
        <v>257</v>
      </c>
      <c r="Z218" t="str">
        <f t="shared" si="22"/>
        <v>Silver</v>
      </c>
      <c r="AA218" t="str">
        <f t="shared" si="23"/>
        <v>Vikas Mehta</v>
      </c>
      <c r="AB218" t="str">
        <f t="shared" si="24"/>
        <v>Vik005Be</v>
      </c>
      <c r="AC218" t="str">
        <f t="shared" si="27"/>
        <v>vikas.mehta@company.com</v>
      </c>
      <c r="AD218" t="str">
        <f t="shared" ca="1" si="28"/>
        <v/>
      </c>
      <c r="AE218" t="str">
        <f t="shared" si="25"/>
        <v/>
      </c>
      <c r="AF218" t="str">
        <f t="shared" si="26"/>
        <v>Delayed</v>
      </c>
    </row>
    <row r="219" spans="4:32">
      <c r="D219" s="9" t="s">
        <v>715</v>
      </c>
      <c r="E219" s="10" t="s">
        <v>275</v>
      </c>
      <c r="F219" s="10" t="s">
        <v>330</v>
      </c>
      <c r="G219" s="10" t="s">
        <v>194</v>
      </c>
      <c r="H219" s="11">
        <v>46236</v>
      </c>
      <c r="I219" s="10" t="s">
        <v>328</v>
      </c>
      <c r="J219" s="10" t="s">
        <v>269</v>
      </c>
      <c r="K219" s="11">
        <v>37438</v>
      </c>
      <c r="L219" s="10" t="s">
        <v>379</v>
      </c>
      <c r="M219" s="10" t="s">
        <v>21</v>
      </c>
      <c r="N219" s="10" t="s">
        <v>243</v>
      </c>
      <c r="O219" s="10" t="s">
        <v>333</v>
      </c>
      <c r="P219" s="10">
        <v>7</v>
      </c>
      <c r="Q219" s="10">
        <v>700</v>
      </c>
      <c r="R219" s="10">
        <v>20</v>
      </c>
      <c r="S219" s="10">
        <v>3920</v>
      </c>
      <c r="T219" s="10">
        <v>2</v>
      </c>
      <c r="U219" s="10" t="s">
        <v>272</v>
      </c>
      <c r="V219" s="10" t="s">
        <v>312</v>
      </c>
      <c r="W219" s="10" t="s">
        <v>278</v>
      </c>
      <c r="X219" s="10">
        <v>9580903210</v>
      </c>
      <c r="Y219" s="12" t="s">
        <v>248</v>
      </c>
      <c r="Z219" t="str">
        <f t="shared" si="22"/>
        <v>Blacklisted</v>
      </c>
      <c r="AA219" t="str">
        <f t="shared" si="23"/>
        <v>Arjun Rao</v>
      </c>
      <c r="AB219" t="str">
        <f t="shared" si="24"/>
        <v>Arj007Ko</v>
      </c>
      <c r="AC219" t="str">
        <f t="shared" si="27"/>
        <v>arjun.rao@company.com</v>
      </c>
      <c r="AD219">
        <f t="shared" ca="1" si="28"/>
        <v>41</v>
      </c>
      <c r="AE219" t="str">
        <f t="shared" si="25"/>
        <v/>
      </c>
      <c r="AF219" t="str">
        <f t="shared" si="26"/>
        <v>Delayed</v>
      </c>
    </row>
    <row r="220" spans="4:32">
      <c r="D220" s="4" t="s">
        <v>716</v>
      </c>
      <c r="E220" s="5" t="s">
        <v>235</v>
      </c>
      <c r="F220" s="5" t="s">
        <v>347</v>
      </c>
      <c r="G220" s="5" t="s">
        <v>186</v>
      </c>
      <c r="H220" s="6">
        <v>46086</v>
      </c>
      <c r="I220" s="5" t="s">
        <v>318</v>
      </c>
      <c r="J220" s="5" t="s">
        <v>239</v>
      </c>
      <c r="K220" s="5" t="s">
        <v>717</v>
      </c>
      <c r="L220" s="5" t="s">
        <v>291</v>
      </c>
      <c r="M220" s="5" t="s">
        <v>287</v>
      </c>
      <c r="N220" s="5" t="s">
        <v>295</v>
      </c>
      <c r="O220" s="5" t="s">
        <v>349</v>
      </c>
      <c r="P220" s="5">
        <v>9</v>
      </c>
      <c r="Q220" s="5">
        <v>20</v>
      </c>
      <c r="R220" s="5">
        <v>15</v>
      </c>
      <c r="S220" s="5">
        <v>153</v>
      </c>
      <c r="T220" s="5">
        <v>3</v>
      </c>
      <c r="U220" s="5" t="s">
        <v>245</v>
      </c>
      <c r="V220" s="5" t="s">
        <v>292</v>
      </c>
      <c r="W220" s="5" t="s">
        <v>247</v>
      </c>
      <c r="X220" s="5">
        <v>9602152945</v>
      </c>
      <c r="Y220" s="8" t="s">
        <v>257</v>
      </c>
      <c r="Z220" t="str">
        <f t="shared" si="22"/>
        <v>Silver</v>
      </c>
      <c r="AA220" t="str">
        <f t="shared" si="23"/>
        <v>Pooja Shah</v>
      </c>
      <c r="AB220" t="str">
        <f t="shared" si="24"/>
        <v>Poo010Pu</v>
      </c>
      <c r="AC220" t="str">
        <f t="shared" si="27"/>
        <v>pooja.shah@company.com</v>
      </c>
      <c r="AD220">
        <f t="shared" ca="1" si="28"/>
        <v>24</v>
      </c>
      <c r="AE220" t="str">
        <f t="shared" si="25"/>
        <v/>
      </c>
      <c r="AF220" t="str">
        <f t="shared" si="26"/>
        <v>Delayed</v>
      </c>
    </row>
    <row r="221" spans="4:32">
      <c r="D221" s="9" t="s">
        <v>718</v>
      </c>
      <c r="E221" s="10" t="s">
        <v>284</v>
      </c>
      <c r="F221" s="10" t="s">
        <v>322</v>
      </c>
      <c r="G221" s="10" t="s">
        <v>68</v>
      </c>
      <c r="H221" s="10" t="s">
        <v>91</v>
      </c>
      <c r="I221" s="10" t="s">
        <v>285</v>
      </c>
      <c r="J221" s="10" t="s">
        <v>239</v>
      </c>
      <c r="K221" s="11">
        <v>32913</v>
      </c>
      <c r="L221" s="10" t="s">
        <v>379</v>
      </c>
      <c r="M221" s="10" t="s">
        <v>21</v>
      </c>
      <c r="N221" s="10" t="s">
        <v>15</v>
      </c>
      <c r="O221" s="10" t="s">
        <v>325</v>
      </c>
      <c r="P221" s="10">
        <v>16</v>
      </c>
      <c r="Q221" s="10">
        <v>8500</v>
      </c>
      <c r="R221" s="10">
        <v>0</v>
      </c>
      <c r="S221" s="10">
        <v>136000</v>
      </c>
      <c r="T221" s="10">
        <v>4</v>
      </c>
      <c r="U221" s="10" t="s">
        <v>245</v>
      </c>
      <c r="V221" s="10" t="s">
        <v>255</v>
      </c>
      <c r="W221" s="10" t="s">
        <v>308</v>
      </c>
      <c r="X221" s="10">
        <v>9646917552</v>
      </c>
      <c r="Y221" s="12" t="s">
        <v>257</v>
      </c>
      <c r="Z221" t="str">
        <f t="shared" si="22"/>
        <v>Platinum</v>
      </c>
      <c r="AA221" t="str">
        <f t="shared" si="23"/>
        <v>Priya Patel</v>
      </c>
      <c r="AB221" t="str">
        <f t="shared" si="24"/>
        <v>Pri002Ko</v>
      </c>
      <c r="AC221" t="str">
        <f t="shared" si="27"/>
        <v>priya.patel@company.com</v>
      </c>
      <c r="AD221" t="str">
        <f t="shared" ca="1" si="28"/>
        <v/>
      </c>
      <c r="AE221">
        <f t="shared" si="25"/>
        <v>2</v>
      </c>
      <c r="AF221" t="str">
        <f t="shared" si="26"/>
        <v>On time</v>
      </c>
    </row>
    <row r="222" spans="4:32">
      <c r="D222" s="4" t="s">
        <v>719</v>
      </c>
      <c r="E222" s="5" t="s">
        <v>358</v>
      </c>
      <c r="F222" s="5" t="s">
        <v>280</v>
      </c>
      <c r="G222" s="5" t="s">
        <v>152</v>
      </c>
      <c r="H222" s="5" t="s">
        <v>720</v>
      </c>
      <c r="I222" s="5" t="s">
        <v>359</v>
      </c>
      <c r="J222" s="5" t="s">
        <v>239</v>
      </c>
      <c r="K222" s="6">
        <v>33642</v>
      </c>
      <c r="L222" s="5" t="s">
        <v>260</v>
      </c>
      <c r="M222" s="5" t="s">
        <v>261</v>
      </c>
      <c r="N222" s="5" t="s">
        <v>15</v>
      </c>
      <c r="O222" s="5" t="s">
        <v>282</v>
      </c>
      <c r="P222" s="5">
        <v>10</v>
      </c>
      <c r="Q222" s="5">
        <v>3500</v>
      </c>
      <c r="R222" s="5">
        <v>5</v>
      </c>
      <c r="S222" s="5">
        <v>33250</v>
      </c>
      <c r="T222" s="5">
        <v>3</v>
      </c>
      <c r="U222" s="5" t="s">
        <v>245</v>
      </c>
      <c r="V222" s="5" t="s">
        <v>292</v>
      </c>
      <c r="W222" s="5" t="s">
        <v>360</v>
      </c>
      <c r="X222" s="5">
        <v>9127548552</v>
      </c>
      <c r="Y222" s="8" t="s">
        <v>257</v>
      </c>
      <c r="Z222" t="str">
        <f t="shared" si="22"/>
        <v>Silver</v>
      </c>
      <c r="AA222" t="str">
        <f t="shared" si="23"/>
        <v>Sneha Joshi</v>
      </c>
      <c r="AB222" t="str">
        <f t="shared" si="24"/>
        <v>Sne006De</v>
      </c>
      <c r="AC222" t="str">
        <f t="shared" si="27"/>
        <v>sneha.joshi@company.com</v>
      </c>
      <c r="AD222">
        <f t="shared" ca="1" si="28"/>
        <v>36</v>
      </c>
      <c r="AE222">
        <f t="shared" si="25"/>
        <v>2</v>
      </c>
      <c r="AF222" t="str">
        <f t="shared" si="26"/>
        <v>On time</v>
      </c>
    </row>
    <row r="223" spans="4:32">
      <c r="D223" s="9" t="s">
        <v>721</v>
      </c>
      <c r="E223" s="10" t="s">
        <v>235</v>
      </c>
      <c r="F223" s="10" t="s">
        <v>258</v>
      </c>
      <c r="G223" s="10" t="s">
        <v>74</v>
      </c>
      <c r="H223" s="10" t="s">
        <v>161</v>
      </c>
      <c r="I223" s="10" t="s">
        <v>318</v>
      </c>
      <c r="J223" s="10" t="s">
        <v>239</v>
      </c>
      <c r="K223" s="11">
        <v>29466</v>
      </c>
      <c r="L223" s="10" t="s">
        <v>379</v>
      </c>
      <c r="M223" s="10" t="s">
        <v>21</v>
      </c>
      <c r="N223" s="10" t="s">
        <v>243</v>
      </c>
      <c r="O223" s="10" t="s">
        <v>262</v>
      </c>
      <c r="P223" s="10">
        <v>1</v>
      </c>
      <c r="Q223" s="10">
        <v>12000</v>
      </c>
      <c r="R223" s="10">
        <v>0</v>
      </c>
      <c r="S223" s="10">
        <v>12000</v>
      </c>
      <c r="T223" s="10">
        <v>5</v>
      </c>
      <c r="U223" s="10" t="s">
        <v>277</v>
      </c>
      <c r="V223" s="10" t="s">
        <v>292</v>
      </c>
      <c r="W223" s="10" t="s">
        <v>247</v>
      </c>
      <c r="X223" s="10">
        <v>9712805603</v>
      </c>
      <c r="Y223" s="12" t="s">
        <v>248</v>
      </c>
      <c r="Z223" t="str">
        <f t="shared" si="22"/>
        <v/>
      </c>
      <c r="AA223" t="str">
        <f t="shared" si="23"/>
        <v>Pooja Shah</v>
      </c>
      <c r="AB223" t="str">
        <f t="shared" si="24"/>
        <v>Poo010Ko</v>
      </c>
      <c r="AC223" t="str">
        <f t="shared" si="27"/>
        <v>pooja.shah@company.com</v>
      </c>
      <c r="AD223">
        <f t="shared" ca="1" si="28"/>
        <v>34</v>
      </c>
      <c r="AE223">
        <f t="shared" si="25"/>
        <v>8</v>
      </c>
      <c r="AF223" t="str">
        <f t="shared" si="26"/>
        <v>Delayed</v>
      </c>
    </row>
    <row r="224" spans="4:32">
      <c r="D224" s="4" t="s">
        <v>722</v>
      </c>
      <c r="E224" s="5" t="s">
        <v>392</v>
      </c>
      <c r="F224" s="5" t="s">
        <v>362</v>
      </c>
      <c r="G224" s="6">
        <v>46058</v>
      </c>
      <c r="H224" s="6">
        <v>46300</v>
      </c>
      <c r="I224" s="5" t="s">
        <v>323</v>
      </c>
      <c r="J224" s="5" t="s">
        <v>269</v>
      </c>
      <c r="K224" s="5" t="s">
        <v>723</v>
      </c>
      <c r="L224" s="5" t="s">
        <v>379</v>
      </c>
      <c r="M224" s="5" t="s">
        <v>21</v>
      </c>
      <c r="N224" s="5" t="s">
        <v>295</v>
      </c>
      <c r="O224" s="5" t="s">
        <v>363</v>
      </c>
      <c r="P224" s="5">
        <v>19</v>
      </c>
      <c r="Q224" s="5">
        <v>45</v>
      </c>
      <c r="R224" s="5">
        <v>15</v>
      </c>
      <c r="S224" s="5">
        <v>726.75</v>
      </c>
      <c r="T224" s="5">
        <v>2</v>
      </c>
      <c r="U224" s="5" t="s">
        <v>277</v>
      </c>
      <c r="V224" s="5" t="s">
        <v>312</v>
      </c>
      <c r="W224" s="5" t="s">
        <v>395</v>
      </c>
      <c r="X224" s="5">
        <v>9798313682</v>
      </c>
      <c r="Y224" s="8" t="s">
        <v>248</v>
      </c>
      <c r="Z224" t="str">
        <f t="shared" si="22"/>
        <v>Blacklisted</v>
      </c>
      <c r="AA224" t="str">
        <f t="shared" si="23"/>
        <v>Amit Sharma</v>
      </c>
      <c r="AB224" t="str">
        <f t="shared" si="24"/>
        <v>Ami001Ko</v>
      </c>
      <c r="AC224" t="str">
        <f t="shared" si="27"/>
        <v>amit.sharma@company.com</v>
      </c>
      <c r="AD224">
        <f t="shared" ca="1" si="28"/>
        <v>46</v>
      </c>
      <c r="AE224" t="str">
        <f t="shared" si="25"/>
        <v/>
      </c>
      <c r="AF224" t="str">
        <f t="shared" si="26"/>
        <v>Delayed</v>
      </c>
    </row>
    <row r="225" spans="4:32">
      <c r="D225" s="9" t="s">
        <v>724</v>
      </c>
      <c r="E225" s="10" t="s">
        <v>249</v>
      </c>
      <c r="F225" s="10" t="s">
        <v>236</v>
      </c>
      <c r="G225" s="10" t="s">
        <v>205</v>
      </c>
      <c r="H225" s="11">
        <v>45699</v>
      </c>
      <c r="I225" s="10" t="s">
        <v>251</v>
      </c>
      <c r="J225" s="10" t="s">
        <v>239</v>
      </c>
      <c r="K225" s="11">
        <v>34251</v>
      </c>
      <c r="L225" s="10" t="s">
        <v>260</v>
      </c>
      <c r="M225" s="10" t="s">
        <v>261</v>
      </c>
      <c r="N225" s="10" t="s">
        <v>243</v>
      </c>
      <c r="O225" s="10" t="s">
        <v>244</v>
      </c>
      <c r="P225" s="10">
        <v>13</v>
      </c>
      <c r="Q225" s="10">
        <v>55000</v>
      </c>
      <c r="R225" s="10">
        <v>5</v>
      </c>
      <c r="S225" s="10">
        <v>679250</v>
      </c>
      <c r="T225" s="10">
        <v>4</v>
      </c>
      <c r="U225" s="10" t="s">
        <v>272</v>
      </c>
      <c r="V225" s="10" t="s">
        <v>263</v>
      </c>
      <c r="W225" s="10" t="s">
        <v>264</v>
      </c>
      <c r="X225" s="10">
        <v>9642822397</v>
      </c>
      <c r="Y225" s="12" t="s">
        <v>265</v>
      </c>
      <c r="Z225" t="str">
        <f t="shared" si="22"/>
        <v>Blacklisted</v>
      </c>
      <c r="AA225" t="str">
        <f t="shared" si="23"/>
        <v>Kavya Nair</v>
      </c>
      <c r="AB225" t="str">
        <f t="shared" si="24"/>
        <v>Kav008De</v>
      </c>
      <c r="AC225" t="str">
        <f t="shared" si="27"/>
        <v>kavya.nair@company.com</v>
      </c>
      <c r="AD225" t="str">
        <f t="shared" ca="1" si="28"/>
        <v/>
      </c>
      <c r="AE225" t="str">
        <f t="shared" si="25"/>
        <v/>
      </c>
      <c r="AF225" t="str">
        <f t="shared" si="26"/>
        <v>Delayed</v>
      </c>
    </row>
    <row r="226" spans="4:32">
      <c r="D226" s="4" t="s">
        <v>725</v>
      </c>
      <c r="E226" s="5" t="s">
        <v>275</v>
      </c>
      <c r="F226" s="5" t="s">
        <v>362</v>
      </c>
      <c r="G226" s="5" t="s">
        <v>93</v>
      </c>
      <c r="H226" s="5" t="s">
        <v>157</v>
      </c>
      <c r="I226" s="5" t="s">
        <v>328</v>
      </c>
      <c r="J226" s="5" t="s">
        <v>269</v>
      </c>
      <c r="K226" s="5" t="s">
        <v>726</v>
      </c>
      <c r="L226" s="5" t="s">
        <v>286</v>
      </c>
      <c r="M226" s="5" t="s">
        <v>287</v>
      </c>
      <c r="N226" s="5" t="s">
        <v>295</v>
      </c>
      <c r="O226" s="5" t="s">
        <v>363</v>
      </c>
      <c r="P226" s="5">
        <v>2</v>
      </c>
      <c r="Q226" s="5">
        <v>45</v>
      </c>
      <c r="R226" s="5">
        <v>15</v>
      </c>
      <c r="S226" s="5">
        <v>76.5</v>
      </c>
      <c r="T226" s="5">
        <v>1</v>
      </c>
      <c r="U226" s="5" t="s">
        <v>245</v>
      </c>
      <c r="V226" s="5" t="s">
        <v>292</v>
      </c>
      <c r="W226" s="5" t="s">
        <v>278</v>
      </c>
      <c r="X226" s="5">
        <v>9490067655</v>
      </c>
      <c r="Y226" s="8" t="s">
        <v>257</v>
      </c>
      <c r="Z226" t="str">
        <f t="shared" si="22"/>
        <v>Blacklisted</v>
      </c>
      <c r="AA226" t="str">
        <f t="shared" si="23"/>
        <v>Arjun Rao</v>
      </c>
      <c r="AB226" t="str">
        <f t="shared" si="24"/>
        <v>Arj007Mu</v>
      </c>
      <c r="AC226" t="str">
        <f t="shared" si="27"/>
        <v>arjun.rao@company.com</v>
      </c>
      <c r="AD226">
        <f t="shared" ca="1" si="28"/>
        <v>33</v>
      </c>
      <c r="AE226">
        <f t="shared" si="25"/>
        <v>6</v>
      </c>
      <c r="AF226" t="str">
        <f t="shared" si="26"/>
        <v>Delayed</v>
      </c>
    </row>
    <row r="227" spans="4:32">
      <c r="D227" s="9" t="s">
        <v>727</v>
      </c>
      <c r="E227" s="10" t="s">
        <v>284</v>
      </c>
      <c r="F227" s="10" t="s">
        <v>347</v>
      </c>
      <c r="G227" s="10" t="s">
        <v>75</v>
      </c>
      <c r="H227" s="10" t="s">
        <v>728</v>
      </c>
      <c r="I227" s="10" t="s">
        <v>285</v>
      </c>
      <c r="J227" s="10" t="s">
        <v>239</v>
      </c>
      <c r="K227" s="10" t="s">
        <v>729</v>
      </c>
      <c r="L227" s="10" t="s">
        <v>252</v>
      </c>
      <c r="M227" s="10" t="s">
        <v>242</v>
      </c>
      <c r="N227" s="10" t="s">
        <v>295</v>
      </c>
      <c r="O227" s="10" t="s">
        <v>349</v>
      </c>
      <c r="P227" s="10">
        <v>8</v>
      </c>
      <c r="Q227" s="10">
        <v>20</v>
      </c>
      <c r="R227" s="10">
        <v>15</v>
      </c>
      <c r="S227" s="10">
        <v>136</v>
      </c>
      <c r="T227" s="10">
        <v>1</v>
      </c>
      <c r="U227" s="10" t="s">
        <v>272</v>
      </c>
      <c r="V227" s="10" t="s">
        <v>255</v>
      </c>
      <c r="W227" s="10" t="s">
        <v>308</v>
      </c>
      <c r="X227" s="10">
        <v>9389792144</v>
      </c>
      <c r="Y227" s="12" t="s">
        <v>248</v>
      </c>
      <c r="Z227" t="str">
        <f t="shared" si="22"/>
        <v>Blacklisted</v>
      </c>
      <c r="AA227" t="str">
        <f t="shared" si="23"/>
        <v>Priya Patel</v>
      </c>
      <c r="AB227" t="str">
        <f t="shared" si="24"/>
        <v>Pri002Hy</v>
      </c>
      <c r="AC227" t="str">
        <f t="shared" si="27"/>
        <v>priya.patel@company.com</v>
      </c>
      <c r="AD227" t="str">
        <f t="shared" ca="1" si="28"/>
        <v/>
      </c>
      <c r="AE227">
        <f t="shared" si="25"/>
        <v>5</v>
      </c>
      <c r="AF227" t="str">
        <f t="shared" si="26"/>
        <v>On time</v>
      </c>
    </row>
    <row r="228" spans="4:32">
      <c r="D228" s="4" t="s">
        <v>730</v>
      </c>
      <c r="E228" s="5" t="s">
        <v>321</v>
      </c>
      <c r="F228" s="5" t="s">
        <v>258</v>
      </c>
      <c r="G228" s="5" t="s">
        <v>89</v>
      </c>
      <c r="H228" s="6">
        <v>45662</v>
      </c>
      <c r="I228" s="5" t="s">
        <v>408</v>
      </c>
      <c r="J228" s="5" t="s">
        <v>239</v>
      </c>
      <c r="K228" s="5" t="s">
        <v>731</v>
      </c>
      <c r="L228" s="5" t="s">
        <v>252</v>
      </c>
      <c r="M228" s="5" t="s">
        <v>242</v>
      </c>
      <c r="N228" s="5" t="s">
        <v>243</v>
      </c>
      <c r="O228" s="5" t="s">
        <v>262</v>
      </c>
      <c r="P228" s="5">
        <v>9</v>
      </c>
      <c r="Q228" s="5">
        <v>12000</v>
      </c>
      <c r="R228" s="5">
        <v>5</v>
      </c>
      <c r="S228" s="5">
        <v>102600</v>
      </c>
      <c r="T228" s="5">
        <v>2</v>
      </c>
      <c r="U228" s="5" t="s">
        <v>272</v>
      </c>
      <c r="V228" s="5" t="s">
        <v>255</v>
      </c>
      <c r="W228" s="5" t="s">
        <v>326</v>
      </c>
      <c r="X228" s="5">
        <v>9736113863</v>
      </c>
      <c r="Y228" s="8" t="s">
        <v>265</v>
      </c>
      <c r="Z228" t="str">
        <f t="shared" si="22"/>
        <v>Blacklisted</v>
      </c>
      <c r="AA228" t="str">
        <f t="shared" si="23"/>
        <v>Anita Gupta</v>
      </c>
      <c r="AB228" t="str">
        <f t="shared" si="24"/>
        <v>Ani004Hy</v>
      </c>
      <c r="AC228" t="str">
        <f t="shared" si="27"/>
        <v>anita.gupta@company.com</v>
      </c>
      <c r="AD228" t="str">
        <f t="shared" ca="1" si="28"/>
        <v/>
      </c>
      <c r="AE228" t="str">
        <f t="shared" si="25"/>
        <v/>
      </c>
      <c r="AF228" t="str">
        <f t="shared" si="26"/>
        <v>Delayed</v>
      </c>
    </row>
    <row r="229" spans="4:32">
      <c r="D229" s="9" t="s">
        <v>732</v>
      </c>
      <c r="E229" s="10" t="s">
        <v>266</v>
      </c>
      <c r="F229" s="10" t="s">
        <v>280</v>
      </c>
      <c r="G229" s="11">
        <v>45783</v>
      </c>
      <c r="H229" s="10" t="s">
        <v>733</v>
      </c>
      <c r="I229" s="10" t="s">
        <v>268</v>
      </c>
      <c r="J229" s="10" t="s">
        <v>269</v>
      </c>
      <c r="K229" s="11">
        <v>34612</v>
      </c>
      <c r="L229" s="10" t="s">
        <v>379</v>
      </c>
      <c r="M229" s="10" t="s">
        <v>21</v>
      </c>
      <c r="N229" s="10" t="s">
        <v>15</v>
      </c>
      <c r="O229" s="10" t="s">
        <v>282</v>
      </c>
      <c r="P229" s="10">
        <v>3</v>
      </c>
      <c r="Q229" s="10">
        <v>3500</v>
      </c>
      <c r="R229" s="10">
        <v>15</v>
      </c>
      <c r="S229" s="10">
        <v>8925</v>
      </c>
      <c r="T229" s="10">
        <v>1</v>
      </c>
      <c r="U229" s="10" t="s">
        <v>254</v>
      </c>
      <c r="V229" s="10" t="s">
        <v>263</v>
      </c>
      <c r="W229" s="10" t="s">
        <v>273</v>
      </c>
      <c r="X229" s="10">
        <v>9324634732</v>
      </c>
      <c r="Y229" s="12" t="s">
        <v>265</v>
      </c>
      <c r="Z229" t="str">
        <f t="shared" si="22"/>
        <v>Blacklisted</v>
      </c>
      <c r="AA229" t="str">
        <f t="shared" si="23"/>
        <v>Mohit Verma</v>
      </c>
      <c r="AB229" t="str">
        <f t="shared" si="24"/>
        <v>Moh009Ko</v>
      </c>
      <c r="AC229" t="str">
        <f t="shared" si="27"/>
        <v>mohit.verma@company.com</v>
      </c>
      <c r="AD229" t="str">
        <f t="shared" ca="1" si="28"/>
        <v/>
      </c>
      <c r="AE229" t="str">
        <f t="shared" si="25"/>
        <v/>
      </c>
      <c r="AF229" t="str">
        <f t="shared" si="26"/>
        <v>Delayed</v>
      </c>
    </row>
    <row r="230" spans="4:32">
      <c r="D230" s="4" t="s">
        <v>734</v>
      </c>
      <c r="E230" s="5" t="s">
        <v>284</v>
      </c>
      <c r="F230" s="5" t="s">
        <v>330</v>
      </c>
      <c r="G230" s="5" t="s">
        <v>91</v>
      </c>
      <c r="H230" s="5" t="s">
        <v>735</v>
      </c>
      <c r="I230" s="5" t="s">
        <v>285</v>
      </c>
      <c r="J230" s="5" t="s">
        <v>239</v>
      </c>
      <c r="K230" s="5" t="s">
        <v>736</v>
      </c>
      <c r="L230" s="5" t="s">
        <v>252</v>
      </c>
      <c r="M230" s="5" t="s">
        <v>242</v>
      </c>
      <c r="N230" s="5" t="s">
        <v>243</v>
      </c>
      <c r="O230" s="5" t="s">
        <v>333</v>
      </c>
      <c r="P230" s="5">
        <v>18</v>
      </c>
      <c r="Q230" s="5">
        <v>700</v>
      </c>
      <c r="R230" s="5">
        <v>20</v>
      </c>
      <c r="S230" s="5">
        <v>10080</v>
      </c>
      <c r="T230" s="5">
        <v>1</v>
      </c>
      <c r="U230" s="5" t="s">
        <v>272</v>
      </c>
      <c r="V230" s="5" t="s">
        <v>312</v>
      </c>
      <c r="W230" s="5" t="s">
        <v>308</v>
      </c>
      <c r="X230" s="5">
        <v>9529968110</v>
      </c>
      <c r="Y230" s="8" t="s">
        <v>257</v>
      </c>
      <c r="Z230" t="str">
        <f t="shared" si="22"/>
        <v>Blacklisted</v>
      </c>
      <c r="AA230" t="str">
        <f t="shared" si="23"/>
        <v>Priya Patel</v>
      </c>
      <c r="AB230" t="str">
        <f t="shared" si="24"/>
        <v>Pri002Hy</v>
      </c>
      <c r="AC230" t="str">
        <f t="shared" si="27"/>
        <v>priya.patel@company.com</v>
      </c>
      <c r="AD230">
        <f t="shared" ca="1" si="28"/>
        <v>32</v>
      </c>
      <c r="AE230">
        <f t="shared" si="25"/>
        <v>3</v>
      </c>
      <c r="AF230" t="str">
        <f t="shared" si="26"/>
        <v>On time</v>
      </c>
    </row>
    <row r="231" spans="4:32">
      <c r="D231" s="9" t="s">
        <v>737</v>
      </c>
      <c r="E231" s="10" t="s">
        <v>266</v>
      </c>
      <c r="F231" s="10" t="s">
        <v>280</v>
      </c>
      <c r="G231" s="10" t="s">
        <v>129</v>
      </c>
      <c r="H231" s="10" t="s">
        <v>202</v>
      </c>
      <c r="I231" s="10" t="s">
        <v>268</v>
      </c>
      <c r="J231" s="10" t="s">
        <v>269</v>
      </c>
      <c r="K231" s="10" t="s">
        <v>738</v>
      </c>
      <c r="L231" s="10" t="s">
        <v>291</v>
      </c>
      <c r="M231" s="10" t="s">
        <v>287</v>
      </c>
      <c r="N231" s="10" t="s">
        <v>15</v>
      </c>
      <c r="O231" s="10" t="s">
        <v>282</v>
      </c>
      <c r="P231" s="10">
        <v>14</v>
      </c>
      <c r="Q231" s="10">
        <v>3500</v>
      </c>
      <c r="R231" s="10">
        <v>5</v>
      </c>
      <c r="S231" s="10">
        <v>46550</v>
      </c>
      <c r="T231" s="10">
        <v>1</v>
      </c>
      <c r="U231" s="10" t="s">
        <v>254</v>
      </c>
      <c r="V231" s="10" t="s">
        <v>246</v>
      </c>
      <c r="W231" s="10" t="s">
        <v>273</v>
      </c>
      <c r="X231" s="10">
        <v>9102417647</v>
      </c>
      <c r="Y231" s="12" t="s">
        <v>257</v>
      </c>
      <c r="Z231" t="str">
        <f t="shared" si="22"/>
        <v>Blacklisted</v>
      </c>
      <c r="AA231" t="str">
        <f t="shared" si="23"/>
        <v>Mohit Verma</v>
      </c>
      <c r="AB231" t="str">
        <f t="shared" si="24"/>
        <v>Moh009Pu</v>
      </c>
      <c r="AC231" t="str">
        <f t="shared" si="27"/>
        <v>mohit.verma@company.com</v>
      </c>
      <c r="AD231" t="str">
        <f t="shared" ca="1" si="28"/>
        <v/>
      </c>
      <c r="AE231">
        <f t="shared" si="25"/>
        <v>7</v>
      </c>
      <c r="AF231" t="str">
        <f t="shared" si="26"/>
        <v>Delayed</v>
      </c>
    </row>
    <row r="232" spans="4:32">
      <c r="D232" s="4" t="s">
        <v>739</v>
      </c>
      <c r="E232" s="5" t="s">
        <v>284</v>
      </c>
      <c r="F232" s="5" t="s">
        <v>330</v>
      </c>
      <c r="G232" s="6">
        <v>45694</v>
      </c>
      <c r="H232" s="6">
        <v>45753</v>
      </c>
      <c r="I232" s="5" t="s">
        <v>285</v>
      </c>
      <c r="J232" s="5" t="s">
        <v>239</v>
      </c>
      <c r="K232" s="5" t="s">
        <v>740</v>
      </c>
      <c r="L232" s="5" t="s">
        <v>379</v>
      </c>
      <c r="M232" s="5" t="s">
        <v>21</v>
      </c>
      <c r="N232" s="5" t="s">
        <v>243</v>
      </c>
      <c r="O232" s="5" t="s">
        <v>333</v>
      </c>
      <c r="P232" s="5">
        <v>6</v>
      </c>
      <c r="Q232" s="5">
        <v>700</v>
      </c>
      <c r="R232" s="5">
        <v>5</v>
      </c>
      <c r="S232" s="5">
        <v>3990</v>
      </c>
      <c r="T232" s="5">
        <v>5</v>
      </c>
      <c r="U232" s="5" t="s">
        <v>254</v>
      </c>
      <c r="V232" s="5" t="s">
        <v>255</v>
      </c>
      <c r="W232" s="5" t="s">
        <v>308</v>
      </c>
      <c r="X232" s="5">
        <v>9630302865</v>
      </c>
      <c r="Y232" s="8" t="s">
        <v>257</v>
      </c>
      <c r="Z232" t="str">
        <f t="shared" si="22"/>
        <v>Silver</v>
      </c>
      <c r="AA232" t="str">
        <f t="shared" si="23"/>
        <v>Priya Patel</v>
      </c>
      <c r="AB232" t="str">
        <f t="shared" si="24"/>
        <v>Pri002Ko</v>
      </c>
      <c r="AC232" t="str">
        <f t="shared" si="27"/>
        <v>priya.patel@company.com</v>
      </c>
      <c r="AD232" t="str">
        <f t="shared" ca="1" si="28"/>
        <v/>
      </c>
      <c r="AE232" t="str">
        <f t="shared" si="25"/>
        <v/>
      </c>
      <c r="AF232" t="str">
        <f t="shared" si="26"/>
        <v>Delayed</v>
      </c>
    </row>
    <row r="233" spans="4:32">
      <c r="D233" s="9" t="s">
        <v>741</v>
      </c>
      <c r="E233" s="10" t="s">
        <v>284</v>
      </c>
      <c r="F233" s="10" t="s">
        <v>280</v>
      </c>
      <c r="G233" s="11">
        <v>45967</v>
      </c>
      <c r="H233" s="10" t="s">
        <v>80</v>
      </c>
      <c r="I233" s="10" t="s">
        <v>285</v>
      </c>
      <c r="J233" s="10" t="s">
        <v>239</v>
      </c>
      <c r="K233" s="10" t="s">
        <v>742</v>
      </c>
      <c r="L233" s="10" t="s">
        <v>286</v>
      </c>
      <c r="M233" s="10" t="s">
        <v>287</v>
      </c>
      <c r="N233" s="10" t="s">
        <v>15</v>
      </c>
      <c r="O233" s="10" t="s">
        <v>282</v>
      </c>
      <c r="P233" s="10">
        <v>17</v>
      </c>
      <c r="Q233" s="10">
        <v>3500</v>
      </c>
      <c r="R233" s="10">
        <v>15</v>
      </c>
      <c r="S233" s="10">
        <v>50575</v>
      </c>
      <c r="T233" s="10">
        <v>3</v>
      </c>
      <c r="U233" s="10" t="s">
        <v>245</v>
      </c>
      <c r="V233" s="10" t="s">
        <v>263</v>
      </c>
      <c r="W233" s="10" t="s">
        <v>308</v>
      </c>
      <c r="X233" s="10">
        <v>9465353780</v>
      </c>
      <c r="Y233" s="12" t="s">
        <v>248</v>
      </c>
      <c r="Z233" t="str">
        <f t="shared" si="22"/>
        <v/>
      </c>
      <c r="AA233" t="str">
        <f t="shared" si="23"/>
        <v>Priya Patel</v>
      </c>
      <c r="AB233" t="str">
        <f t="shared" si="24"/>
        <v>Pri002Mu</v>
      </c>
      <c r="AC233" t="str">
        <f t="shared" si="27"/>
        <v>priya.patel@company.com</v>
      </c>
      <c r="AD233" t="str">
        <f t="shared" ca="1" si="28"/>
        <v/>
      </c>
      <c r="AE233" t="str">
        <f t="shared" si="25"/>
        <v/>
      </c>
      <c r="AF233" t="str">
        <f t="shared" si="26"/>
        <v>Delayed</v>
      </c>
    </row>
    <row r="234" spans="4:32">
      <c r="D234" s="4" t="s">
        <v>743</v>
      </c>
      <c r="E234" s="5" t="s">
        <v>358</v>
      </c>
      <c r="F234" s="5" t="s">
        <v>347</v>
      </c>
      <c r="G234" s="5" t="s">
        <v>41</v>
      </c>
      <c r="H234" s="5" t="s">
        <v>129</v>
      </c>
      <c r="I234" s="5" t="s">
        <v>359</v>
      </c>
      <c r="J234" s="5" t="s">
        <v>239</v>
      </c>
      <c r="K234" s="5" t="s">
        <v>744</v>
      </c>
      <c r="L234" s="5" t="s">
        <v>379</v>
      </c>
      <c r="M234" s="5" t="s">
        <v>21</v>
      </c>
      <c r="N234" s="5" t="s">
        <v>295</v>
      </c>
      <c r="O234" s="5" t="s">
        <v>349</v>
      </c>
      <c r="P234" s="5">
        <v>7</v>
      </c>
      <c r="Q234" s="5">
        <v>20</v>
      </c>
      <c r="R234" s="5">
        <v>5</v>
      </c>
      <c r="S234" s="5">
        <v>133</v>
      </c>
      <c r="T234" s="5">
        <v>2</v>
      </c>
      <c r="U234" s="5" t="s">
        <v>277</v>
      </c>
      <c r="V234" s="5" t="s">
        <v>312</v>
      </c>
      <c r="W234" s="5" t="s">
        <v>360</v>
      </c>
      <c r="X234" s="5">
        <v>9837426414</v>
      </c>
      <c r="Y234" s="8" t="s">
        <v>257</v>
      </c>
      <c r="Z234" t="str">
        <f t="shared" si="22"/>
        <v>Blacklisted</v>
      </c>
      <c r="AA234" t="str">
        <f t="shared" si="23"/>
        <v>Sneha Joshi</v>
      </c>
      <c r="AB234" t="str">
        <f t="shared" si="24"/>
        <v>Sne006Ko</v>
      </c>
      <c r="AC234" t="str">
        <f t="shared" si="27"/>
        <v>sneha.joshi@company.com</v>
      </c>
      <c r="AD234" t="str">
        <f t="shared" ca="1" si="28"/>
        <v/>
      </c>
      <c r="AE234">
        <f t="shared" si="25"/>
        <v>8</v>
      </c>
      <c r="AF234" t="str">
        <f t="shared" si="26"/>
        <v>Delayed</v>
      </c>
    </row>
    <row r="235" spans="4:32">
      <c r="D235" s="9" t="s">
        <v>745</v>
      </c>
      <c r="E235" s="10" t="s">
        <v>249</v>
      </c>
      <c r="F235" s="10" t="s">
        <v>250</v>
      </c>
      <c r="G235" s="10" t="s">
        <v>87</v>
      </c>
      <c r="H235" s="11">
        <v>46115</v>
      </c>
      <c r="I235" s="10" t="s">
        <v>251</v>
      </c>
      <c r="J235" s="10" t="s">
        <v>239</v>
      </c>
      <c r="K235" s="10" t="s">
        <v>746</v>
      </c>
      <c r="L235" s="10" t="s">
        <v>241</v>
      </c>
      <c r="M235" s="10" t="s">
        <v>242</v>
      </c>
      <c r="N235" s="10" t="s">
        <v>15</v>
      </c>
      <c r="O235" s="10" t="s">
        <v>253</v>
      </c>
      <c r="P235" s="10">
        <v>15</v>
      </c>
      <c r="Q235" s="10">
        <v>2200</v>
      </c>
      <c r="R235" s="10">
        <v>20</v>
      </c>
      <c r="S235" s="10">
        <v>26400</v>
      </c>
      <c r="T235" s="10">
        <v>2</v>
      </c>
      <c r="U235" s="10" t="s">
        <v>254</v>
      </c>
      <c r="V235" s="10" t="s">
        <v>246</v>
      </c>
      <c r="W235" s="10" t="s">
        <v>264</v>
      </c>
      <c r="X235" s="10">
        <v>9249918272</v>
      </c>
      <c r="Y235" s="12" t="s">
        <v>257</v>
      </c>
      <c r="Z235" t="str">
        <f t="shared" si="22"/>
        <v>Blacklisted</v>
      </c>
      <c r="AA235" t="str">
        <f t="shared" si="23"/>
        <v>Kavya Nair</v>
      </c>
      <c r="AB235" t="str">
        <f t="shared" si="24"/>
        <v>Kav008Be</v>
      </c>
      <c r="AC235" t="str">
        <f t="shared" si="27"/>
        <v>kavya.nair@company.com</v>
      </c>
      <c r="AD235" t="str">
        <f t="shared" ca="1" si="28"/>
        <v/>
      </c>
      <c r="AE235" t="str">
        <f t="shared" si="25"/>
        <v/>
      </c>
      <c r="AF235" t="str">
        <f t="shared" si="26"/>
        <v>Delayed</v>
      </c>
    </row>
    <row r="236" spans="4:32">
      <c r="D236" s="4" t="s">
        <v>747</v>
      </c>
      <c r="E236" s="5" t="s">
        <v>266</v>
      </c>
      <c r="F236" s="5" t="s">
        <v>347</v>
      </c>
      <c r="G236" s="5" t="s">
        <v>56</v>
      </c>
      <c r="H236" s="5" t="s">
        <v>139</v>
      </c>
      <c r="I236" s="5" t="s">
        <v>268</v>
      </c>
      <c r="J236" s="5" t="s">
        <v>269</v>
      </c>
      <c r="K236" s="6">
        <v>29170</v>
      </c>
      <c r="L236" s="5" t="s">
        <v>286</v>
      </c>
      <c r="M236" s="5" t="s">
        <v>287</v>
      </c>
      <c r="N236" s="5" t="s">
        <v>295</v>
      </c>
      <c r="O236" s="5" t="s">
        <v>349</v>
      </c>
      <c r="P236" s="5">
        <v>5</v>
      </c>
      <c r="Q236" s="5">
        <v>20</v>
      </c>
      <c r="R236" s="5">
        <v>0</v>
      </c>
      <c r="S236" s="5">
        <v>100</v>
      </c>
      <c r="T236" s="5">
        <v>3</v>
      </c>
      <c r="U236" s="5" t="s">
        <v>254</v>
      </c>
      <c r="V236" s="5" t="s">
        <v>312</v>
      </c>
      <c r="W236" s="5" t="s">
        <v>273</v>
      </c>
      <c r="X236" s="5">
        <v>9265580582</v>
      </c>
      <c r="Y236" s="8" t="s">
        <v>257</v>
      </c>
      <c r="Z236" t="str">
        <f t="shared" si="22"/>
        <v>Silver</v>
      </c>
      <c r="AA236" t="str">
        <f t="shared" si="23"/>
        <v>Mohit Verma</v>
      </c>
      <c r="AB236" t="str">
        <f t="shared" si="24"/>
        <v>Moh009Mu</v>
      </c>
      <c r="AC236" t="str">
        <f t="shared" si="27"/>
        <v>mohit.verma@company.com</v>
      </c>
      <c r="AD236" t="str">
        <f t="shared" ca="1" si="28"/>
        <v/>
      </c>
      <c r="AE236">
        <f t="shared" si="25"/>
        <v>8</v>
      </c>
      <c r="AF236" t="str">
        <f t="shared" si="26"/>
        <v>Delayed</v>
      </c>
    </row>
    <row r="237" spans="4:32">
      <c r="D237" s="9" t="s">
        <v>748</v>
      </c>
      <c r="E237" s="10" t="s">
        <v>299</v>
      </c>
      <c r="F237" s="10" t="s">
        <v>258</v>
      </c>
      <c r="G237" s="11">
        <v>45907</v>
      </c>
      <c r="H237" s="10" t="s">
        <v>29</v>
      </c>
      <c r="I237" s="10" t="s">
        <v>301</v>
      </c>
      <c r="J237" s="10" t="s">
        <v>269</v>
      </c>
      <c r="K237" s="10" t="s">
        <v>749</v>
      </c>
      <c r="L237" s="10" t="s">
        <v>260</v>
      </c>
      <c r="M237" s="10" t="s">
        <v>261</v>
      </c>
      <c r="N237" s="10" t="s">
        <v>243</v>
      </c>
      <c r="O237" s="10" t="s">
        <v>262</v>
      </c>
      <c r="P237" s="10">
        <v>8</v>
      </c>
      <c r="Q237" s="10">
        <v>12000</v>
      </c>
      <c r="R237" s="10">
        <v>20</v>
      </c>
      <c r="S237" s="10">
        <v>76800</v>
      </c>
      <c r="T237" s="10">
        <v>3</v>
      </c>
      <c r="U237" s="10" t="s">
        <v>272</v>
      </c>
      <c r="V237" s="10" t="s">
        <v>246</v>
      </c>
      <c r="W237" s="10" t="s">
        <v>302</v>
      </c>
      <c r="X237" s="10">
        <v>9751049833</v>
      </c>
      <c r="Y237" s="12" t="s">
        <v>248</v>
      </c>
      <c r="Z237" t="str">
        <f t="shared" si="22"/>
        <v/>
      </c>
      <c r="AA237" t="str">
        <f t="shared" si="23"/>
        <v>Rohit Singh</v>
      </c>
      <c r="AB237" t="str">
        <f t="shared" si="24"/>
        <v>Roh003De</v>
      </c>
      <c r="AC237" t="str">
        <f t="shared" si="27"/>
        <v>rohit.singh@company.com</v>
      </c>
      <c r="AD237">
        <f t="shared" ca="1" si="28"/>
        <v>46</v>
      </c>
      <c r="AE237" t="str">
        <f t="shared" si="25"/>
        <v/>
      </c>
      <c r="AF237" t="str">
        <f t="shared" si="26"/>
        <v>Delayed</v>
      </c>
    </row>
    <row r="238" spans="4:32">
      <c r="D238" s="4" t="s">
        <v>750</v>
      </c>
      <c r="E238" s="5" t="s">
        <v>299</v>
      </c>
      <c r="F238" s="5" t="s">
        <v>280</v>
      </c>
      <c r="G238" s="6">
        <v>45871</v>
      </c>
      <c r="H238" s="5" t="s">
        <v>42</v>
      </c>
      <c r="I238" s="5" t="s">
        <v>301</v>
      </c>
      <c r="J238" s="5" t="s">
        <v>269</v>
      </c>
      <c r="K238" s="5" t="s">
        <v>751</v>
      </c>
      <c r="L238" s="5" t="s">
        <v>286</v>
      </c>
      <c r="M238" s="5" t="s">
        <v>287</v>
      </c>
      <c r="N238" s="5" t="s">
        <v>15</v>
      </c>
      <c r="O238" s="5" t="s">
        <v>282</v>
      </c>
      <c r="P238" s="5">
        <v>4</v>
      </c>
      <c r="Q238" s="5">
        <v>3500</v>
      </c>
      <c r="R238" s="5">
        <v>20</v>
      </c>
      <c r="S238" s="5">
        <v>11200</v>
      </c>
      <c r="T238" s="5">
        <v>1</v>
      </c>
      <c r="U238" s="5" t="s">
        <v>272</v>
      </c>
      <c r="V238" s="5" t="s">
        <v>292</v>
      </c>
      <c r="W238" s="5" t="s">
        <v>302</v>
      </c>
      <c r="X238" s="5">
        <v>9741671507</v>
      </c>
      <c r="Y238" s="8" t="s">
        <v>257</v>
      </c>
      <c r="Z238" t="str">
        <f t="shared" si="22"/>
        <v>Blacklisted</v>
      </c>
      <c r="AA238" t="str">
        <f t="shared" si="23"/>
        <v>Rohit Singh</v>
      </c>
      <c r="AB238" t="str">
        <f t="shared" si="24"/>
        <v>Roh003Mu</v>
      </c>
      <c r="AC238" t="str">
        <f t="shared" si="27"/>
        <v>rohit.singh@company.com</v>
      </c>
      <c r="AD238" t="str">
        <f t="shared" ca="1" si="28"/>
        <v/>
      </c>
      <c r="AE238" t="str">
        <f t="shared" si="25"/>
        <v/>
      </c>
      <c r="AF238" t="str">
        <f t="shared" si="26"/>
        <v>Delayed</v>
      </c>
    </row>
    <row r="239" spans="4:32">
      <c r="D239" s="9" t="s">
        <v>752</v>
      </c>
      <c r="E239" s="10" t="s">
        <v>346</v>
      </c>
      <c r="F239" s="10" t="s">
        <v>362</v>
      </c>
      <c r="G239" s="10" t="s">
        <v>138</v>
      </c>
      <c r="H239" s="11">
        <v>45750</v>
      </c>
      <c r="I239" s="10" t="s">
        <v>348</v>
      </c>
      <c r="J239" s="10" t="s">
        <v>269</v>
      </c>
      <c r="K239" s="10" t="s">
        <v>753</v>
      </c>
      <c r="L239" s="10" t="s">
        <v>252</v>
      </c>
      <c r="M239" s="10" t="s">
        <v>242</v>
      </c>
      <c r="N239" s="10" t="s">
        <v>295</v>
      </c>
      <c r="O239" s="10" t="s">
        <v>363</v>
      </c>
      <c r="P239" s="10">
        <v>19</v>
      </c>
      <c r="Q239" s="10">
        <v>45</v>
      </c>
      <c r="R239" s="10">
        <v>10</v>
      </c>
      <c r="S239" s="10">
        <v>769.5</v>
      </c>
      <c r="T239" s="10">
        <v>1</v>
      </c>
      <c r="U239" s="10" t="s">
        <v>254</v>
      </c>
      <c r="V239" s="10" t="s">
        <v>292</v>
      </c>
      <c r="W239" s="10" t="s">
        <v>350</v>
      </c>
      <c r="X239" s="10">
        <v>9367541035</v>
      </c>
      <c r="Y239" s="12" t="s">
        <v>257</v>
      </c>
      <c r="Z239" t="str">
        <f t="shared" si="22"/>
        <v>Blacklisted</v>
      </c>
      <c r="AA239" t="str">
        <f t="shared" si="23"/>
        <v>Vikas Mehta</v>
      </c>
      <c r="AB239" t="str">
        <f t="shared" si="24"/>
        <v>Vik005Hy</v>
      </c>
      <c r="AC239" t="str">
        <f t="shared" si="27"/>
        <v>vikas.mehta@company.com</v>
      </c>
      <c r="AD239" t="str">
        <f t="shared" ca="1" si="28"/>
        <v/>
      </c>
      <c r="AE239" t="str">
        <f t="shared" si="25"/>
        <v/>
      </c>
      <c r="AF239" t="str">
        <f t="shared" si="26"/>
        <v>Delayed</v>
      </c>
    </row>
    <row r="240" spans="4:32">
      <c r="D240" s="4" t="s">
        <v>754</v>
      </c>
      <c r="E240" s="5" t="s">
        <v>235</v>
      </c>
      <c r="F240" s="5" t="s">
        <v>362</v>
      </c>
      <c r="G240" s="5" t="s">
        <v>161</v>
      </c>
      <c r="H240" s="6">
        <v>46175</v>
      </c>
      <c r="I240" s="5" t="s">
        <v>318</v>
      </c>
      <c r="J240" s="5" t="s">
        <v>239</v>
      </c>
      <c r="K240" s="6">
        <v>28552</v>
      </c>
      <c r="L240" s="5" t="s">
        <v>291</v>
      </c>
      <c r="M240" s="5" t="s">
        <v>287</v>
      </c>
      <c r="N240" s="5" t="s">
        <v>295</v>
      </c>
      <c r="O240" s="5" t="s">
        <v>363</v>
      </c>
      <c r="P240" s="5">
        <v>10</v>
      </c>
      <c r="Q240" s="5">
        <v>45</v>
      </c>
      <c r="R240" s="5">
        <v>0</v>
      </c>
      <c r="S240" s="5">
        <v>450</v>
      </c>
      <c r="T240" s="5">
        <v>4</v>
      </c>
      <c r="U240" s="5" t="s">
        <v>277</v>
      </c>
      <c r="V240" s="5" t="s">
        <v>246</v>
      </c>
      <c r="W240" s="5" t="s">
        <v>247</v>
      </c>
      <c r="X240" s="5">
        <v>9323696971</v>
      </c>
      <c r="Y240" s="8" t="s">
        <v>257</v>
      </c>
      <c r="Z240" t="str">
        <f t="shared" si="22"/>
        <v>Silver</v>
      </c>
      <c r="AA240" t="str">
        <f t="shared" si="23"/>
        <v>Pooja Shah</v>
      </c>
      <c r="AB240" t="str">
        <f t="shared" si="24"/>
        <v>Poo010Pu</v>
      </c>
      <c r="AC240" t="str">
        <f t="shared" si="27"/>
        <v>pooja.shah@company.com</v>
      </c>
      <c r="AD240" t="str">
        <f t="shared" ca="1" si="28"/>
        <v/>
      </c>
      <c r="AE240" t="str">
        <f t="shared" si="25"/>
        <v/>
      </c>
      <c r="AF240" t="str">
        <f t="shared" si="26"/>
        <v>Delayed</v>
      </c>
    </row>
    <row r="241" spans="4:32">
      <c r="D241" s="9" t="s">
        <v>755</v>
      </c>
      <c r="E241" s="10" t="s">
        <v>235</v>
      </c>
      <c r="F241" s="10" t="s">
        <v>362</v>
      </c>
      <c r="G241" s="11">
        <v>46235</v>
      </c>
      <c r="H241" s="10" t="s">
        <v>54</v>
      </c>
      <c r="I241" s="10" t="s">
        <v>318</v>
      </c>
      <c r="J241" s="10" t="s">
        <v>239</v>
      </c>
      <c r="K241" s="10" t="s">
        <v>756</v>
      </c>
      <c r="L241" s="10" t="s">
        <v>252</v>
      </c>
      <c r="M241" s="10" t="s">
        <v>242</v>
      </c>
      <c r="N241" s="10" t="s">
        <v>295</v>
      </c>
      <c r="O241" s="10" t="s">
        <v>363</v>
      </c>
      <c r="P241" s="10">
        <v>16</v>
      </c>
      <c r="Q241" s="10">
        <v>45</v>
      </c>
      <c r="R241" s="10">
        <v>15</v>
      </c>
      <c r="S241" s="10">
        <v>612</v>
      </c>
      <c r="T241" s="10">
        <v>3</v>
      </c>
      <c r="U241" s="10" t="s">
        <v>254</v>
      </c>
      <c r="V241" s="10" t="s">
        <v>292</v>
      </c>
      <c r="W241" s="10" t="s">
        <v>247</v>
      </c>
      <c r="X241" s="10">
        <v>9786384529</v>
      </c>
      <c r="Y241" s="12" t="s">
        <v>265</v>
      </c>
      <c r="Z241" t="str">
        <f t="shared" si="22"/>
        <v>Blacklisted</v>
      </c>
      <c r="AA241" t="str">
        <f t="shared" si="23"/>
        <v>Pooja Shah</v>
      </c>
      <c r="AB241" t="str">
        <f t="shared" si="24"/>
        <v>Poo010Hy</v>
      </c>
      <c r="AC241" t="str">
        <f t="shared" si="27"/>
        <v>pooja.shah@company.com</v>
      </c>
      <c r="AD241">
        <f t="shared" ca="1" si="28"/>
        <v>48</v>
      </c>
      <c r="AE241" t="str">
        <f t="shared" si="25"/>
        <v/>
      </c>
      <c r="AF241" t="str">
        <f t="shared" si="26"/>
        <v>Delayed</v>
      </c>
    </row>
    <row r="242" spans="4:32">
      <c r="D242" s="4" t="s">
        <v>757</v>
      </c>
      <c r="E242" s="5" t="s">
        <v>321</v>
      </c>
      <c r="F242" s="5" t="s">
        <v>322</v>
      </c>
      <c r="G242" s="5" t="s">
        <v>140</v>
      </c>
      <c r="H242" s="5" t="s">
        <v>163</v>
      </c>
      <c r="I242" s="5" t="s">
        <v>408</v>
      </c>
      <c r="J242" s="5" t="s">
        <v>239</v>
      </c>
      <c r="K242" s="5" t="s">
        <v>758</v>
      </c>
      <c r="L242" s="5" t="s">
        <v>291</v>
      </c>
      <c r="M242" s="5" t="s">
        <v>287</v>
      </c>
      <c r="N242" s="5" t="s">
        <v>15</v>
      </c>
      <c r="O242" s="5" t="s">
        <v>325</v>
      </c>
      <c r="P242" s="5">
        <v>16</v>
      </c>
      <c r="Q242" s="5">
        <v>8500</v>
      </c>
      <c r="R242" s="5">
        <v>15</v>
      </c>
      <c r="S242" s="5">
        <v>115600</v>
      </c>
      <c r="T242" s="5">
        <v>4</v>
      </c>
      <c r="U242" s="5" t="s">
        <v>245</v>
      </c>
      <c r="V242" s="5" t="s">
        <v>255</v>
      </c>
      <c r="W242" s="5" t="s">
        <v>326</v>
      </c>
      <c r="X242" s="5">
        <v>9444900541</v>
      </c>
      <c r="Y242" s="8" t="s">
        <v>265</v>
      </c>
      <c r="Z242" t="str">
        <f t="shared" si="22"/>
        <v>Blacklisted</v>
      </c>
      <c r="AA242" t="str">
        <f t="shared" si="23"/>
        <v>Anita Gupta</v>
      </c>
      <c r="AB242" t="str">
        <f t="shared" si="24"/>
        <v>Ani004Pu</v>
      </c>
      <c r="AC242" t="str">
        <f t="shared" si="27"/>
        <v>anita.gupta@company.com</v>
      </c>
      <c r="AD242" t="str">
        <f t="shared" ca="1" si="28"/>
        <v/>
      </c>
      <c r="AE242">
        <f t="shared" si="25"/>
        <v>2</v>
      </c>
      <c r="AF242" t="str">
        <f t="shared" si="26"/>
        <v>On time</v>
      </c>
    </row>
    <row r="243" spans="4:32">
      <c r="D243" s="9" t="s">
        <v>759</v>
      </c>
      <c r="E243" s="10" t="s">
        <v>321</v>
      </c>
      <c r="F243" s="10" t="s">
        <v>347</v>
      </c>
      <c r="G243" s="11">
        <v>45666</v>
      </c>
      <c r="H243" s="11">
        <v>46000</v>
      </c>
      <c r="I243" s="10" t="s">
        <v>408</v>
      </c>
      <c r="J243" s="10" t="s">
        <v>239</v>
      </c>
      <c r="K243" s="11">
        <v>35159</v>
      </c>
      <c r="L243" s="10" t="s">
        <v>379</v>
      </c>
      <c r="M243" s="10" t="s">
        <v>21</v>
      </c>
      <c r="N243" s="10" t="s">
        <v>295</v>
      </c>
      <c r="O243" s="10" t="s">
        <v>349</v>
      </c>
      <c r="P243" s="10">
        <v>15</v>
      </c>
      <c r="Q243" s="10">
        <v>20</v>
      </c>
      <c r="R243" s="10">
        <v>20</v>
      </c>
      <c r="S243" s="10">
        <v>240</v>
      </c>
      <c r="T243" s="10">
        <v>3</v>
      </c>
      <c r="U243" s="10" t="s">
        <v>245</v>
      </c>
      <c r="V243" s="10" t="s">
        <v>263</v>
      </c>
      <c r="W243" s="10" t="s">
        <v>326</v>
      </c>
      <c r="X243" s="10">
        <v>9108024911</v>
      </c>
      <c r="Y243" s="12" t="s">
        <v>265</v>
      </c>
      <c r="Z243" t="str">
        <f t="shared" si="22"/>
        <v>Blacklisted</v>
      </c>
      <c r="AA243" t="str">
        <f t="shared" si="23"/>
        <v>Anita Gupta</v>
      </c>
      <c r="AB243" t="str">
        <f t="shared" si="24"/>
        <v>Ani004Ko</v>
      </c>
      <c r="AC243" t="str">
        <f t="shared" si="27"/>
        <v>anita.gupta@company.com</v>
      </c>
      <c r="AD243" t="str">
        <f t="shared" ca="1" si="28"/>
        <v/>
      </c>
      <c r="AE243" t="str">
        <f t="shared" si="25"/>
        <v/>
      </c>
      <c r="AF243" t="str">
        <f t="shared" si="26"/>
        <v>Delayed</v>
      </c>
    </row>
    <row r="244" spans="4:32">
      <c r="D244" s="4" t="s">
        <v>760</v>
      </c>
      <c r="E244" s="5" t="s">
        <v>275</v>
      </c>
      <c r="F244" s="5" t="s">
        <v>294</v>
      </c>
      <c r="G244" s="6">
        <v>46266</v>
      </c>
      <c r="H244" s="5" t="s">
        <v>6</v>
      </c>
      <c r="I244" s="5" t="s">
        <v>328</v>
      </c>
      <c r="J244" s="5" t="s">
        <v>269</v>
      </c>
      <c r="K244" s="6">
        <v>37144</v>
      </c>
      <c r="L244" s="5" t="s">
        <v>241</v>
      </c>
      <c r="M244" s="5" t="s">
        <v>242</v>
      </c>
      <c r="N244" s="5" t="s">
        <v>295</v>
      </c>
      <c r="O244" s="5" t="s">
        <v>296</v>
      </c>
      <c r="P244" s="5">
        <v>14</v>
      </c>
      <c r="Q244" s="5">
        <v>60</v>
      </c>
      <c r="R244" s="5">
        <v>5</v>
      </c>
      <c r="S244" s="5">
        <v>798</v>
      </c>
      <c r="T244" s="5">
        <v>4</v>
      </c>
      <c r="U244" s="5" t="s">
        <v>254</v>
      </c>
      <c r="V244" s="5" t="s">
        <v>263</v>
      </c>
      <c r="W244" s="5" t="s">
        <v>278</v>
      </c>
      <c r="X244" s="5">
        <v>9897181325</v>
      </c>
      <c r="Y244" s="8" t="s">
        <v>257</v>
      </c>
      <c r="Z244" t="str">
        <f t="shared" si="22"/>
        <v>Silver</v>
      </c>
      <c r="AA244" t="str">
        <f t="shared" si="23"/>
        <v>Arjun Rao</v>
      </c>
      <c r="AB244" t="str">
        <f t="shared" si="24"/>
        <v>Arj007Be</v>
      </c>
      <c r="AC244" t="str">
        <f t="shared" si="27"/>
        <v>arjun.rao@company.com</v>
      </c>
      <c r="AD244">
        <f t="shared" ca="1" si="28"/>
        <v>30</v>
      </c>
      <c r="AE244" t="str">
        <f t="shared" si="25"/>
        <v/>
      </c>
      <c r="AF244" t="str">
        <f t="shared" si="26"/>
        <v>Delayed</v>
      </c>
    </row>
    <row r="245" spans="4:32">
      <c r="D245" s="9" t="s">
        <v>761</v>
      </c>
      <c r="E245" s="10" t="s">
        <v>235</v>
      </c>
      <c r="F245" s="10" t="s">
        <v>267</v>
      </c>
      <c r="G245" s="10" t="s">
        <v>47</v>
      </c>
      <c r="H245" s="10" t="s">
        <v>762</v>
      </c>
      <c r="I245" s="10" t="s">
        <v>318</v>
      </c>
      <c r="J245" s="10" t="s">
        <v>239</v>
      </c>
      <c r="K245" s="11">
        <v>35007</v>
      </c>
      <c r="L245" s="10" t="s">
        <v>286</v>
      </c>
      <c r="M245" s="10" t="s">
        <v>287</v>
      </c>
      <c r="N245" s="10" t="s">
        <v>243</v>
      </c>
      <c r="O245" s="10" t="s">
        <v>271</v>
      </c>
      <c r="P245" s="10">
        <v>19</v>
      </c>
      <c r="Q245" s="10">
        <v>1200</v>
      </c>
      <c r="R245" s="10">
        <v>20</v>
      </c>
      <c r="S245" s="10">
        <v>18240</v>
      </c>
      <c r="T245" s="10">
        <v>2</v>
      </c>
      <c r="U245" s="10" t="s">
        <v>254</v>
      </c>
      <c r="V245" s="10" t="s">
        <v>292</v>
      </c>
      <c r="W245" s="10" t="s">
        <v>247</v>
      </c>
      <c r="X245" s="10">
        <v>9554719621</v>
      </c>
      <c r="Y245" s="12" t="s">
        <v>265</v>
      </c>
      <c r="Z245" t="str">
        <f t="shared" si="22"/>
        <v>Blacklisted</v>
      </c>
      <c r="AA245" t="str">
        <f t="shared" si="23"/>
        <v>Pooja Shah</v>
      </c>
      <c r="AB245" t="str">
        <f t="shared" si="24"/>
        <v>Poo010Mu</v>
      </c>
      <c r="AC245" t="str">
        <f t="shared" si="27"/>
        <v>pooja.shah@company.com</v>
      </c>
      <c r="AD245">
        <f t="shared" ca="1" si="28"/>
        <v>25</v>
      </c>
      <c r="AE245">
        <f t="shared" si="25"/>
        <v>3</v>
      </c>
      <c r="AF245" t="str">
        <f t="shared" si="26"/>
        <v>On time</v>
      </c>
    </row>
    <row r="246" spans="4:32">
      <c r="D246" s="4" t="s">
        <v>763</v>
      </c>
      <c r="E246" s="5" t="s">
        <v>249</v>
      </c>
      <c r="F246" s="5" t="s">
        <v>362</v>
      </c>
      <c r="G246" s="5" t="s">
        <v>20</v>
      </c>
      <c r="H246" s="5" t="s">
        <v>401</v>
      </c>
      <c r="I246" s="5" t="s">
        <v>251</v>
      </c>
      <c r="J246" s="5" t="s">
        <v>239</v>
      </c>
      <c r="K246" s="6">
        <v>36621</v>
      </c>
      <c r="L246" s="5" t="s">
        <v>241</v>
      </c>
      <c r="M246" s="5" t="s">
        <v>242</v>
      </c>
      <c r="N246" s="5" t="s">
        <v>295</v>
      </c>
      <c r="O246" s="5" t="s">
        <v>363</v>
      </c>
      <c r="P246" s="5">
        <v>5</v>
      </c>
      <c r="Q246" s="5">
        <v>45</v>
      </c>
      <c r="R246" s="5">
        <v>15</v>
      </c>
      <c r="S246" s="5">
        <v>191.25</v>
      </c>
      <c r="T246" s="5">
        <v>2</v>
      </c>
      <c r="U246" s="5" t="s">
        <v>254</v>
      </c>
      <c r="V246" s="5" t="s">
        <v>246</v>
      </c>
      <c r="W246" s="5" t="s">
        <v>264</v>
      </c>
      <c r="X246" s="5">
        <v>9815899217</v>
      </c>
      <c r="Y246" s="8" t="s">
        <v>265</v>
      </c>
      <c r="Z246" t="str">
        <f t="shared" si="22"/>
        <v>Blacklisted</v>
      </c>
      <c r="AA246" t="str">
        <f t="shared" si="23"/>
        <v>Kavya Nair</v>
      </c>
      <c r="AB246" t="str">
        <f t="shared" si="24"/>
        <v>Kav008Be</v>
      </c>
      <c r="AC246" t="str">
        <f t="shared" si="27"/>
        <v>kavya.nair@company.com</v>
      </c>
      <c r="AD246">
        <f t="shared" ca="1" si="28"/>
        <v>30</v>
      </c>
      <c r="AE246">
        <f t="shared" si="25"/>
        <v>1</v>
      </c>
      <c r="AF246" t="str">
        <f t="shared" si="26"/>
        <v>On time</v>
      </c>
    </row>
    <row r="247" spans="4:32">
      <c r="D247" s="9" t="s">
        <v>764</v>
      </c>
      <c r="E247" s="10" t="s">
        <v>392</v>
      </c>
      <c r="F247" s="10" t="s">
        <v>330</v>
      </c>
      <c r="G247" s="10" t="s">
        <v>143</v>
      </c>
      <c r="H247" s="11">
        <v>45663</v>
      </c>
      <c r="I247" s="10" t="s">
        <v>323</v>
      </c>
      <c r="J247" s="10" t="s">
        <v>269</v>
      </c>
      <c r="K247" s="11">
        <v>37259</v>
      </c>
      <c r="L247" s="10" t="s">
        <v>252</v>
      </c>
      <c r="M247" s="10" t="s">
        <v>242</v>
      </c>
      <c r="N247" s="10" t="s">
        <v>243</v>
      </c>
      <c r="O247" s="10" t="s">
        <v>333</v>
      </c>
      <c r="P247" s="10">
        <v>19</v>
      </c>
      <c r="Q247" s="10">
        <v>700</v>
      </c>
      <c r="R247" s="10">
        <v>5</v>
      </c>
      <c r="S247" s="10">
        <v>12635</v>
      </c>
      <c r="T247" s="10">
        <v>5</v>
      </c>
      <c r="U247" s="10" t="s">
        <v>277</v>
      </c>
      <c r="V247" s="10" t="s">
        <v>312</v>
      </c>
      <c r="W247" s="10" t="s">
        <v>395</v>
      </c>
      <c r="X247" s="10">
        <v>9308497039</v>
      </c>
      <c r="Y247" s="12" t="s">
        <v>257</v>
      </c>
      <c r="Z247" t="str">
        <f t="shared" si="22"/>
        <v>Silver</v>
      </c>
      <c r="AA247" t="str">
        <f t="shared" si="23"/>
        <v>Amit Sharma</v>
      </c>
      <c r="AB247" t="str">
        <f t="shared" si="24"/>
        <v>Ami001Hy</v>
      </c>
      <c r="AC247" t="str">
        <f t="shared" si="27"/>
        <v>amit.sharma@company.com</v>
      </c>
      <c r="AD247">
        <f t="shared" ca="1" si="28"/>
        <v>26</v>
      </c>
      <c r="AE247" t="str">
        <f t="shared" si="25"/>
        <v/>
      </c>
      <c r="AF247" t="str">
        <f t="shared" si="26"/>
        <v>Delayed</v>
      </c>
    </row>
    <row r="248" spans="4:32">
      <c r="D248" s="4" t="s">
        <v>765</v>
      </c>
      <c r="E248" s="5" t="s">
        <v>299</v>
      </c>
      <c r="F248" s="5" t="s">
        <v>294</v>
      </c>
      <c r="G248" s="6">
        <v>46082</v>
      </c>
      <c r="H248" s="6">
        <v>46113</v>
      </c>
      <c r="I248" s="5" t="s">
        <v>301</v>
      </c>
      <c r="J248" s="5" t="s">
        <v>269</v>
      </c>
      <c r="K248" s="5" t="s">
        <v>766</v>
      </c>
      <c r="L248" s="5" t="s">
        <v>379</v>
      </c>
      <c r="M248" s="5" t="s">
        <v>21</v>
      </c>
      <c r="N248" s="5" t="s">
        <v>295</v>
      </c>
      <c r="O248" s="5" t="s">
        <v>296</v>
      </c>
      <c r="P248" s="5">
        <v>7</v>
      </c>
      <c r="Q248" s="5">
        <v>60</v>
      </c>
      <c r="R248" s="5">
        <v>0</v>
      </c>
      <c r="S248" s="5">
        <v>420</v>
      </c>
      <c r="T248" s="5">
        <v>4</v>
      </c>
      <c r="U248" s="5" t="s">
        <v>254</v>
      </c>
      <c r="V248" s="5" t="s">
        <v>292</v>
      </c>
      <c r="W248" s="5" t="s">
        <v>302</v>
      </c>
      <c r="X248" s="5">
        <v>9882054354</v>
      </c>
      <c r="Y248" s="8" t="s">
        <v>248</v>
      </c>
      <c r="Z248" t="str">
        <f t="shared" si="22"/>
        <v/>
      </c>
      <c r="AA248" t="str">
        <f t="shared" si="23"/>
        <v>Rohit Singh</v>
      </c>
      <c r="AB248" t="str">
        <f t="shared" si="24"/>
        <v>Roh003Ko</v>
      </c>
      <c r="AC248" t="str">
        <f t="shared" si="27"/>
        <v>rohit.singh@company.com</v>
      </c>
      <c r="AD248">
        <f t="shared" ca="1" si="28"/>
        <v>24</v>
      </c>
      <c r="AE248" t="str">
        <f t="shared" si="25"/>
        <v/>
      </c>
      <c r="AF248" t="str">
        <f t="shared" si="26"/>
        <v>Delayed</v>
      </c>
    </row>
    <row r="249" spans="4:32">
      <c r="D249" s="9" t="s">
        <v>767</v>
      </c>
      <c r="E249" s="10" t="s">
        <v>266</v>
      </c>
      <c r="F249" s="10" t="s">
        <v>250</v>
      </c>
      <c r="G249" s="10" t="s">
        <v>117</v>
      </c>
      <c r="H249" s="11">
        <v>46054</v>
      </c>
      <c r="I249" s="10" t="s">
        <v>268</v>
      </c>
      <c r="J249" s="10" t="s">
        <v>269</v>
      </c>
      <c r="K249" s="11">
        <v>32185</v>
      </c>
      <c r="L249" s="10" t="s">
        <v>286</v>
      </c>
      <c r="M249" s="10" t="s">
        <v>287</v>
      </c>
      <c r="N249" s="10" t="s">
        <v>15</v>
      </c>
      <c r="O249" s="10" t="s">
        <v>253</v>
      </c>
      <c r="P249" s="10">
        <v>13</v>
      </c>
      <c r="Q249" s="10">
        <v>2200</v>
      </c>
      <c r="R249" s="10">
        <v>10</v>
      </c>
      <c r="S249" s="10">
        <v>25740</v>
      </c>
      <c r="T249" s="10">
        <v>1</v>
      </c>
      <c r="U249" s="10" t="s">
        <v>272</v>
      </c>
      <c r="V249" s="10" t="s">
        <v>312</v>
      </c>
      <c r="W249" s="10" t="s">
        <v>273</v>
      </c>
      <c r="X249" s="10">
        <v>9193016830</v>
      </c>
      <c r="Y249" s="12" t="s">
        <v>257</v>
      </c>
      <c r="Z249" t="str">
        <f t="shared" si="22"/>
        <v>Blacklisted</v>
      </c>
      <c r="AA249" t="str">
        <f t="shared" si="23"/>
        <v>Mohit Verma</v>
      </c>
      <c r="AB249" t="str">
        <f t="shared" si="24"/>
        <v>Moh009Mu</v>
      </c>
      <c r="AC249" t="str">
        <f t="shared" si="27"/>
        <v>mohit.verma@company.com</v>
      </c>
      <c r="AD249" t="str">
        <f t="shared" ca="1" si="28"/>
        <v/>
      </c>
      <c r="AE249" t="str">
        <f t="shared" si="25"/>
        <v/>
      </c>
      <c r="AF249" t="str">
        <f t="shared" si="26"/>
        <v>Delayed</v>
      </c>
    </row>
    <row r="250" spans="4:32">
      <c r="D250" s="4" t="s">
        <v>768</v>
      </c>
      <c r="E250" s="5" t="s">
        <v>266</v>
      </c>
      <c r="F250" s="5" t="s">
        <v>250</v>
      </c>
      <c r="G250" s="5" t="s">
        <v>183</v>
      </c>
      <c r="H250" s="6">
        <v>46143</v>
      </c>
      <c r="I250" s="5" t="s">
        <v>268</v>
      </c>
      <c r="J250" s="5" t="s">
        <v>269</v>
      </c>
      <c r="K250" s="6">
        <v>30845</v>
      </c>
      <c r="L250" s="5" t="s">
        <v>241</v>
      </c>
      <c r="M250" s="5" t="s">
        <v>242</v>
      </c>
      <c r="N250" s="5" t="s">
        <v>15</v>
      </c>
      <c r="O250" s="5" t="s">
        <v>253</v>
      </c>
      <c r="P250" s="5">
        <v>9</v>
      </c>
      <c r="Q250" s="5">
        <v>2200</v>
      </c>
      <c r="R250" s="5">
        <v>10</v>
      </c>
      <c r="S250" s="5">
        <v>17820</v>
      </c>
      <c r="T250" s="5">
        <v>2</v>
      </c>
      <c r="U250" s="5" t="s">
        <v>769</v>
      </c>
      <c r="V250" s="5" t="s">
        <v>246</v>
      </c>
      <c r="W250" s="5" t="s">
        <v>273</v>
      </c>
      <c r="X250" s="5">
        <v>9921470418</v>
      </c>
      <c r="Y250" s="8" t="s">
        <v>265</v>
      </c>
      <c r="Z250" t="str">
        <f t="shared" si="22"/>
        <v>Blacklisted</v>
      </c>
      <c r="AA250" t="str">
        <f t="shared" si="23"/>
        <v>Mohit Verma</v>
      </c>
      <c r="AB250" t="str">
        <f t="shared" si="24"/>
        <v>Moh009Be</v>
      </c>
      <c r="AC250" t="str">
        <f t="shared" si="27"/>
        <v>mohit.verma@company.com</v>
      </c>
      <c r="AD250">
        <f t="shared" ca="1" si="28"/>
        <v>38</v>
      </c>
      <c r="AE250" t="str">
        <f t="shared" si="25"/>
        <v/>
      </c>
      <c r="AF250" t="str">
        <f t="shared" si="26"/>
        <v>Delayed</v>
      </c>
    </row>
    <row r="251" spans="4:32">
      <c r="D251" s="9" t="s">
        <v>770</v>
      </c>
      <c r="E251" s="10" t="s">
        <v>392</v>
      </c>
      <c r="F251" s="10" t="s">
        <v>322</v>
      </c>
      <c r="G251" s="10" t="s">
        <v>34</v>
      </c>
      <c r="H251" s="10" t="s">
        <v>771</v>
      </c>
      <c r="I251" s="10" t="s">
        <v>323</v>
      </c>
      <c r="J251" s="10" t="s">
        <v>269</v>
      </c>
      <c r="K251" s="11">
        <v>32878</v>
      </c>
      <c r="L251" s="10" t="s">
        <v>241</v>
      </c>
      <c r="M251" s="10" t="s">
        <v>242</v>
      </c>
      <c r="N251" s="10" t="s">
        <v>15</v>
      </c>
      <c r="O251" s="10" t="s">
        <v>325</v>
      </c>
      <c r="P251" s="10">
        <v>6</v>
      </c>
      <c r="Q251" s="10">
        <v>8500</v>
      </c>
      <c r="R251" s="10">
        <v>15</v>
      </c>
      <c r="S251" s="10">
        <v>43350</v>
      </c>
      <c r="T251" s="10">
        <v>2</v>
      </c>
      <c r="U251" s="10" t="s">
        <v>254</v>
      </c>
      <c r="V251" s="10" t="s">
        <v>312</v>
      </c>
      <c r="W251" s="10" t="s">
        <v>395</v>
      </c>
      <c r="X251" s="10">
        <v>9686979026</v>
      </c>
      <c r="Y251" s="12" t="s">
        <v>265</v>
      </c>
      <c r="Z251" t="str">
        <f t="shared" si="22"/>
        <v>Blacklisted</v>
      </c>
      <c r="AA251" t="str">
        <f t="shared" si="23"/>
        <v>Amit Sharma</v>
      </c>
      <c r="AB251" t="str">
        <f t="shared" si="24"/>
        <v>Ami001Be</v>
      </c>
      <c r="AC251" t="str">
        <f t="shared" si="27"/>
        <v>amit.sharma@company.com</v>
      </c>
      <c r="AD251">
        <f t="shared" ca="1" si="28"/>
        <v>42</v>
      </c>
      <c r="AE251">
        <f t="shared" si="25"/>
        <v>2</v>
      </c>
      <c r="AF251" t="str">
        <f t="shared" si="26"/>
        <v>On time</v>
      </c>
    </row>
    <row r="252" spans="4:32">
      <c r="D252" s="4" t="s">
        <v>772</v>
      </c>
      <c r="E252" s="5" t="s">
        <v>346</v>
      </c>
      <c r="F252" s="5" t="s">
        <v>250</v>
      </c>
      <c r="G252" s="5" t="s">
        <v>56</v>
      </c>
      <c r="H252" s="5" t="s">
        <v>139</v>
      </c>
      <c r="I252" s="5" t="s">
        <v>348</v>
      </c>
      <c r="J252" s="5" t="s">
        <v>269</v>
      </c>
      <c r="K252" s="6">
        <v>32388</v>
      </c>
      <c r="L252" s="5" t="s">
        <v>260</v>
      </c>
      <c r="M252" s="5" t="s">
        <v>261</v>
      </c>
      <c r="N252" s="5" t="s">
        <v>15</v>
      </c>
      <c r="O252" s="5" t="s">
        <v>253</v>
      </c>
      <c r="P252" s="5">
        <v>9</v>
      </c>
      <c r="Q252" s="5">
        <v>2200</v>
      </c>
      <c r="R252" s="5">
        <v>10</v>
      </c>
      <c r="S252" s="5">
        <v>17820</v>
      </c>
      <c r="T252" s="5">
        <v>3</v>
      </c>
      <c r="U252" s="5" t="s">
        <v>272</v>
      </c>
      <c r="V252" s="5" t="s">
        <v>255</v>
      </c>
      <c r="W252" s="5" t="s">
        <v>350</v>
      </c>
      <c r="X252" s="5">
        <v>9569007422</v>
      </c>
      <c r="Y252" s="8" t="s">
        <v>248</v>
      </c>
      <c r="Z252" t="str">
        <f t="shared" si="22"/>
        <v/>
      </c>
      <c r="AA252" t="str">
        <f t="shared" si="23"/>
        <v>Vikas Mehta</v>
      </c>
      <c r="AB252" t="str">
        <f t="shared" si="24"/>
        <v>Vik005De</v>
      </c>
      <c r="AC252" t="str">
        <f t="shared" si="27"/>
        <v>vikas.mehta@company.com</v>
      </c>
      <c r="AD252">
        <f t="shared" ca="1" si="28"/>
        <v>36</v>
      </c>
      <c r="AE252">
        <f t="shared" si="25"/>
        <v>8</v>
      </c>
      <c r="AF252" t="str">
        <f t="shared" si="26"/>
        <v>Delayed</v>
      </c>
    </row>
    <row r="253" spans="4:32">
      <c r="D253" s="9" t="s">
        <v>773</v>
      </c>
      <c r="E253" s="10" t="s">
        <v>249</v>
      </c>
      <c r="F253" s="10" t="s">
        <v>322</v>
      </c>
      <c r="G253" s="10" t="s">
        <v>120</v>
      </c>
      <c r="H253" s="10" t="s">
        <v>151</v>
      </c>
      <c r="I253" s="10" t="s">
        <v>251</v>
      </c>
      <c r="J253" s="10" t="s">
        <v>239</v>
      </c>
      <c r="K253" s="10" t="s">
        <v>774</v>
      </c>
      <c r="L253" s="10" t="s">
        <v>379</v>
      </c>
      <c r="M253" s="10" t="s">
        <v>21</v>
      </c>
      <c r="N253" s="10" t="s">
        <v>15</v>
      </c>
      <c r="O253" s="10" t="s">
        <v>325</v>
      </c>
      <c r="P253" s="10">
        <v>16</v>
      </c>
      <c r="Q253" s="10">
        <v>8500</v>
      </c>
      <c r="R253" s="10">
        <v>0</v>
      </c>
      <c r="S253" s="10">
        <v>136000</v>
      </c>
      <c r="T253" s="10">
        <v>5</v>
      </c>
      <c r="U253" s="10" t="s">
        <v>277</v>
      </c>
      <c r="V253" s="10" t="s">
        <v>292</v>
      </c>
      <c r="W253" s="10" t="s">
        <v>264</v>
      </c>
      <c r="X253" s="10">
        <v>9180820441</v>
      </c>
      <c r="Y253" s="12" t="s">
        <v>265</v>
      </c>
      <c r="Z253" t="str">
        <f t="shared" si="22"/>
        <v>Blacklisted</v>
      </c>
      <c r="AA253" t="str">
        <f t="shared" si="23"/>
        <v>Kavya Nair</v>
      </c>
      <c r="AB253" t="str">
        <f t="shared" si="24"/>
        <v>Kav008Ko</v>
      </c>
      <c r="AC253" t="str">
        <f t="shared" si="27"/>
        <v>kavya.nair@company.com</v>
      </c>
      <c r="AD253">
        <f t="shared" ca="1" si="28"/>
        <v>38</v>
      </c>
      <c r="AE253">
        <f t="shared" si="25"/>
        <v>3</v>
      </c>
      <c r="AF253" t="str">
        <f t="shared" si="26"/>
        <v>On time</v>
      </c>
    </row>
    <row r="254" spans="4:32">
      <c r="D254" s="4" t="s">
        <v>775</v>
      </c>
      <c r="E254" s="5" t="s">
        <v>392</v>
      </c>
      <c r="F254" s="5" t="s">
        <v>267</v>
      </c>
      <c r="G254" s="5" t="s">
        <v>39</v>
      </c>
      <c r="H254" s="5" t="s">
        <v>52</v>
      </c>
      <c r="I254" s="5" t="s">
        <v>323</v>
      </c>
      <c r="J254" s="5" t="s">
        <v>269</v>
      </c>
      <c r="K254" s="5" t="s">
        <v>776</v>
      </c>
      <c r="L254" s="5" t="s">
        <v>260</v>
      </c>
      <c r="M254" s="5" t="s">
        <v>261</v>
      </c>
      <c r="N254" s="5" t="s">
        <v>243</v>
      </c>
      <c r="O254" s="5" t="s">
        <v>271</v>
      </c>
      <c r="P254" s="5">
        <v>10</v>
      </c>
      <c r="Q254" s="5">
        <v>1200</v>
      </c>
      <c r="R254" s="5">
        <v>15</v>
      </c>
      <c r="S254" s="5">
        <v>10200</v>
      </c>
      <c r="T254" s="5">
        <v>5</v>
      </c>
      <c r="U254" s="5" t="s">
        <v>254</v>
      </c>
      <c r="V254" s="5" t="s">
        <v>263</v>
      </c>
      <c r="W254" s="5" t="s">
        <v>395</v>
      </c>
      <c r="X254" s="5">
        <v>9769075826</v>
      </c>
      <c r="Y254" s="8" t="s">
        <v>257</v>
      </c>
      <c r="Z254" t="str">
        <f t="shared" si="22"/>
        <v>Silver</v>
      </c>
      <c r="AA254" t="str">
        <f t="shared" si="23"/>
        <v>Amit Sharma</v>
      </c>
      <c r="AB254" t="str">
        <f t="shared" si="24"/>
        <v>Ami001De</v>
      </c>
      <c r="AC254" t="str">
        <f t="shared" si="27"/>
        <v>amit.sharma@company.com</v>
      </c>
      <c r="AD254" t="str">
        <f t="shared" ca="1" si="28"/>
        <v/>
      </c>
      <c r="AE254">
        <f t="shared" si="25"/>
        <v>1</v>
      </c>
      <c r="AF254" t="str">
        <f t="shared" si="26"/>
        <v>On time</v>
      </c>
    </row>
    <row r="255" spans="4:32">
      <c r="D255" s="9" t="s">
        <v>777</v>
      </c>
      <c r="E255" s="10" t="s">
        <v>299</v>
      </c>
      <c r="F255" s="10" t="s">
        <v>258</v>
      </c>
      <c r="G255" s="11">
        <v>45780</v>
      </c>
      <c r="H255" s="10" t="s">
        <v>304</v>
      </c>
      <c r="I255" s="10" t="s">
        <v>301</v>
      </c>
      <c r="J255" s="10" t="s">
        <v>269</v>
      </c>
      <c r="K255" s="11">
        <v>37688</v>
      </c>
      <c r="L255" s="10" t="s">
        <v>379</v>
      </c>
      <c r="M255" s="10" t="s">
        <v>21</v>
      </c>
      <c r="N255" s="10" t="s">
        <v>243</v>
      </c>
      <c r="O255" s="10" t="s">
        <v>262</v>
      </c>
      <c r="P255" s="10">
        <v>7</v>
      </c>
      <c r="Q255" s="10">
        <v>12000</v>
      </c>
      <c r="R255" s="10">
        <v>0</v>
      </c>
      <c r="S255" s="10">
        <v>84000</v>
      </c>
      <c r="T255" s="10">
        <v>1</v>
      </c>
      <c r="U255" s="10" t="s">
        <v>277</v>
      </c>
      <c r="V255" s="10" t="s">
        <v>312</v>
      </c>
      <c r="W255" s="10" t="s">
        <v>302</v>
      </c>
      <c r="X255" s="10">
        <v>9467916296</v>
      </c>
      <c r="Y255" s="12" t="s">
        <v>248</v>
      </c>
      <c r="Z255" t="str">
        <f t="shared" si="22"/>
        <v>Blacklisted</v>
      </c>
      <c r="AA255" t="str">
        <f t="shared" si="23"/>
        <v>Rohit Singh</v>
      </c>
      <c r="AB255" t="str">
        <f t="shared" si="24"/>
        <v>Roh003Ko</v>
      </c>
      <c r="AC255" t="str">
        <f t="shared" si="27"/>
        <v>rohit.singh@company.com</v>
      </c>
      <c r="AD255" t="str">
        <f t="shared" ca="1" si="28"/>
        <v/>
      </c>
      <c r="AE255" t="str">
        <f t="shared" si="25"/>
        <v/>
      </c>
      <c r="AF255" t="str">
        <f t="shared" si="26"/>
        <v>Delayed</v>
      </c>
    </row>
    <row r="256" spans="4:32">
      <c r="D256" s="4" t="s">
        <v>778</v>
      </c>
      <c r="E256" s="5" t="s">
        <v>346</v>
      </c>
      <c r="F256" s="5" t="s">
        <v>258</v>
      </c>
      <c r="G256" s="5" t="s">
        <v>83</v>
      </c>
      <c r="H256" s="6">
        <v>45667</v>
      </c>
      <c r="I256" s="5" t="s">
        <v>348</v>
      </c>
      <c r="J256" s="5" t="s">
        <v>269</v>
      </c>
      <c r="K256" s="6">
        <v>31568</v>
      </c>
      <c r="L256" s="5" t="s">
        <v>291</v>
      </c>
      <c r="M256" s="5" t="s">
        <v>287</v>
      </c>
      <c r="N256" s="5" t="s">
        <v>243</v>
      </c>
      <c r="O256" s="5" t="s">
        <v>262</v>
      </c>
      <c r="P256" s="5">
        <v>3</v>
      </c>
      <c r="Q256" s="5">
        <v>12000</v>
      </c>
      <c r="R256" s="5">
        <v>10</v>
      </c>
      <c r="S256" s="5">
        <v>32400</v>
      </c>
      <c r="T256" s="5">
        <v>4</v>
      </c>
      <c r="U256" s="5" t="s">
        <v>272</v>
      </c>
      <c r="V256" s="5" t="s">
        <v>312</v>
      </c>
      <c r="W256" s="5" t="s">
        <v>350</v>
      </c>
      <c r="X256" s="5">
        <v>9477052923</v>
      </c>
      <c r="Y256" s="8" t="s">
        <v>257</v>
      </c>
      <c r="Z256" t="str">
        <f t="shared" si="22"/>
        <v>Silver</v>
      </c>
      <c r="AA256" t="str">
        <f t="shared" si="23"/>
        <v>Vikas Mehta</v>
      </c>
      <c r="AB256" t="str">
        <f t="shared" si="24"/>
        <v>Vik005Pu</v>
      </c>
      <c r="AC256" t="str">
        <f t="shared" si="27"/>
        <v>vikas.mehta@company.com</v>
      </c>
      <c r="AD256">
        <f t="shared" ca="1" si="28"/>
        <v>23</v>
      </c>
      <c r="AE256" t="str">
        <f t="shared" si="25"/>
        <v/>
      </c>
      <c r="AF256" t="str">
        <f t="shared" si="26"/>
        <v>Delayed</v>
      </c>
    </row>
    <row r="257" spans="4:32">
      <c r="D257" s="9" t="s">
        <v>779</v>
      </c>
      <c r="E257" s="10" t="s">
        <v>346</v>
      </c>
      <c r="F257" s="10" t="s">
        <v>258</v>
      </c>
      <c r="G257" s="11">
        <v>45727</v>
      </c>
      <c r="H257" s="11">
        <v>45911</v>
      </c>
      <c r="I257" s="10" t="s">
        <v>348</v>
      </c>
      <c r="J257" s="10" t="s">
        <v>269</v>
      </c>
      <c r="K257" s="11">
        <v>32600</v>
      </c>
      <c r="L257" s="10" t="s">
        <v>252</v>
      </c>
      <c r="M257" s="10" t="s">
        <v>242</v>
      </c>
      <c r="N257" s="10" t="s">
        <v>243</v>
      </c>
      <c r="O257" s="10" t="s">
        <v>262</v>
      </c>
      <c r="P257" s="10">
        <v>4</v>
      </c>
      <c r="Q257" s="10">
        <v>12000</v>
      </c>
      <c r="R257" s="10">
        <v>15</v>
      </c>
      <c r="S257" s="10">
        <v>40800</v>
      </c>
      <c r="T257" s="10">
        <v>3</v>
      </c>
      <c r="U257" s="10" t="s">
        <v>272</v>
      </c>
      <c r="V257" s="10" t="s">
        <v>255</v>
      </c>
      <c r="W257" s="10" t="s">
        <v>350</v>
      </c>
      <c r="X257" s="10">
        <v>9184311420</v>
      </c>
      <c r="Y257" s="12" t="s">
        <v>248</v>
      </c>
      <c r="Z257" t="str">
        <f t="shared" si="22"/>
        <v/>
      </c>
      <c r="AA257" t="str">
        <f t="shared" si="23"/>
        <v>Vikas Mehta</v>
      </c>
      <c r="AB257" t="str">
        <f t="shared" si="24"/>
        <v>Vik005Hy</v>
      </c>
      <c r="AC257" t="str">
        <f t="shared" si="27"/>
        <v>vikas.mehta@company.com</v>
      </c>
      <c r="AD257">
        <f t="shared" ca="1" si="28"/>
        <v>40</v>
      </c>
      <c r="AE257" t="str">
        <f t="shared" si="25"/>
        <v/>
      </c>
      <c r="AF257" t="str">
        <f t="shared" si="26"/>
        <v>Delayed</v>
      </c>
    </row>
    <row r="258" spans="4:32">
      <c r="D258" s="4" t="s">
        <v>780</v>
      </c>
      <c r="E258" s="5" t="s">
        <v>299</v>
      </c>
      <c r="F258" s="5" t="s">
        <v>258</v>
      </c>
      <c r="G258" s="5" t="s">
        <v>48</v>
      </c>
      <c r="H258" s="5" t="s">
        <v>466</v>
      </c>
      <c r="I258" s="5" t="s">
        <v>301</v>
      </c>
      <c r="J258" s="5" t="s">
        <v>269</v>
      </c>
      <c r="K258" s="6">
        <v>29435</v>
      </c>
      <c r="L258" s="5" t="s">
        <v>252</v>
      </c>
      <c r="M258" s="5" t="s">
        <v>242</v>
      </c>
      <c r="N258" s="5" t="s">
        <v>243</v>
      </c>
      <c r="O258" s="5" t="s">
        <v>262</v>
      </c>
      <c r="P258" s="5">
        <v>13</v>
      </c>
      <c r="Q258" s="5">
        <v>12000</v>
      </c>
      <c r="R258" s="5">
        <v>10</v>
      </c>
      <c r="S258" s="5">
        <v>140400</v>
      </c>
      <c r="T258" s="5">
        <v>2</v>
      </c>
      <c r="U258" s="5" t="s">
        <v>254</v>
      </c>
      <c r="V258" s="5" t="s">
        <v>312</v>
      </c>
      <c r="W258" s="5" t="s">
        <v>302</v>
      </c>
      <c r="X258" s="5">
        <v>9630913127</v>
      </c>
      <c r="Y258" s="8" t="s">
        <v>265</v>
      </c>
      <c r="Z258" t="str">
        <f t="shared" si="22"/>
        <v>Blacklisted</v>
      </c>
      <c r="AA258" t="str">
        <f t="shared" si="23"/>
        <v>Rohit Singh</v>
      </c>
      <c r="AB258" t="str">
        <f t="shared" si="24"/>
        <v>Roh003Hy</v>
      </c>
      <c r="AC258" t="str">
        <f t="shared" si="27"/>
        <v>rohit.singh@company.com</v>
      </c>
      <c r="AD258">
        <f t="shared" ca="1" si="28"/>
        <v>37</v>
      </c>
      <c r="AE258">
        <f t="shared" si="25"/>
        <v>2</v>
      </c>
      <c r="AF258" t="str">
        <f t="shared" si="26"/>
        <v>On time</v>
      </c>
    </row>
    <row r="259" spans="4:32">
      <c r="D259" s="9" t="s">
        <v>781</v>
      </c>
      <c r="E259" s="10" t="s">
        <v>249</v>
      </c>
      <c r="F259" s="10" t="s">
        <v>280</v>
      </c>
      <c r="G259" s="11">
        <v>45753</v>
      </c>
      <c r="H259" s="11">
        <v>45967</v>
      </c>
      <c r="I259" s="10" t="s">
        <v>251</v>
      </c>
      <c r="J259" s="10" t="s">
        <v>239</v>
      </c>
      <c r="K259" s="10" t="s">
        <v>782</v>
      </c>
      <c r="L259" s="10" t="s">
        <v>241</v>
      </c>
      <c r="M259" s="10" t="s">
        <v>242</v>
      </c>
      <c r="N259" s="10" t="s">
        <v>15</v>
      </c>
      <c r="O259" s="10" t="s">
        <v>282</v>
      </c>
      <c r="P259" s="10">
        <v>19</v>
      </c>
      <c r="Q259" s="10">
        <v>3500</v>
      </c>
      <c r="R259" s="10">
        <v>20</v>
      </c>
      <c r="S259" s="10">
        <v>53200</v>
      </c>
      <c r="T259" s="10">
        <v>1</v>
      </c>
      <c r="U259" s="10" t="s">
        <v>254</v>
      </c>
      <c r="V259" s="10" t="s">
        <v>246</v>
      </c>
      <c r="W259" s="10" t="s">
        <v>264</v>
      </c>
      <c r="X259" s="10">
        <v>9997515828</v>
      </c>
      <c r="Y259" s="12" t="s">
        <v>265</v>
      </c>
      <c r="Z259" t="str">
        <f t="shared" ref="Z259:Z322" si="29">IF(OR(T259&lt;=2,Y259="Cancelled"),"Blacklisted",IF(AND(S259&gt;100000,T259&gt;=4,R259&lt;=10%,Y259="Completed"),"Platinum",IF(AND(S259&gt;=50000,T259&gt;=3,Y259="Completed"),"Gold",IF(AND(S259&lt;50000,Y259="Completed"),"Silver",""))))</f>
        <v>Blacklisted</v>
      </c>
      <c r="AA259" t="str">
        <f t="shared" ref="AA259:AA322" si="30">PROPER(TRIM(I259))</f>
        <v>Kavya Nair</v>
      </c>
      <c r="AB259" t="str">
        <f t="shared" ref="AB259:AB322" si="31">LEFT(I259,3)&amp;MID(E259,2,3)&amp;LEFT(L259,2)</f>
        <v>Kav008Be</v>
      </c>
      <c r="AC259" t="str">
        <f t="shared" si="27"/>
        <v>kavya.nair@company.com</v>
      </c>
      <c r="AD259">
        <f t="shared" ca="1" si="28"/>
        <v>46</v>
      </c>
      <c r="AE259" t="str">
        <f t="shared" ref="AE259:AE322" si="32">IF(OR(G259="",H259=""),"",IFERROR(DATE(MID(H259,7,4),MID(H259,4,2),LEFT(H259,2))-DATE(MID(G259,7,4),MID(G259,4,2),LEFT(G259,2)),""))</f>
        <v/>
      </c>
      <c r="AF259" t="str">
        <f t="shared" ref="AF259:AF322" si="33">IF(H259="","Pending",IF(AE259&lt;=5,"On time","Delayed"))</f>
        <v>Delayed</v>
      </c>
    </row>
    <row r="260" spans="4:32">
      <c r="D260" s="4" t="s">
        <v>783</v>
      </c>
      <c r="E260" s="5" t="s">
        <v>249</v>
      </c>
      <c r="F260" s="5" t="s">
        <v>250</v>
      </c>
      <c r="G260" s="6">
        <v>45840</v>
      </c>
      <c r="H260" s="6">
        <v>45993</v>
      </c>
      <c r="I260" s="5" t="s">
        <v>251</v>
      </c>
      <c r="J260" s="5" t="s">
        <v>239</v>
      </c>
      <c r="K260" s="5" t="s">
        <v>784</v>
      </c>
      <c r="L260" s="5" t="s">
        <v>286</v>
      </c>
      <c r="M260" s="5" t="s">
        <v>287</v>
      </c>
      <c r="N260" s="5" t="s">
        <v>15</v>
      </c>
      <c r="O260" s="5" t="s">
        <v>253</v>
      </c>
      <c r="P260" s="5">
        <v>7</v>
      </c>
      <c r="Q260" s="5">
        <v>2200</v>
      </c>
      <c r="R260" s="5">
        <v>5</v>
      </c>
      <c r="S260" s="5">
        <v>14630</v>
      </c>
      <c r="T260" s="5">
        <v>3</v>
      </c>
      <c r="U260" s="5" t="s">
        <v>277</v>
      </c>
      <c r="V260" s="5" t="s">
        <v>246</v>
      </c>
      <c r="W260" s="5" t="s">
        <v>264</v>
      </c>
      <c r="X260" s="5">
        <v>9394291182</v>
      </c>
      <c r="Y260" s="8" t="s">
        <v>265</v>
      </c>
      <c r="Z260" t="str">
        <f t="shared" si="29"/>
        <v>Blacklisted</v>
      </c>
      <c r="AA260" t="str">
        <f t="shared" si="30"/>
        <v>Kavya Nair</v>
      </c>
      <c r="AB260" t="str">
        <f t="shared" si="31"/>
        <v>Kav008Mu</v>
      </c>
      <c r="AC260" t="str">
        <f t="shared" ref="AC260:AC323" si="34">IF(ISNUMBER(SEARCH("@",W260)),LOWER(TRIM(W260)),"invalid email")</f>
        <v>kavya.nair@company.com</v>
      </c>
      <c r="AD260" t="str">
        <f t="shared" ca="1" si="28"/>
        <v/>
      </c>
      <c r="AE260" t="str">
        <f t="shared" si="32"/>
        <v/>
      </c>
      <c r="AF260" t="str">
        <f t="shared" si="33"/>
        <v>Delayed</v>
      </c>
    </row>
    <row r="261" spans="4:32">
      <c r="D261" s="9" t="s">
        <v>785</v>
      </c>
      <c r="E261" s="10" t="s">
        <v>275</v>
      </c>
      <c r="F261" s="10" t="s">
        <v>330</v>
      </c>
      <c r="G261" s="11">
        <v>46270</v>
      </c>
      <c r="H261" s="10" t="s">
        <v>16</v>
      </c>
      <c r="I261" s="10" t="s">
        <v>328</v>
      </c>
      <c r="J261" s="10" t="s">
        <v>269</v>
      </c>
      <c r="K261" s="11">
        <v>34036</v>
      </c>
      <c r="L261" s="10" t="s">
        <v>342</v>
      </c>
      <c r="M261" s="10" t="s">
        <v>261</v>
      </c>
      <c r="N261" s="10" t="s">
        <v>243</v>
      </c>
      <c r="O261" s="10" t="s">
        <v>333</v>
      </c>
      <c r="P261" s="10">
        <v>18</v>
      </c>
      <c r="Q261" s="10">
        <v>700</v>
      </c>
      <c r="R261" s="10">
        <v>5</v>
      </c>
      <c r="S261" s="10">
        <v>11970</v>
      </c>
      <c r="T261" s="10">
        <v>2</v>
      </c>
      <c r="U261" s="10" t="s">
        <v>277</v>
      </c>
      <c r="V261" s="10" t="s">
        <v>246</v>
      </c>
      <c r="W261" s="10" t="s">
        <v>278</v>
      </c>
      <c r="X261" s="10">
        <v>9616853220</v>
      </c>
      <c r="Y261" s="12" t="s">
        <v>265</v>
      </c>
      <c r="Z261" t="str">
        <f t="shared" si="29"/>
        <v>Blacklisted</v>
      </c>
      <c r="AA261" t="str">
        <f t="shared" si="30"/>
        <v>Arjun Rao</v>
      </c>
      <c r="AB261" t="str">
        <f t="shared" si="31"/>
        <v>Arj007Ja</v>
      </c>
      <c r="AC261" t="str">
        <f t="shared" si="34"/>
        <v>arjun.rao@company.com</v>
      </c>
      <c r="AD261" t="str">
        <f t="shared" ref="AD261:AD324" ca="1" si="35">IF(K260="","",IFERROR(DATEDIF(IF(ISNUMBER(K260),K260,DATE(VALUE(RIGHT(K260,4)),VALUE(MID(K260,3,2)),VALUE(LEFT(K260,2)))),TODAY(),"Y"),""))</f>
        <v/>
      </c>
      <c r="AE261" t="str">
        <f t="shared" si="32"/>
        <v/>
      </c>
      <c r="AF261" t="str">
        <f t="shared" si="33"/>
        <v>Delayed</v>
      </c>
    </row>
    <row r="262" spans="4:32">
      <c r="D262" s="4" t="s">
        <v>786</v>
      </c>
      <c r="E262" s="5" t="s">
        <v>249</v>
      </c>
      <c r="F262" s="5" t="s">
        <v>347</v>
      </c>
      <c r="G262" s="5" t="s">
        <v>93</v>
      </c>
      <c r="H262" s="5" t="s">
        <v>198</v>
      </c>
      <c r="I262" s="5" t="s">
        <v>251</v>
      </c>
      <c r="J262" s="5" t="s">
        <v>239</v>
      </c>
      <c r="K262" s="5" t="s">
        <v>787</v>
      </c>
      <c r="L262" s="5" t="s">
        <v>379</v>
      </c>
      <c r="M262" s="5" t="s">
        <v>21</v>
      </c>
      <c r="N262" s="5" t="s">
        <v>295</v>
      </c>
      <c r="O262" s="5" t="s">
        <v>349</v>
      </c>
      <c r="P262" s="5">
        <v>11</v>
      </c>
      <c r="Q262" s="5">
        <v>20</v>
      </c>
      <c r="R262" s="5">
        <v>0</v>
      </c>
      <c r="S262" s="5">
        <v>220</v>
      </c>
      <c r="T262" s="5">
        <v>2</v>
      </c>
      <c r="U262" s="5" t="s">
        <v>245</v>
      </c>
      <c r="V262" s="5" t="s">
        <v>292</v>
      </c>
      <c r="W262" s="5" t="s">
        <v>264</v>
      </c>
      <c r="X262" s="5">
        <v>9147552626</v>
      </c>
      <c r="Y262" s="8" t="s">
        <v>265</v>
      </c>
      <c r="Z262" t="str">
        <f t="shared" si="29"/>
        <v>Blacklisted</v>
      </c>
      <c r="AA262" t="str">
        <f t="shared" si="30"/>
        <v>Kavya Nair</v>
      </c>
      <c r="AB262" t="str">
        <f t="shared" si="31"/>
        <v>Kav008Ko</v>
      </c>
      <c r="AC262" t="str">
        <f t="shared" si="34"/>
        <v>kavya.nair@company.com</v>
      </c>
      <c r="AD262">
        <f t="shared" ca="1" si="35"/>
        <v>33</v>
      </c>
      <c r="AE262">
        <f t="shared" si="32"/>
        <v>10</v>
      </c>
      <c r="AF262" t="str">
        <f t="shared" si="33"/>
        <v>Delayed</v>
      </c>
    </row>
    <row r="263" spans="4:32">
      <c r="D263" s="9" t="s">
        <v>788</v>
      </c>
      <c r="E263" s="10" t="s">
        <v>392</v>
      </c>
      <c r="F263" s="10" t="s">
        <v>258</v>
      </c>
      <c r="G263" s="10" t="s">
        <v>175</v>
      </c>
      <c r="H263" s="11">
        <v>45841</v>
      </c>
      <c r="I263" s="10" t="s">
        <v>323</v>
      </c>
      <c r="J263" s="10" t="s">
        <v>269</v>
      </c>
      <c r="K263" s="10" t="s">
        <v>789</v>
      </c>
      <c r="L263" s="10" t="s">
        <v>291</v>
      </c>
      <c r="M263" s="10" t="s">
        <v>287</v>
      </c>
      <c r="N263" s="10" t="s">
        <v>243</v>
      </c>
      <c r="O263" s="10" t="s">
        <v>262</v>
      </c>
      <c r="P263" s="10">
        <v>17</v>
      </c>
      <c r="Q263" s="10">
        <v>12000</v>
      </c>
      <c r="R263" s="10">
        <v>20</v>
      </c>
      <c r="S263" s="10">
        <v>163200</v>
      </c>
      <c r="T263" s="10">
        <v>4</v>
      </c>
      <c r="U263" s="10" t="s">
        <v>277</v>
      </c>
      <c r="V263" s="10" t="s">
        <v>312</v>
      </c>
      <c r="W263" s="10" t="s">
        <v>395</v>
      </c>
      <c r="X263" s="10">
        <v>9724197033</v>
      </c>
      <c r="Y263" s="12" t="s">
        <v>257</v>
      </c>
      <c r="Z263" t="str">
        <f t="shared" si="29"/>
        <v>Gold</v>
      </c>
      <c r="AA263" t="str">
        <f t="shared" si="30"/>
        <v>Amit Sharma</v>
      </c>
      <c r="AB263" t="str">
        <f t="shared" si="31"/>
        <v>Ami001Pu</v>
      </c>
      <c r="AC263" t="str">
        <f t="shared" si="34"/>
        <v>amit.sharma@company.com</v>
      </c>
      <c r="AD263" t="str">
        <f t="shared" ca="1" si="35"/>
        <v/>
      </c>
      <c r="AE263" t="str">
        <f t="shared" si="32"/>
        <v/>
      </c>
      <c r="AF263" t="str">
        <f t="shared" si="33"/>
        <v>Delayed</v>
      </c>
    </row>
    <row r="264" spans="4:32">
      <c r="D264" s="4" t="s">
        <v>790</v>
      </c>
      <c r="E264" s="5" t="s">
        <v>358</v>
      </c>
      <c r="F264" s="5" t="s">
        <v>250</v>
      </c>
      <c r="G264" s="6">
        <v>45876</v>
      </c>
      <c r="H264" s="5" t="s">
        <v>365</v>
      </c>
      <c r="I264" s="5" t="s">
        <v>359</v>
      </c>
      <c r="J264" s="5" t="s">
        <v>239</v>
      </c>
      <c r="K264" s="5" t="s">
        <v>791</v>
      </c>
      <c r="L264" s="5" t="s">
        <v>379</v>
      </c>
      <c r="M264" s="5" t="s">
        <v>21</v>
      </c>
      <c r="N264" s="5" t="s">
        <v>15</v>
      </c>
      <c r="O264" s="5" t="s">
        <v>253</v>
      </c>
      <c r="P264" s="5">
        <v>4</v>
      </c>
      <c r="Q264" s="5">
        <v>2200</v>
      </c>
      <c r="R264" s="5">
        <v>5</v>
      </c>
      <c r="S264" s="5">
        <v>8360</v>
      </c>
      <c r="T264" s="5">
        <v>2</v>
      </c>
      <c r="U264" s="5" t="s">
        <v>254</v>
      </c>
      <c r="V264" s="5" t="s">
        <v>255</v>
      </c>
      <c r="W264" s="5" t="s">
        <v>360</v>
      </c>
      <c r="X264" s="5">
        <v>9130666128</v>
      </c>
      <c r="Y264" s="8" t="s">
        <v>257</v>
      </c>
      <c r="Z264" t="str">
        <f t="shared" si="29"/>
        <v>Blacklisted</v>
      </c>
      <c r="AA264" t="str">
        <f t="shared" si="30"/>
        <v>Sneha Joshi</v>
      </c>
      <c r="AB264" t="str">
        <f t="shared" si="31"/>
        <v>Sne006Ko</v>
      </c>
      <c r="AC264" t="str">
        <f t="shared" si="34"/>
        <v>sneha.joshi@company.com</v>
      </c>
      <c r="AD264" t="str">
        <f t="shared" ca="1" si="35"/>
        <v/>
      </c>
      <c r="AE264" t="str">
        <f t="shared" si="32"/>
        <v/>
      </c>
      <c r="AF264" t="str">
        <f t="shared" si="33"/>
        <v>Delayed</v>
      </c>
    </row>
    <row r="265" spans="4:32">
      <c r="D265" s="9" t="s">
        <v>792</v>
      </c>
      <c r="E265" s="10" t="s">
        <v>249</v>
      </c>
      <c r="F265" s="10" t="s">
        <v>236</v>
      </c>
      <c r="G265" s="11">
        <v>46003</v>
      </c>
      <c r="H265" s="10" t="s">
        <v>448</v>
      </c>
      <c r="I265" s="10" t="s">
        <v>251</v>
      </c>
      <c r="J265" s="10" t="s">
        <v>239</v>
      </c>
      <c r="K265" s="11">
        <v>37503</v>
      </c>
      <c r="L265" s="10" t="s">
        <v>306</v>
      </c>
      <c r="M265" s="10" t="s">
        <v>287</v>
      </c>
      <c r="N265" s="10" t="s">
        <v>243</v>
      </c>
      <c r="O265" s="10" t="s">
        <v>244</v>
      </c>
      <c r="P265" s="10">
        <v>6</v>
      </c>
      <c r="Q265" s="10">
        <v>55000</v>
      </c>
      <c r="R265" s="10">
        <v>20</v>
      </c>
      <c r="S265" s="10">
        <v>264000</v>
      </c>
      <c r="T265" s="10">
        <v>2</v>
      </c>
      <c r="U265" s="10" t="s">
        <v>277</v>
      </c>
      <c r="V265" s="10" t="s">
        <v>312</v>
      </c>
      <c r="W265" s="10" t="s">
        <v>264</v>
      </c>
      <c r="X265" s="10">
        <v>9866567601</v>
      </c>
      <c r="Y265" s="12" t="s">
        <v>265</v>
      </c>
      <c r="Z265" t="str">
        <f t="shared" si="29"/>
        <v>Blacklisted</v>
      </c>
      <c r="AA265" t="str">
        <f t="shared" si="30"/>
        <v>Kavya Nair</v>
      </c>
      <c r="AB265" t="str">
        <f t="shared" si="31"/>
        <v>Kav008Ah</v>
      </c>
      <c r="AC265" t="str">
        <f t="shared" si="34"/>
        <v>kavya.nair@company.com</v>
      </c>
      <c r="AD265" t="str">
        <f t="shared" ca="1" si="35"/>
        <v/>
      </c>
      <c r="AE265" t="str">
        <f t="shared" si="32"/>
        <v/>
      </c>
      <c r="AF265" t="str">
        <f t="shared" si="33"/>
        <v>Delayed</v>
      </c>
    </row>
    <row r="266" spans="4:32">
      <c r="D266" s="4" t="s">
        <v>793</v>
      </c>
      <c r="E266" s="5" t="s">
        <v>266</v>
      </c>
      <c r="F266" s="5" t="s">
        <v>322</v>
      </c>
      <c r="G266" s="6">
        <v>46113</v>
      </c>
      <c r="H266" s="5" t="s">
        <v>23</v>
      </c>
      <c r="I266" s="5" t="s">
        <v>268</v>
      </c>
      <c r="J266" s="5" t="s">
        <v>269</v>
      </c>
      <c r="K266" s="5" t="s">
        <v>794</v>
      </c>
      <c r="L266" s="5" t="s">
        <v>260</v>
      </c>
      <c r="M266" s="5" t="s">
        <v>261</v>
      </c>
      <c r="N266" s="5" t="s">
        <v>15</v>
      </c>
      <c r="O266" s="5" t="s">
        <v>325</v>
      </c>
      <c r="P266" s="5">
        <v>6</v>
      </c>
      <c r="Q266" s="5">
        <v>8500</v>
      </c>
      <c r="R266" s="5">
        <v>10</v>
      </c>
      <c r="S266" s="5">
        <v>45900</v>
      </c>
      <c r="T266" s="5">
        <v>5</v>
      </c>
      <c r="U266" s="5" t="s">
        <v>277</v>
      </c>
      <c r="V266" s="5" t="s">
        <v>246</v>
      </c>
      <c r="W266" s="5" t="s">
        <v>273</v>
      </c>
      <c r="X266" s="5">
        <v>9477282450</v>
      </c>
      <c r="Y266" s="8" t="s">
        <v>257</v>
      </c>
      <c r="Z266" t="str">
        <f t="shared" si="29"/>
        <v>Silver</v>
      </c>
      <c r="AA266" t="str">
        <f t="shared" si="30"/>
        <v>Mohit Verma</v>
      </c>
      <c r="AB266" t="str">
        <f t="shared" si="31"/>
        <v>Moh009De</v>
      </c>
      <c r="AC266" t="str">
        <f t="shared" si="34"/>
        <v>mohit.verma@company.com</v>
      </c>
      <c r="AD266">
        <f t="shared" ca="1" si="35"/>
        <v>24</v>
      </c>
      <c r="AE266" t="str">
        <f t="shared" si="32"/>
        <v/>
      </c>
      <c r="AF266" t="str">
        <f t="shared" si="33"/>
        <v>Delayed</v>
      </c>
    </row>
    <row r="267" spans="4:32">
      <c r="D267" s="9" t="s">
        <v>795</v>
      </c>
      <c r="E267" s="10" t="s">
        <v>249</v>
      </c>
      <c r="F267" s="10" t="s">
        <v>347</v>
      </c>
      <c r="G267" s="10" t="s">
        <v>94</v>
      </c>
      <c r="H267" s="10" t="s">
        <v>146</v>
      </c>
      <c r="I267" s="10" t="s">
        <v>251</v>
      </c>
      <c r="J267" s="10" t="s">
        <v>239</v>
      </c>
      <c r="K267" s="11">
        <v>31028</v>
      </c>
      <c r="L267" s="10" t="s">
        <v>342</v>
      </c>
      <c r="M267" s="10" t="s">
        <v>261</v>
      </c>
      <c r="N267" s="10" t="s">
        <v>295</v>
      </c>
      <c r="O267" s="10" t="s">
        <v>349</v>
      </c>
      <c r="P267" s="10">
        <v>6</v>
      </c>
      <c r="Q267" s="10">
        <v>20</v>
      </c>
      <c r="R267" s="10">
        <v>15</v>
      </c>
      <c r="S267" s="10">
        <v>102</v>
      </c>
      <c r="T267" s="10">
        <v>2</v>
      </c>
      <c r="U267" s="10" t="s">
        <v>277</v>
      </c>
      <c r="V267" s="10" t="s">
        <v>263</v>
      </c>
      <c r="W267" s="10" t="s">
        <v>264</v>
      </c>
      <c r="X267" s="10">
        <v>9857621478</v>
      </c>
      <c r="Y267" s="12" t="s">
        <v>265</v>
      </c>
      <c r="Z267" t="str">
        <f t="shared" si="29"/>
        <v>Blacklisted</v>
      </c>
      <c r="AA267" t="str">
        <f t="shared" si="30"/>
        <v>Kavya Nair</v>
      </c>
      <c r="AB267" t="str">
        <f t="shared" si="31"/>
        <v>Kav008Ja</v>
      </c>
      <c r="AC267" t="str">
        <f t="shared" si="34"/>
        <v>kavya.nair@company.com</v>
      </c>
      <c r="AD267" t="str">
        <f t="shared" ca="1" si="35"/>
        <v/>
      </c>
      <c r="AE267">
        <f t="shared" si="32"/>
        <v>5</v>
      </c>
      <c r="AF267" t="str">
        <f t="shared" si="33"/>
        <v>On time</v>
      </c>
    </row>
    <row r="268" spans="4:32">
      <c r="D268" s="4" t="s">
        <v>796</v>
      </c>
      <c r="E268" s="5" t="s">
        <v>235</v>
      </c>
      <c r="F268" s="5" t="s">
        <v>294</v>
      </c>
      <c r="G268" s="6">
        <v>45721</v>
      </c>
      <c r="H268" s="6">
        <v>45966</v>
      </c>
      <c r="I268" s="5" t="s">
        <v>318</v>
      </c>
      <c r="J268" s="5" t="s">
        <v>239</v>
      </c>
      <c r="K268" s="5" t="s">
        <v>797</v>
      </c>
      <c r="L268" s="5" t="s">
        <v>286</v>
      </c>
      <c r="M268" s="5" t="s">
        <v>287</v>
      </c>
      <c r="N268" s="5" t="s">
        <v>295</v>
      </c>
      <c r="O268" s="5" t="s">
        <v>296</v>
      </c>
      <c r="P268" s="5">
        <v>6</v>
      </c>
      <c r="Q268" s="5">
        <v>60</v>
      </c>
      <c r="R268" s="5">
        <v>5</v>
      </c>
      <c r="S268" s="5">
        <v>342</v>
      </c>
      <c r="T268" s="5">
        <v>1</v>
      </c>
      <c r="U268" s="5" t="s">
        <v>245</v>
      </c>
      <c r="V268" s="5" t="s">
        <v>246</v>
      </c>
      <c r="W268" s="5" t="s">
        <v>247</v>
      </c>
      <c r="X268" s="5">
        <v>9753869055</v>
      </c>
      <c r="Y268" s="8" t="s">
        <v>257</v>
      </c>
      <c r="Z268" t="str">
        <f t="shared" si="29"/>
        <v>Blacklisted</v>
      </c>
      <c r="AA268" t="str">
        <f t="shared" si="30"/>
        <v>Pooja Shah</v>
      </c>
      <c r="AB268" t="str">
        <f t="shared" si="31"/>
        <v>Poo010Mu</v>
      </c>
      <c r="AC268" t="str">
        <f t="shared" si="34"/>
        <v>pooja.shah@company.com</v>
      </c>
      <c r="AD268">
        <f t="shared" ca="1" si="35"/>
        <v>41</v>
      </c>
      <c r="AE268" t="str">
        <f t="shared" si="32"/>
        <v/>
      </c>
      <c r="AF268" t="str">
        <f t="shared" si="33"/>
        <v>Delayed</v>
      </c>
    </row>
    <row r="269" spans="4:32">
      <c r="D269" s="9" t="s">
        <v>798</v>
      </c>
      <c r="E269" s="10" t="s">
        <v>299</v>
      </c>
      <c r="F269" s="10" t="s">
        <v>322</v>
      </c>
      <c r="G269" s="11">
        <v>45901</v>
      </c>
      <c r="H269" s="11">
        <v>45992</v>
      </c>
      <c r="I269" s="10" t="s">
        <v>301</v>
      </c>
      <c r="J269" s="10" t="s">
        <v>269</v>
      </c>
      <c r="K269" s="10" t="s">
        <v>799</v>
      </c>
      <c r="L269" s="10" t="s">
        <v>252</v>
      </c>
      <c r="M269" s="10" t="s">
        <v>242</v>
      </c>
      <c r="N269" s="10" t="s">
        <v>15</v>
      </c>
      <c r="O269" s="10" t="s">
        <v>325</v>
      </c>
      <c r="P269" s="10">
        <v>19</v>
      </c>
      <c r="Q269" s="10">
        <v>8500</v>
      </c>
      <c r="R269" s="10">
        <v>0</v>
      </c>
      <c r="S269" s="10">
        <v>161500</v>
      </c>
      <c r="T269" s="10">
        <v>5</v>
      </c>
      <c r="U269" s="10" t="s">
        <v>277</v>
      </c>
      <c r="V269" s="10" t="s">
        <v>312</v>
      </c>
      <c r="W269" s="10" t="s">
        <v>302</v>
      </c>
      <c r="X269" s="10">
        <v>9663266204</v>
      </c>
      <c r="Y269" s="12" t="s">
        <v>257</v>
      </c>
      <c r="Z269" t="str">
        <f t="shared" si="29"/>
        <v>Platinum</v>
      </c>
      <c r="AA269" t="str">
        <f t="shared" si="30"/>
        <v>Rohit Singh</v>
      </c>
      <c r="AB269" t="str">
        <f t="shared" si="31"/>
        <v>Roh003Hy</v>
      </c>
      <c r="AC269" t="str">
        <f t="shared" si="34"/>
        <v>rohit.singh@company.com</v>
      </c>
      <c r="AD269" t="str">
        <f t="shared" ca="1" si="35"/>
        <v/>
      </c>
      <c r="AE269" t="str">
        <f t="shared" si="32"/>
        <v/>
      </c>
      <c r="AF269" t="str">
        <f t="shared" si="33"/>
        <v>Delayed</v>
      </c>
    </row>
    <row r="270" spans="4:32">
      <c r="D270" s="4" t="s">
        <v>800</v>
      </c>
      <c r="E270" s="5" t="s">
        <v>358</v>
      </c>
      <c r="F270" s="5" t="s">
        <v>236</v>
      </c>
      <c r="G270" s="6">
        <v>45666</v>
      </c>
      <c r="H270" s="6">
        <v>45939</v>
      </c>
      <c r="I270" s="5" t="s">
        <v>359</v>
      </c>
      <c r="J270" s="5" t="s">
        <v>239</v>
      </c>
      <c r="K270" s="5" t="s">
        <v>801</v>
      </c>
      <c r="L270" s="5" t="s">
        <v>342</v>
      </c>
      <c r="M270" s="5" t="s">
        <v>261</v>
      </c>
      <c r="N270" s="5" t="s">
        <v>243</v>
      </c>
      <c r="O270" s="5" t="s">
        <v>244</v>
      </c>
      <c r="P270" s="5">
        <v>8</v>
      </c>
      <c r="Q270" s="5">
        <v>55000</v>
      </c>
      <c r="R270" s="5">
        <v>0</v>
      </c>
      <c r="S270" s="5">
        <v>440000</v>
      </c>
      <c r="T270" s="5">
        <v>3</v>
      </c>
      <c r="U270" s="5" t="s">
        <v>272</v>
      </c>
      <c r="V270" s="5" t="s">
        <v>292</v>
      </c>
      <c r="W270" s="5" t="s">
        <v>360</v>
      </c>
      <c r="X270" s="5">
        <v>9675208616</v>
      </c>
      <c r="Y270" s="8" t="s">
        <v>248</v>
      </c>
      <c r="Z270" t="str">
        <f t="shared" si="29"/>
        <v/>
      </c>
      <c r="AA270" t="str">
        <f t="shared" si="30"/>
        <v>Sneha Joshi</v>
      </c>
      <c r="AB270" t="str">
        <f t="shared" si="31"/>
        <v>Sne006Ja</v>
      </c>
      <c r="AC270" t="str">
        <f t="shared" si="34"/>
        <v>sneha.joshi@company.com</v>
      </c>
      <c r="AD270" t="str">
        <f t="shared" ca="1" si="35"/>
        <v/>
      </c>
      <c r="AE270" t="str">
        <f t="shared" si="32"/>
        <v/>
      </c>
      <c r="AF270" t="str">
        <f t="shared" si="33"/>
        <v>Delayed</v>
      </c>
    </row>
    <row r="271" spans="4:32">
      <c r="D271" s="9" t="s">
        <v>802</v>
      </c>
      <c r="E271" s="10" t="s">
        <v>266</v>
      </c>
      <c r="F271" s="10" t="s">
        <v>258</v>
      </c>
      <c r="G271" s="11">
        <v>46058</v>
      </c>
      <c r="H271" s="11">
        <v>46208</v>
      </c>
      <c r="I271" s="10" t="s">
        <v>268</v>
      </c>
      <c r="J271" s="10" t="s">
        <v>269</v>
      </c>
      <c r="K271" s="10" t="s">
        <v>803</v>
      </c>
      <c r="L271" s="10" t="s">
        <v>379</v>
      </c>
      <c r="M271" s="10" t="s">
        <v>21</v>
      </c>
      <c r="N271" s="10" t="s">
        <v>243</v>
      </c>
      <c r="O271" s="10" t="s">
        <v>262</v>
      </c>
      <c r="P271" s="10">
        <v>18</v>
      </c>
      <c r="Q271" s="10">
        <v>12000</v>
      </c>
      <c r="R271" s="10">
        <v>20</v>
      </c>
      <c r="S271" s="10">
        <v>172800</v>
      </c>
      <c r="T271" s="10">
        <v>5</v>
      </c>
      <c r="U271" s="10" t="s">
        <v>277</v>
      </c>
      <c r="V271" s="10" t="s">
        <v>246</v>
      </c>
      <c r="W271" s="10" t="s">
        <v>273</v>
      </c>
      <c r="X271" s="10">
        <v>9618393586</v>
      </c>
      <c r="Y271" s="12" t="s">
        <v>265</v>
      </c>
      <c r="Z271" t="str">
        <f t="shared" si="29"/>
        <v>Blacklisted</v>
      </c>
      <c r="AA271" t="str">
        <f t="shared" si="30"/>
        <v>Mohit Verma</v>
      </c>
      <c r="AB271" t="str">
        <f t="shared" si="31"/>
        <v>Moh009Ko</v>
      </c>
      <c r="AC271" t="str">
        <f t="shared" si="34"/>
        <v>mohit.verma@company.com</v>
      </c>
      <c r="AD271" t="str">
        <f t="shared" ca="1" si="35"/>
        <v/>
      </c>
      <c r="AE271" t="str">
        <f t="shared" si="32"/>
        <v/>
      </c>
      <c r="AF271" t="str">
        <f t="shared" si="33"/>
        <v>Delayed</v>
      </c>
    </row>
    <row r="272" spans="4:32">
      <c r="D272" s="4" t="s">
        <v>804</v>
      </c>
      <c r="E272" s="5" t="s">
        <v>299</v>
      </c>
      <c r="F272" s="5" t="s">
        <v>322</v>
      </c>
      <c r="G272" s="5" t="s">
        <v>59</v>
      </c>
      <c r="H272" s="5" t="s">
        <v>153</v>
      </c>
      <c r="I272" s="5" t="s">
        <v>301</v>
      </c>
      <c r="J272" s="5" t="s">
        <v>269</v>
      </c>
      <c r="K272" s="6">
        <v>33219</v>
      </c>
      <c r="L272" s="5" t="s">
        <v>306</v>
      </c>
      <c r="M272" s="5" t="s">
        <v>287</v>
      </c>
      <c r="N272" s="5" t="s">
        <v>15</v>
      </c>
      <c r="O272" s="5" t="s">
        <v>325</v>
      </c>
      <c r="P272" s="5">
        <v>8</v>
      </c>
      <c r="Q272" s="5">
        <v>8500</v>
      </c>
      <c r="R272" s="5">
        <v>5</v>
      </c>
      <c r="S272" s="5">
        <v>64600</v>
      </c>
      <c r="T272" s="5">
        <v>2</v>
      </c>
      <c r="U272" s="5" t="s">
        <v>272</v>
      </c>
      <c r="V272" s="5" t="s">
        <v>246</v>
      </c>
      <c r="W272" s="5" t="s">
        <v>302</v>
      </c>
      <c r="X272" s="5">
        <v>9137027840</v>
      </c>
      <c r="Y272" s="8" t="s">
        <v>265</v>
      </c>
      <c r="Z272" t="str">
        <f t="shared" si="29"/>
        <v>Blacklisted</v>
      </c>
      <c r="AA272" t="str">
        <f t="shared" si="30"/>
        <v>Rohit Singh</v>
      </c>
      <c r="AB272" t="str">
        <f t="shared" si="31"/>
        <v>Roh003Ah</v>
      </c>
      <c r="AC272" t="str">
        <f t="shared" si="34"/>
        <v>rohit.singh@company.com</v>
      </c>
      <c r="AD272" t="str">
        <f t="shared" ca="1" si="35"/>
        <v/>
      </c>
      <c r="AE272">
        <f t="shared" si="32"/>
        <v>9</v>
      </c>
      <c r="AF272" t="str">
        <f t="shared" si="33"/>
        <v>Delayed</v>
      </c>
    </row>
    <row r="273" spans="4:32">
      <c r="D273" s="9" t="s">
        <v>805</v>
      </c>
      <c r="E273" s="10" t="s">
        <v>249</v>
      </c>
      <c r="F273" s="10" t="s">
        <v>347</v>
      </c>
      <c r="G273" s="11">
        <v>45908</v>
      </c>
      <c r="H273" s="10" t="s">
        <v>560</v>
      </c>
      <c r="I273" s="10" t="s">
        <v>251</v>
      </c>
      <c r="J273" s="10" t="s">
        <v>239</v>
      </c>
      <c r="K273" s="10" t="s">
        <v>806</v>
      </c>
      <c r="L273" s="10" t="s">
        <v>286</v>
      </c>
      <c r="M273" s="10" t="s">
        <v>287</v>
      </c>
      <c r="N273" s="10" t="s">
        <v>295</v>
      </c>
      <c r="O273" s="10" t="s">
        <v>349</v>
      </c>
      <c r="P273" s="10">
        <v>13</v>
      </c>
      <c r="Q273" s="10">
        <v>20</v>
      </c>
      <c r="R273" s="10">
        <v>5</v>
      </c>
      <c r="S273" s="10">
        <v>247</v>
      </c>
      <c r="T273" s="10">
        <v>3</v>
      </c>
      <c r="U273" s="10" t="s">
        <v>245</v>
      </c>
      <c r="V273" s="10" t="s">
        <v>292</v>
      </c>
      <c r="W273" s="10" t="s">
        <v>264</v>
      </c>
      <c r="X273" s="10">
        <v>9362758134</v>
      </c>
      <c r="Y273" s="12" t="s">
        <v>248</v>
      </c>
      <c r="Z273" t="str">
        <f t="shared" si="29"/>
        <v/>
      </c>
      <c r="AA273" t="str">
        <f t="shared" si="30"/>
        <v>Kavya Nair</v>
      </c>
      <c r="AB273" t="str">
        <f t="shared" si="31"/>
        <v>Kav008Mu</v>
      </c>
      <c r="AC273" t="str">
        <f t="shared" si="34"/>
        <v>kavya.nair@company.com</v>
      </c>
      <c r="AD273">
        <f t="shared" ca="1" si="35"/>
        <v>35</v>
      </c>
      <c r="AE273" t="str">
        <f t="shared" si="32"/>
        <v/>
      </c>
      <c r="AF273" t="str">
        <f t="shared" si="33"/>
        <v>Delayed</v>
      </c>
    </row>
    <row r="274" spans="4:32">
      <c r="D274" s="4" t="s">
        <v>807</v>
      </c>
      <c r="E274" s="5" t="s">
        <v>275</v>
      </c>
      <c r="F274" s="5" t="s">
        <v>294</v>
      </c>
      <c r="G274" s="6">
        <v>46116</v>
      </c>
      <c r="H274" s="5" t="s">
        <v>45</v>
      </c>
      <c r="I274" s="5" t="s">
        <v>328</v>
      </c>
      <c r="J274" s="5" t="s">
        <v>269</v>
      </c>
      <c r="K274" s="6">
        <v>31110</v>
      </c>
      <c r="L274" s="5" t="s">
        <v>342</v>
      </c>
      <c r="M274" s="5" t="s">
        <v>261</v>
      </c>
      <c r="N274" s="5" t="s">
        <v>295</v>
      </c>
      <c r="O274" s="5" t="s">
        <v>296</v>
      </c>
      <c r="P274" s="5">
        <v>1</v>
      </c>
      <c r="Q274" s="5">
        <v>60</v>
      </c>
      <c r="R274" s="5">
        <v>15</v>
      </c>
      <c r="S274" s="5">
        <v>51</v>
      </c>
      <c r="T274" s="5">
        <v>2</v>
      </c>
      <c r="U274" s="5" t="s">
        <v>272</v>
      </c>
      <c r="V274" s="5" t="s">
        <v>246</v>
      </c>
      <c r="W274" s="5" t="s">
        <v>278</v>
      </c>
      <c r="X274" s="5">
        <v>9648541985</v>
      </c>
      <c r="Y274" s="8" t="s">
        <v>265</v>
      </c>
      <c r="Z274" t="str">
        <f t="shared" si="29"/>
        <v>Blacklisted</v>
      </c>
      <c r="AA274" t="str">
        <f t="shared" si="30"/>
        <v>Arjun Rao</v>
      </c>
      <c r="AB274" t="str">
        <f t="shared" si="31"/>
        <v>Arj007Ja</v>
      </c>
      <c r="AC274" t="str">
        <f t="shared" si="34"/>
        <v>arjun.rao@company.com</v>
      </c>
      <c r="AD274" t="str">
        <f t="shared" ca="1" si="35"/>
        <v/>
      </c>
      <c r="AE274" t="str">
        <f t="shared" si="32"/>
        <v/>
      </c>
      <c r="AF274" t="str">
        <f t="shared" si="33"/>
        <v>Delayed</v>
      </c>
    </row>
    <row r="275" spans="4:32">
      <c r="D275" s="9" t="s">
        <v>808</v>
      </c>
      <c r="E275" s="10" t="s">
        <v>235</v>
      </c>
      <c r="F275" s="10" t="s">
        <v>347</v>
      </c>
      <c r="G275" s="10" t="s">
        <v>113</v>
      </c>
      <c r="H275" s="10" t="s">
        <v>661</v>
      </c>
      <c r="I275" s="10" t="s">
        <v>318</v>
      </c>
      <c r="J275" s="10" t="s">
        <v>239</v>
      </c>
      <c r="K275" s="11">
        <v>27919</v>
      </c>
      <c r="L275" s="10" t="s">
        <v>291</v>
      </c>
      <c r="M275" s="10" t="s">
        <v>287</v>
      </c>
      <c r="N275" s="10" t="s">
        <v>295</v>
      </c>
      <c r="O275" s="10" t="s">
        <v>349</v>
      </c>
      <c r="P275" s="10">
        <v>5</v>
      </c>
      <c r="Q275" s="10">
        <v>20</v>
      </c>
      <c r="R275" s="10">
        <v>5</v>
      </c>
      <c r="S275" s="10">
        <v>95</v>
      </c>
      <c r="T275" s="10">
        <v>2</v>
      </c>
      <c r="U275" s="10" t="s">
        <v>245</v>
      </c>
      <c r="V275" s="10" t="s">
        <v>263</v>
      </c>
      <c r="W275" s="10" t="s">
        <v>247</v>
      </c>
      <c r="X275" s="10">
        <v>9175002781</v>
      </c>
      <c r="Y275" s="12" t="s">
        <v>248</v>
      </c>
      <c r="Z275" t="str">
        <f t="shared" si="29"/>
        <v>Blacklisted</v>
      </c>
      <c r="AA275" t="str">
        <f t="shared" si="30"/>
        <v>Pooja Shah</v>
      </c>
      <c r="AB275" t="str">
        <f t="shared" si="31"/>
        <v>Poo010Pu</v>
      </c>
      <c r="AC275" t="str">
        <f t="shared" si="34"/>
        <v>pooja.shah@company.com</v>
      </c>
      <c r="AD275">
        <f t="shared" ca="1" si="35"/>
        <v>41</v>
      </c>
      <c r="AE275">
        <f t="shared" si="32"/>
        <v>6</v>
      </c>
      <c r="AF275" t="str">
        <f t="shared" si="33"/>
        <v>Delayed</v>
      </c>
    </row>
    <row r="276" spans="4:32">
      <c r="D276" s="4" t="s">
        <v>809</v>
      </c>
      <c r="E276" s="5" t="s">
        <v>346</v>
      </c>
      <c r="F276" s="5" t="s">
        <v>347</v>
      </c>
      <c r="G276" s="5" t="s">
        <v>79</v>
      </c>
      <c r="H276" s="5" t="s">
        <v>133</v>
      </c>
      <c r="I276" s="5" t="s">
        <v>348</v>
      </c>
      <c r="J276" s="5" t="s">
        <v>269</v>
      </c>
      <c r="K276" s="5" t="s">
        <v>810</v>
      </c>
      <c r="L276" s="5" t="s">
        <v>379</v>
      </c>
      <c r="M276" s="5" t="s">
        <v>21</v>
      </c>
      <c r="N276" s="5" t="s">
        <v>295</v>
      </c>
      <c r="O276" s="5" t="s">
        <v>349</v>
      </c>
      <c r="P276" s="5">
        <v>19</v>
      </c>
      <c r="Q276" s="5">
        <v>20</v>
      </c>
      <c r="R276" s="5">
        <v>20</v>
      </c>
      <c r="S276" s="5">
        <v>304</v>
      </c>
      <c r="T276" s="5">
        <v>3</v>
      </c>
      <c r="U276" s="5" t="s">
        <v>254</v>
      </c>
      <c r="V276" s="5" t="s">
        <v>255</v>
      </c>
      <c r="W276" s="5" t="s">
        <v>350</v>
      </c>
      <c r="X276" s="5">
        <v>9786241263</v>
      </c>
      <c r="Y276" s="8" t="s">
        <v>265</v>
      </c>
      <c r="Z276" t="str">
        <f t="shared" si="29"/>
        <v>Blacklisted</v>
      </c>
      <c r="AA276" t="str">
        <f t="shared" si="30"/>
        <v>Vikas Mehta</v>
      </c>
      <c r="AB276" t="str">
        <f t="shared" si="31"/>
        <v>Vik005Ko</v>
      </c>
      <c r="AC276" t="str">
        <f t="shared" si="34"/>
        <v>vikas.mehta@company.com</v>
      </c>
      <c r="AD276">
        <f t="shared" ca="1" si="35"/>
        <v>50</v>
      </c>
      <c r="AE276">
        <f t="shared" si="32"/>
        <v>5</v>
      </c>
      <c r="AF276" t="str">
        <f t="shared" si="33"/>
        <v>On time</v>
      </c>
    </row>
    <row r="277" spans="4:32">
      <c r="D277" s="9" t="s">
        <v>811</v>
      </c>
      <c r="E277" s="10" t="s">
        <v>284</v>
      </c>
      <c r="F277" s="10" t="s">
        <v>362</v>
      </c>
      <c r="G277" s="10" t="s">
        <v>184</v>
      </c>
      <c r="H277" s="11">
        <v>45842</v>
      </c>
      <c r="I277" s="10" t="s">
        <v>285</v>
      </c>
      <c r="J277" s="10" t="s">
        <v>239</v>
      </c>
      <c r="K277" s="10" t="s">
        <v>812</v>
      </c>
      <c r="L277" s="10" t="s">
        <v>306</v>
      </c>
      <c r="M277" s="10" t="s">
        <v>287</v>
      </c>
      <c r="N277" s="10" t="s">
        <v>295</v>
      </c>
      <c r="O277" s="10" t="s">
        <v>363</v>
      </c>
      <c r="P277" s="10">
        <v>17</v>
      </c>
      <c r="Q277" s="10">
        <v>45</v>
      </c>
      <c r="R277" s="10">
        <v>5</v>
      </c>
      <c r="S277" s="10">
        <v>726.75</v>
      </c>
      <c r="T277" s="10">
        <v>4</v>
      </c>
      <c r="U277" s="10" t="s">
        <v>254</v>
      </c>
      <c r="V277" s="10" t="s">
        <v>292</v>
      </c>
      <c r="W277" s="10" t="s">
        <v>308</v>
      </c>
      <c r="X277" s="10">
        <v>9691078176</v>
      </c>
      <c r="Y277" s="12" t="s">
        <v>248</v>
      </c>
      <c r="Z277" t="str">
        <f t="shared" si="29"/>
        <v/>
      </c>
      <c r="AA277" t="str">
        <f t="shared" si="30"/>
        <v>Priya Patel</v>
      </c>
      <c r="AB277" t="str">
        <f t="shared" si="31"/>
        <v>Pri002Ah</v>
      </c>
      <c r="AC277" t="str">
        <f t="shared" si="34"/>
        <v>priya.patel@company.com</v>
      </c>
      <c r="AD277" t="str">
        <f t="shared" ca="1" si="35"/>
        <v/>
      </c>
      <c r="AE277" t="str">
        <f t="shared" si="32"/>
        <v/>
      </c>
      <c r="AF277" t="str">
        <f t="shared" si="33"/>
        <v>Delayed</v>
      </c>
    </row>
    <row r="278" spans="4:32">
      <c r="D278" s="4" t="s">
        <v>813</v>
      </c>
      <c r="E278" s="5" t="s">
        <v>275</v>
      </c>
      <c r="F278" s="5" t="s">
        <v>330</v>
      </c>
      <c r="G278" s="5" t="s">
        <v>65</v>
      </c>
      <c r="H278" s="5" t="s">
        <v>108</v>
      </c>
      <c r="I278" s="5" t="s">
        <v>328</v>
      </c>
      <c r="J278" s="5" t="s">
        <v>269</v>
      </c>
      <c r="K278" s="5" t="s">
        <v>814</v>
      </c>
      <c r="L278" s="5" t="s">
        <v>241</v>
      </c>
      <c r="M278" s="5" t="s">
        <v>242</v>
      </c>
      <c r="N278" s="5" t="s">
        <v>243</v>
      </c>
      <c r="O278" s="5" t="s">
        <v>333</v>
      </c>
      <c r="P278" s="5">
        <v>8</v>
      </c>
      <c r="Q278" s="5">
        <v>700</v>
      </c>
      <c r="R278" s="5">
        <v>15</v>
      </c>
      <c r="S278" s="5">
        <v>4760</v>
      </c>
      <c r="T278" s="5">
        <v>4</v>
      </c>
      <c r="U278" s="5" t="s">
        <v>245</v>
      </c>
      <c r="V278" s="5" t="s">
        <v>255</v>
      </c>
      <c r="W278" s="5" t="s">
        <v>278</v>
      </c>
      <c r="X278" s="5">
        <v>9336679085</v>
      </c>
      <c r="Y278" s="8" t="s">
        <v>248</v>
      </c>
      <c r="Z278" t="str">
        <f t="shared" si="29"/>
        <v/>
      </c>
      <c r="AA278" t="str">
        <f t="shared" si="30"/>
        <v>Arjun Rao</v>
      </c>
      <c r="AB278" t="str">
        <f t="shared" si="31"/>
        <v>Arj007Be</v>
      </c>
      <c r="AC278" t="str">
        <f t="shared" si="34"/>
        <v>arjun.rao@company.com</v>
      </c>
      <c r="AD278" t="str">
        <f t="shared" ca="1" si="35"/>
        <v/>
      </c>
      <c r="AE278">
        <f t="shared" si="32"/>
        <v>4</v>
      </c>
      <c r="AF278" t="str">
        <f t="shared" si="33"/>
        <v>On time</v>
      </c>
    </row>
    <row r="279" spans="4:32">
      <c r="D279" s="9" t="s">
        <v>815</v>
      </c>
      <c r="E279" s="10" t="s">
        <v>321</v>
      </c>
      <c r="F279" s="10" t="s">
        <v>250</v>
      </c>
      <c r="G279" s="10" t="s">
        <v>97</v>
      </c>
      <c r="H279" s="10" t="s">
        <v>816</v>
      </c>
      <c r="I279" s="10" t="s">
        <v>408</v>
      </c>
      <c r="J279" s="10" t="s">
        <v>239</v>
      </c>
      <c r="K279" s="10" t="s">
        <v>817</v>
      </c>
      <c r="L279" s="10" t="s">
        <v>286</v>
      </c>
      <c r="M279" s="10" t="s">
        <v>287</v>
      </c>
      <c r="N279" s="10" t="s">
        <v>15</v>
      </c>
      <c r="O279" s="10" t="s">
        <v>253</v>
      </c>
      <c r="P279" s="10">
        <v>15</v>
      </c>
      <c r="Q279" s="10">
        <v>2200</v>
      </c>
      <c r="R279" s="10">
        <v>10</v>
      </c>
      <c r="S279" s="10">
        <v>29700</v>
      </c>
      <c r="T279" s="10">
        <v>5</v>
      </c>
      <c r="U279" s="10" t="s">
        <v>277</v>
      </c>
      <c r="V279" s="10" t="s">
        <v>312</v>
      </c>
      <c r="W279" s="10" t="s">
        <v>326</v>
      </c>
      <c r="X279" s="10">
        <v>9497351043</v>
      </c>
      <c r="Y279" s="12" t="s">
        <v>257</v>
      </c>
      <c r="Z279" t="str">
        <f t="shared" si="29"/>
        <v>Silver</v>
      </c>
      <c r="AA279" t="str">
        <f t="shared" si="30"/>
        <v>Anita Gupta</v>
      </c>
      <c r="AB279" t="str">
        <f t="shared" si="31"/>
        <v>Ani004Mu</v>
      </c>
      <c r="AC279" t="str">
        <f t="shared" si="34"/>
        <v>anita.gupta@company.com</v>
      </c>
      <c r="AD279" t="str">
        <f t="shared" ca="1" si="35"/>
        <v/>
      </c>
      <c r="AE279">
        <f t="shared" si="32"/>
        <v>8</v>
      </c>
      <c r="AF279" t="str">
        <f t="shared" si="33"/>
        <v>Delayed</v>
      </c>
    </row>
    <row r="280" spans="4:32">
      <c r="D280" s="4" t="s">
        <v>818</v>
      </c>
      <c r="E280" s="5" t="s">
        <v>284</v>
      </c>
      <c r="F280" s="5" t="s">
        <v>250</v>
      </c>
      <c r="G280" s="5" t="s">
        <v>61</v>
      </c>
      <c r="H280" s="5" t="s">
        <v>190</v>
      </c>
      <c r="I280" s="5" t="s">
        <v>285</v>
      </c>
      <c r="J280" s="5" t="s">
        <v>239</v>
      </c>
      <c r="K280" s="5" t="s">
        <v>819</v>
      </c>
      <c r="L280" s="5" t="s">
        <v>286</v>
      </c>
      <c r="M280" s="5" t="s">
        <v>287</v>
      </c>
      <c r="N280" s="5" t="s">
        <v>15</v>
      </c>
      <c r="O280" s="5" t="s">
        <v>253</v>
      </c>
      <c r="P280" s="5">
        <v>1</v>
      </c>
      <c r="Q280" s="5">
        <v>2200</v>
      </c>
      <c r="R280" s="5">
        <v>0</v>
      </c>
      <c r="S280" s="5">
        <v>2200</v>
      </c>
      <c r="T280" s="5">
        <v>4</v>
      </c>
      <c r="U280" s="5" t="s">
        <v>254</v>
      </c>
      <c r="V280" s="5" t="s">
        <v>263</v>
      </c>
      <c r="W280" s="5" t="s">
        <v>308</v>
      </c>
      <c r="X280" s="5">
        <v>9357038998</v>
      </c>
      <c r="Y280" s="8" t="s">
        <v>265</v>
      </c>
      <c r="Z280" t="str">
        <f t="shared" si="29"/>
        <v>Blacklisted</v>
      </c>
      <c r="AA280" t="str">
        <f t="shared" si="30"/>
        <v>Priya Patel</v>
      </c>
      <c r="AB280" t="str">
        <f t="shared" si="31"/>
        <v>Pri002Mu</v>
      </c>
      <c r="AC280" t="str">
        <f t="shared" si="34"/>
        <v>priya.patel@company.com</v>
      </c>
      <c r="AD280" t="str">
        <f t="shared" ca="1" si="35"/>
        <v/>
      </c>
      <c r="AE280">
        <f t="shared" si="32"/>
        <v>12</v>
      </c>
      <c r="AF280" t="str">
        <f t="shared" si="33"/>
        <v>Delayed</v>
      </c>
    </row>
    <row r="281" spans="4:32">
      <c r="D281" s="9" t="s">
        <v>820</v>
      </c>
      <c r="E281" s="10" t="s">
        <v>358</v>
      </c>
      <c r="F281" s="10" t="s">
        <v>280</v>
      </c>
      <c r="G281" s="10" t="s">
        <v>80</v>
      </c>
      <c r="H281" s="10" t="s">
        <v>821</v>
      </c>
      <c r="I281" s="10" t="s">
        <v>359</v>
      </c>
      <c r="J281" s="10" t="s">
        <v>239</v>
      </c>
      <c r="K281" s="10" t="s">
        <v>822</v>
      </c>
      <c r="L281" s="10" t="s">
        <v>306</v>
      </c>
      <c r="M281" s="10" t="s">
        <v>287</v>
      </c>
      <c r="N281" s="10" t="s">
        <v>15</v>
      </c>
      <c r="O281" s="10" t="s">
        <v>282</v>
      </c>
      <c r="P281" s="10">
        <v>10</v>
      </c>
      <c r="Q281" s="10">
        <v>3500</v>
      </c>
      <c r="R281" s="10">
        <v>10</v>
      </c>
      <c r="S281" s="10">
        <v>31500</v>
      </c>
      <c r="T281" s="10">
        <v>4</v>
      </c>
      <c r="U281" s="10" t="s">
        <v>245</v>
      </c>
      <c r="V281" s="10" t="s">
        <v>255</v>
      </c>
      <c r="W281" s="10" t="s">
        <v>360</v>
      </c>
      <c r="X281" s="10">
        <v>9986371291</v>
      </c>
      <c r="Y281" s="12" t="s">
        <v>265</v>
      </c>
      <c r="Z281" t="str">
        <f t="shared" si="29"/>
        <v>Blacklisted</v>
      </c>
      <c r="AA281" t="str">
        <f t="shared" si="30"/>
        <v>Sneha Joshi</v>
      </c>
      <c r="AB281" t="str">
        <f t="shared" si="31"/>
        <v>Sne006Ah</v>
      </c>
      <c r="AC281" t="str">
        <f t="shared" si="34"/>
        <v>sneha.joshi@company.com</v>
      </c>
      <c r="AD281" t="str">
        <f t="shared" ca="1" si="35"/>
        <v/>
      </c>
      <c r="AE281">
        <f t="shared" si="32"/>
        <v>11</v>
      </c>
      <c r="AF281" t="str">
        <f t="shared" si="33"/>
        <v>Delayed</v>
      </c>
    </row>
    <row r="282" spans="4:32">
      <c r="D282" s="4" t="s">
        <v>823</v>
      </c>
      <c r="E282" s="5" t="s">
        <v>266</v>
      </c>
      <c r="F282" s="5" t="s">
        <v>280</v>
      </c>
      <c r="G282" s="6">
        <v>45996</v>
      </c>
      <c r="H282" s="5" t="s">
        <v>46</v>
      </c>
      <c r="I282" s="5" t="s">
        <v>268</v>
      </c>
      <c r="J282" s="5" t="s">
        <v>269</v>
      </c>
      <c r="K282" s="6">
        <v>33271</v>
      </c>
      <c r="L282" s="5" t="s">
        <v>342</v>
      </c>
      <c r="M282" s="5" t="s">
        <v>261</v>
      </c>
      <c r="N282" s="5" t="s">
        <v>15</v>
      </c>
      <c r="O282" s="5" t="s">
        <v>282</v>
      </c>
      <c r="P282" s="5">
        <v>16</v>
      </c>
      <c r="Q282" s="5">
        <v>3500</v>
      </c>
      <c r="R282" s="5">
        <v>15</v>
      </c>
      <c r="S282" s="5">
        <v>47600</v>
      </c>
      <c r="T282" s="5">
        <v>1</v>
      </c>
      <c r="U282" s="5" t="s">
        <v>272</v>
      </c>
      <c r="V282" s="5" t="s">
        <v>292</v>
      </c>
      <c r="W282" s="5" t="s">
        <v>273</v>
      </c>
      <c r="X282" s="5">
        <v>9397839191</v>
      </c>
      <c r="Y282" s="8" t="s">
        <v>248</v>
      </c>
      <c r="Z282" t="str">
        <f t="shared" si="29"/>
        <v>Blacklisted</v>
      </c>
      <c r="AA282" t="str">
        <f t="shared" si="30"/>
        <v>Mohit Verma</v>
      </c>
      <c r="AB282" t="str">
        <f t="shared" si="31"/>
        <v>Moh009Ja</v>
      </c>
      <c r="AC282" t="str">
        <f t="shared" si="34"/>
        <v>mohit.verma@company.com</v>
      </c>
      <c r="AD282" t="str">
        <f t="shared" ca="1" si="35"/>
        <v/>
      </c>
      <c r="AE282" t="str">
        <f t="shared" si="32"/>
        <v/>
      </c>
      <c r="AF282" t="str">
        <f t="shared" si="33"/>
        <v>Delayed</v>
      </c>
    </row>
    <row r="283" spans="4:32">
      <c r="D283" s="9" t="s">
        <v>824</v>
      </c>
      <c r="E283" s="10" t="s">
        <v>358</v>
      </c>
      <c r="F283" s="10" t="s">
        <v>258</v>
      </c>
      <c r="G283" s="11">
        <v>45817</v>
      </c>
      <c r="H283" s="10" t="s">
        <v>70</v>
      </c>
      <c r="I283" s="10" t="s">
        <v>359</v>
      </c>
      <c r="J283" s="10" t="s">
        <v>239</v>
      </c>
      <c r="K283" s="11">
        <v>28741</v>
      </c>
      <c r="L283" s="10" t="s">
        <v>342</v>
      </c>
      <c r="M283" s="10" t="s">
        <v>261</v>
      </c>
      <c r="N283" s="10" t="s">
        <v>243</v>
      </c>
      <c r="O283" s="10" t="s">
        <v>262</v>
      </c>
      <c r="P283" s="10">
        <v>1</v>
      </c>
      <c r="Q283" s="10">
        <v>12000</v>
      </c>
      <c r="R283" s="10">
        <v>0</v>
      </c>
      <c r="S283" s="10">
        <v>12000</v>
      </c>
      <c r="T283" s="10">
        <v>4</v>
      </c>
      <c r="U283" s="10" t="s">
        <v>245</v>
      </c>
      <c r="V283" s="10" t="s">
        <v>292</v>
      </c>
      <c r="W283" s="10" t="s">
        <v>360</v>
      </c>
      <c r="X283" s="10">
        <v>9162975843</v>
      </c>
      <c r="Y283" s="12" t="s">
        <v>265</v>
      </c>
      <c r="Z283" t="str">
        <f t="shared" si="29"/>
        <v>Blacklisted</v>
      </c>
      <c r="AA283" t="str">
        <f t="shared" si="30"/>
        <v>Sneha Joshi</v>
      </c>
      <c r="AB283" t="str">
        <f t="shared" si="31"/>
        <v>Sne006Ja</v>
      </c>
      <c r="AC283" t="str">
        <f t="shared" si="34"/>
        <v>sneha.joshi@company.com</v>
      </c>
      <c r="AD283">
        <f t="shared" ca="1" si="35"/>
        <v>35</v>
      </c>
      <c r="AE283" t="str">
        <f t="shared" si="32"/>
        <v/>
      </c>
      <c r="AF283" t="str">
        <f t="shared" si="33"/>
        <v>Delayed</v>
      </c>
    </row>
    <row r="284" spans="4:32">
      <c r="D284" s="4" t="s">
        <v>825</v>
      </c>
      <c r="E284" s="5" t="s">
        <v>275</v>
      </c>
      <c r="F284" s="5" t="s">
        <v>330</v>
      </c>
      <c r="G284" s="5" t="s">
        <v>122</v>
      </c>
      <c r="H284" s="5" t="s">
        <v>511</v>
      </c>
      <c r="I284" s="5" t="s">
        <v>328</v>
      </c>
      <c r="J284" s="5" t="s">
        <v>269</v>
      </c>
      <c r="K284" s="6">
        <v>34367</v>
      </c>
      <c r="L284" s="5" t="s">
        <v>286</v>
      </c>
      <c r="M284" s="5" t="s">
        <v>287</v>
      </c>
      <c r="N284" s="5" t="s">
        <v>243</v>
      </c>
      <c r="O284" s="5" t="s">
        <v>333</v>
      </c>
      <c r="P284" s="5">
        <v>6</v>
      </c>
      <c r="Q284" s="5">
        <v>700</v>
      </c>
      <c r="R284" s="5">
        <v>20</v>
      </c>
      <c r="S284" s="5">
        <v>3360</v>
      </c>
      <c r="T284" s="5">
        <v>2</v>
      </c>
      <c r="U284" s="5" t="s">
        <v>245</v>
      </c>
      <c r="V284" s="5" t="s">
        <v>292</v>
      </c>
      <c r="W284" s="5" t="s">
        <v>278</v>
      </c>
      <c r="X284" s="5">
        <v>9237616558</v>
      </c>
      <c r="Y284" s="8" t="s">
        <v>248</v>
      </c>
      <c r="Z284" t="str">
        <f t="shared" si="29"/>
        <v>Blacklisted</v>
      </c>
      <c r="AA284" t="str">
        <f t="shared" si="30"/>
        <v>Arjun Rao</v>
      </c>
      <c r="AB284" t="str">
        <f t="shared" si="31"/>
        <v>Arj007Mu</v>
      </c>
      <c r="AC284" t="str">
        <f t="shared" si="34"/>
        <v>arjun.rao@company.com</v>
      </c>
      <c r="AD284">
        <f t="shared" ca="1" si="35"/>
        <v>48</v>
      </c>
      <c r="AE284">
        <f t="shared" si="32"/>
        <v>6</v>
      </c>
      <c r="AF284" t="str">
        <f t="shared" si="33"/>
        <v>Delayed</v>
      </c>
    </row>
    <row r="285" spans="4:32">
      <c r="D285" s="9" t="s">
        <v>826</v>
      </c>
      <c r="E285" s="10" t="s">
        <v>266</v>
      </c>
      <c r="F285" s="10" t="s">
        <v>250</v>
      </c>
      <c r="G285" s="10" t="s">
        <v>99</v>
      </c>
      <c r="H285" s="10" t="s">
        <v>827</v>
      </c>
      <c r="I285" s="10" t="s">
        <v>268</v>
      </c>
      <c r="J285" s="10" t="s">
        <v>269</v>
      </c>
      <c r="K285" s="10" t="s">
        <v>828</v>
      </c>
      <c r="L285" s="10" t="s">
        <v>306</v>
      </c>
      <c r="M285" s="10" t="s">
        <v>287</v>
      </c>
      <c r="N285" s="10" t="s">
        <v>15</v>
      </c>
      <c r="O285" s="10" t="s">
        <v>253</v>
      </c>
      <c r="P285" s="10">
        <v>3</v>
      </c>
      <c r="Q285" s="10">
        <v>2200</v>
      </c>
      <c r="R285" s="10">
        <v>0</v>
      </c>
      <c r="S285" s="10">
        <v>6600</v>
      </c>
      <c r="T285" s="10">
        <v>4</v>
      </c>
      <c r="U285" s="10" t="s">
        <v>272</v>
      </c>
      <c r="V285" s="10" t="s">
        <v>255</v>
      </c>
      <c r="W285" s="10" t="s">
        <v>273</v>
      </c>
      <c r="X285" s="10">
        <v>9935063989</v>
      </c>
      <c r="Y285" s="12" t="s">
        <v>257</v>
      </c>
      <c r="Z285" t="str">
        <f t="shared" si="29"/>
        <v>Silver</v>
      </c>
      <c r="AA285" t="str">
        <f t="shared" si="30"/>
        <v>Mohit Verma</v>
      </c>
      <c r="AB285" t="str">
        <f t="shared" si="31"/>
        <v>Moh009Ah</v>
      </c>
      <c r="AC285" t="str">
        <f t="shared" si="34"/>
        <v>mohit.verma@company.com</v>
      </c>
      <c r="AD285">
        <f t="shared" ca="1" si="35"/>
        <v>32</v>
      </c>
      <c r="AE285">
        <f t="shared" si="32"/>
        <v>6</v>
      </c>
      <c r="AF285" t="str">
        <f t="shared" si="33"/>
        <v>Delayed</v>
      </c>
    </row>
    <row r="286" spans="4:32">
      <c r="D286" s="4" t="s">
        <v>829</v>
      </c>
      <c r="E286" s="5" t="s">
        <v>358</v>
      </c>
      <c r="F286" s="5" t="s">
        <v>362</v>
      </c>
      <c r="G286" s="5" t="s">
        <v>183</v>
      </c>
      <c r="H286" s="6">
        <v>46023</v>
      </c>
      <c r="I286" s="5" t="s">
        <v>359</v>
      </c>
      <c r="J286" s="5" t="s">
        <v>239</v>
      </c>
      <c r="K286" s="6">
        <v>33941</v>
      </c>
      <c r="L286" s="5" t="s">
        <v>252</v>
      </c>
      <c r="M286" s="5" t="s">
        <v>242</v>
      </c>
      <c r="N286" s="5" t="s">
        <v>295</v>
      </c>
      <c r="O286" s="5" t="s">
        <v>363</v>
      </c>
      <c r="P286" s="5">
        <v>6</v>
      </c>
      <c r="Q286" s="5">
        <v>45</v>
      </c>
      <c r="R286" s="5">
        <v>15</v>
      </c>
      <c r="S286" s="5">
        <v>229.5</v>
      </c>
      <c r="T286" s="5">
        <v>1</v>
      </c>
      <c r="U286" s="5" t="s">
        <v>277</v>
      </c>
      <c r="V286" s="5" t="s">
        <v>263</v>
      </c>
      <c r="W286" s="5" t="s">
        <v>360</v>
      </c>
      <c r="X286" s="5">
        <v>9167376169</v>
      </c>
      <c r="Y286" s="8" t="s">
        <v>257</v>
      </c>
      <c r="Z286" t="str">
        <f t="shared" si="29"/>
        <v>Blacklisted</v>
      </c>
      <c r="AA286" t="str">
        <f t="shared" si="30"/>
        <v>Sneha Joshi</v>
      </c>
      <c r="AB286" t="str">
        <f t="shared" si="31"/>
        <v>Sne006Hy</v>
      </c>
      <c r="AC286" t="str">
        <f t="shared" si="34"/>
        <v>sneha.joshi@company.com</v>
      </c>
      <c r="AD286" t="str">
        <f t="shared" ca="1" si="35"/>
        <v/>
      </c>
      <c r="AE286" t="str">
        <f t="shared" si="32"/>
        <v/>
      </c>
      <c r="AF286" t="str">
        <f t="shared" si="33"/>
        <v>Delayed</v>
      </c>
    </row>
    <row r="287" spans="4:32">
      <c r="D287" s="9" t="s">
        <v>830</v>
      </c>
      <c r="E287" s="10" t="s">
        <v>358</v>
      </c>
      <c r="F287" s="10" t="s">
        <v>267</v>
      </c>
      <c r="G287" s="10" t="s">
        <v>115</v>
      </c>
      <c r="H287" s="10" t="s">
        <v>831</v>
      </c>
      <c r="I287" s="10" t="s">
        <v>359</v>
      </c>
      <c r="J287" s="10" t="s">
        <v>239</v>
      </c>
      <c r="K287" s="10" t="s">
        <v>832</v>
      </c>
      <c r="L287" s="10" t="s">
        <v>241</v>
      </c>
      <c r="M287" s="10" t="s">
        <v>242</v>
      </c>
      <c r="N287" s="10" t="s">
        <v>243</v>
      </c>
      <c r="O287" s="10" t="s">
        <v>271</v>
      </c>
      <c r="P287" s="10">
        <v>2</v>
      </c>
      <c r="Q287" s="10">
        <v>1200</v>
      </c>
      <c r="R287" s="10">
        <v>0</v>
      </c>
      <c r="S287" s="10">
        <v>2400</v>
      </c>
      <c r="T287" s="10">
        <v>1</v>
      </c>
      <c r="U287" s="10" t="s">
        <v>254</v>
      </c>
      <c r="V287" s="10" t="s">
        <v>312</v>
      </c>
      <c r="W287" s="10" t="s">
        <v>360</v>
      </c>
      <c r="X287" s="10">
        <v>9231845497</v>
      </c>
      <c r="Y287" s="12" t="s">
        <v>265</v>
      </c>
      <c r="Z287" t="str">
        <f t="shared" si="29"/>
        <v>Blacklisted</v>
      </c>
      <c r="AA287" t="str">
        <f t="shared" si="30"/>
        <v>Sneha Joshi</v>
      </c>
      <c r="AB287" t="str">
        <f t="shared" si="31"/>
        <v>Sne006Be</v>
      </c>
      <c r="AC287" t="str">
        <f t="shared" si="34"/>
        <v>sneha.joshi@company.com</v>
      </c>
      <c r="AD287">
        <f t="shared" ca="1" si="35"/>
        <v>33</v>
      </c>
      <c r="AE287">
        <f t="shared" si="32"/>
        <v>8</v>
      </c>
      <c r="AF287" t="str">
        <f t="shared" si="33"/>
        <v>Delayed</v>
      </c>
    </row>
    <row r="288" spans="4:32">
      <c r="D288" s="4" t="s">
        <v>833</v>
      </c>
      <c r="E288" s="5" t="s">
        <v>321</v>
      </c>
      <c r="F288" s="5" t="s">
        <v>330</v>
      </c>
      <c r="G288" s="6">
        <v>46239</v>
      </c>
      <c r="H288" s="6">
        <v>46331</v>
      </c>
      <c r="I288" s="5" t="s">
        <v>408</v>
      </c>
      <c r="J288" s="5" t="s">
        <v>239</v>
      </c>
      <c r="K288" s="5" t="s">
        <v>834</v>
      </c>
      <c r="L288" s="5" t="s">
        <v>252</v>
      </c>
      <c r="M288" s="5" t="s">
        <v>242</v>
      </c>
      <c r="N288" s="5" t="s">
        <v>243</v>
      </c>
      <c r="O288" s="5" t="s">
        <v>333</v>
      </c>
      <c r="P288" s="5">
        <v>14</v>
      </c>
      <c r="Q288" s="5">
        <v>700</v>
      </c>
      <c r="R288" s="5">
        <v>15</v>
      </c>
      <c r="S288" s="5">
        <v>8330</v>
      </c>
      <c r="T288" s="5">
        <v>5</v>
      </c>
      <c r="U288" s="5" t="s">
        <v>254</v>
      </c>
      <c r="V288" s="5" t="s">
        <v>292</v>
      </c>
      <c r="W288" s="5" t="s">
        <v>326</v>
      </c>
      <c r="X288" s="5">
        <v>9409415805</v>
      </c>
      <c r="Y288" s="8" t="s">
        <v>248</v>
      </c>
      <c r="Z288" t="str">
        <f t="shared" si="29"/>
        <v/>
      </c>
      <c r="AA288" t="str">
        <f t="shared" si="30"/>
        <v>Anita Gupta</v>
      </c>
      <c r="AB288" t="str">
        <f t="shared" si="31"/>
        <v>Ani004Hy</v>
      </c>
      <c r="AC288" t="str">
        <f t="shared" si="34"/>
        <v>anita.gupta@company.com</v>
      </c>
      <c r="AD288" t="str">
        <f t="shared" ca="1" si="35"/>
        <v/>
      </c>
      <c r="AE288" t="str">
        <f t="shared" si="32"/>
        <v/>
      </c>
      <c r="AF288" t="str">
        <f t="shared" si="33"/>
        <v>Delayed</v>
      </c>
    </row>
    <row r="289" spans="4:32">
      <c r="D289" s="9" t="s">
        <v>835</v>
      </c>
      <c r="E289" s="10" t="s">
        <v>284</v>
      </c>
      <c r="F289" s="10" t="s">
        <v>347</v>
      </c>
      <c r="G289" s="11">
        <v>45788</v>
      </c>
      <c r="H289" s="11">
        <v>45819</v>
      </c>
      <c r="I289" s="10" t="s">
        <v>285</v>
      </c>
      <c r="J289" s="10" t="s">
        <v>239</v>
      </c>
      <c r="K289" s="11">
        <v>27556</v>
      </c>
      <c r="L289" s="10" t="s">
        <v>286</v>
      </c>
      <c r="M289" s="10" t="s">
        <v>287</v>
      </c>
      <c r="N289" s="10" t="s">
        <v>295</v>
      </c>
      <c r="O289" s="10" t="s">
        <v>349</v>
      </c>
      <c r="P289" s="10">
        <v>13</v>
      </c>
      <c r="Q289" s="10">
        <v>20</v>
      </c>
      <c r="R289" s="10">
        <v>5</v>
      </c>
      <c r="S289" s="10">
        <v>247</v>
      </c>
      <c r="T289" s="10">
        <v>1</v>
      </c>
      <c r="U289" s="10" t="s">
        <v>272</v>
      </c>
      <c r="V289" s="10" t="s">
        <v>255</v>
      </c>
      <c r="W289" s="10" t="s">
        <v>836</v>
      </c>
      <c r="X289" s="10">
        <v>9240800508</v>
      </c>
      <c r="Y289" s="12" t="s">
        <v>248</v>
      </c>
      <c r="Z289" t="str">
        <f t="shared" si="29"/>
        <v>Blacklisted</v>
      </c>
      <c r="AA289" t="str">
        <f t="shared" si="30"/>
        <v>Priya Patel</v>
      </c>
      <c r="AB289" t="str">
        <f t="shared" si="31"/>
        <v>Pri002Mu</v>
      </c>
      <c r="AC289" t="str">
        <f t="shared" si="34"/>
        <v>invalid email</v>
      </c>
      <c r="AD289" t="str">
        <f t="shared" ca="1" si="35"/>
        <v/>
      </c>
      <c r="AE289" t="str">
        <f t="shared" si="32"/>
        <v/>
      </c>
      <c r="AF289" t="str">
        <f t="shared" si="33"/>
        <v>Delayed</v>
      </c>
    </row>
    <row r="290" spans="4:32">
      <c r="D290" s="4" t="s">
        <v>837</v>
      </c>
      <c r="E290" s="5" t="s">
        <v>266</v>
      </c>
      <c r="F290" s="5" t="s">
        <v>250</v>
      </c>
      <c r="G290" s="6">
        <v>45872</v>
      </c>
      <c r="H290" s="5" t="s">
        <v>304</v>
      </c>
      <c r="I290" s="5" t="s">
        <v>268</v>
      </c>
      <c r="J290" s="5" t="s">
        <v>269</v>
      </c>
      <c r="K290" s="5" t="s">
        <v>838</v>
      </c>
      <c r="L290" s="5" t="s">
        <v>291</v>
      </c>
      <c r="M290" s="5" t="s">
        <v>287</v>
      </c>
      <c r="N290" s="5" t="s">
        <v>15</v>
      </c>
      <c r="O290" s="5" t="s">
        <v>253</v>
      </c>
      <c r="P290" s="5">
        <v>3</v>
      </c>
      <c r="Q290" s="5">
        <v>2200</v>
      </c>
      <c r="R290" s="5">
        <v>0</v>
      </c>
      <c r="S290" s="5">
        <v>6600</v>
      </c>
      <c r="T290" s="5">
        <v>4</v>
      </c>
      <c r="U290" s="5" t="s">
        <v>245</v>
      </c>
      <c r="V290" s="5" t="s">
        <v>246</v>
      </c>
      <c r="W290" s="5" t="s">
        <v>273</v>
      </c>
      <c r="X290" s="5">
        <v>9764609936</v>
      </c>
      <c r="Y290" s="8" t="s">
        <v>265</v>
      </c>
      <c r="Z290" t="str">
        <f t="shared" si="29"/>
        <v>Blacklisted</v>
      </c>
      <c r="AA290" t="str">
        <f t="shared" si="30"/>
        <v>Mohit Verma</v>
      </c>
      <c r="AB290" t="str">
        <f t="shared" si="31"/>
        <v>Moh009Pu</v>
      </c>
      <c r="AC290" t="str">
        <f t="shared" si="34"/>
        <v>mohit.verma@company.com</v>
      </c>
      <c r="AD290">
        <f t="shared" ca="1" si="35"/>
        <v>51</v>
      </c>
      <c r="AE290" t="str">
        <f t="shared" si="32"/>
        <v/>
      </c>
      <c r="AF290" t="str">
        <f t="shared" si="33"/>
        <v>Delayed</v>
      </c>
    </row>
    <row r="291" spans="4:32">
      <c r="D291" s="9" t="s">
        <v>839</v>
      </c>
      <c r="E291" s="10" t="s">
        <v>266</v>
      </c>
      <c r="F291" s="10" t="s">
        <v>294</v>
      </c>
      <c r="G291" s="11">
        <v>46267</v>
      </c>
      <c r="H291" s="10" t="s">
        <v>99</v>
      </c>
      <c r="I291" s="10" t="s">
        <v>268</v>
      </c>
      <c r="J291" s="10" t="s">
        <v>269</v>
      </c>
      <c r="K291" s="10" t="s">
        <v>840</v>
      </c>
      <c r="L291" s="10" t="s">
        <v>291</v>
      </c>
      <c r="M291" s="10" t="s">
        <v>287</v>
      </c>
      <c r="N291" s="10" t="s">
        <v>295</v>
      </c>
      <c r="O291" s="10" t="s">
        <v>296</v>
      </c>
      <c r="P291" s="10">
        <v>3</v>
      </c>
      <c r="Q291" s="10">
        <v>60</v>
      </c>
      <c r="R291" s="10">
        <v>15</v>
      </c>
      <c r="S291" s="10">
        <v>153</v>
      </c>
      <c r="T291" s="10">
        <v>4</v>
      </c>
      <c r="U291" s="10" t="s">
        <v>277</v>
      </c>
      <c r="V291" s="10" t="s">
        <v>292</v>
      </c>
      <c r="W291" s="10" t="s">
        <v>273</v>
      </c>
      <c r="X291" s="10">
        <v>9362733217</v>
      </c>
      <c r="Y291" s="12" t="s">
        <v>257</v>
      </c>
      <c r="Z291" t="str">
        <f t="shared" si="29"/>
        <v>Silver</v>
      </c>
      <c r="AA291" t="str">
        <f t="shared" si="30"/>
        <v>Mohit Verma</v>
      </c>
      <c r="AB291" t="str">
        <f t="shared" si="31"/>
        <v>Moh009Pu</v>
      </c>
      <c r="AC291" t="str">
        <f t="shared" si="34"/>
        <v>mohit.verma@company.com</v>
      </c>
      <c r="AD291" t="str">
        <f t="shared" ca="1" si="35"/>
        <v/>
      </c>
      <c r="AE291" t="str">
        <f t="shared" si="32"/>
        <v/>
      </c>
      <c r="AF291" t="str">
        <f t="shared" si="33"/>
        <v>Delayed</v>
      </c>
    </row>
    <row r="292" spans="4:32">
      <c r="D292" s="4" t="s">
        <v>841</v>
      </c>
      <c r="E292" s="5" t="s">
        <v>299</v>
      </c>
      <c r="F292" s="5" t="s">
        <v>280</v>
      </c>
      <c r="G292" s="5" t="s">
        <v>57</v>
      </c>
      <c r="H292" s="5" t="s">
        <v>120</v>
      </c>
      <c r="I292" s="5" t="s">
        <v>301</v>
      </c>
      <c r="J292" s="5" t="s">
        <v>269</v>
      </c>
      <c r="K292" s="5" t="s">
        <v>503</v>
      </c>
      <c r="L292" s="5" t="s">
        <v>286</v>
      </c>
      <c r="M292" s="5" t="s">
        <v>287</v>
      </c>
      <c r="N292" s="5" t="s">
        <v>15</v>
      </c>
      <c r="O292" s="5" t="s">
        <v>282</v>
      </c>
      <c r="P292" s="5">
        <v>9</v>
      </c>
      <c r="Q292" s="5">
        <v>3500</v>
      </c>
      <c r="R292" s="5">
        <v>5</v>
      </c>
      <c r="S292" s="5">
        <v>29925</v>
      </c>
      <c r="T292" s="5">
        <v>1</v>
      </c>
      <c r="U292" s="5" t="s">
        <v>254</v>
      </c>
      <c r="V292" s="5" t="s">
        <v>246</v>
      </c>
      <c r="W292" s="5" t="s">
        <v>302</v>
      </c>
      <c r="X292" s="5">
        <v>9270466205</v>
      </c>
      <c r="Y292" s="8" t="s">
        <v>248</v>
      </c>
      <c r="Z292" t="str">
        <f t="shared" si="29"/>
        <v>Blacklisted</v>
      </c>
      <c r="AA292" t="str">
        <f t="shared" si="30"/>
        <v>Rohit Singh</v>
      </c>
      <c r="AB292" t="str">
        <f t="shared" si="31"/>
        <v>Roh003Mu</v>
      </c>
      <c r="AC292" t="str">
        <f t="shared" si="34"/>
        <v>rohit.singh@company.com</v>
      </c>
      <c r="AD292" t="str">
        <f t="shared" ca="1" si="35"/>
        <v/>
      </c>
      <c r="AE292">
        <f t="shared" si="32"/>
        <v>6</v>
      </c>
      <c r="AF292" t="str">
        <f t="shared" si="33"/>
        <v>Delayed</v>
      </c>
    </row>
    <row r="293" spans="4:32">
      <c r="D293" s="9" t="s">
        <v>842</v>
      </c>
      <c r="E293" s="10" t="s">
        <v>392</v>
      </c>
      <c r="F293" s="10" t="s">
        <v>267</v>
      </c>
      <c r="G293" s="10" t="s">
        <v>163</v>
      </c>
      <c r="H293" s="11">
        <v>45661</v>
      </c>
      <c r="I293" s="10" t="s">
        <v>323</v>
      </c>
      <c r="J293" s="10" t="s">
        <v>269</v>
      </c>
      <c r="K293" s="11">
        <v>37105</v>
      </c>
      <c r="L293" s="10" t="s">
        <v>342</v>
      </c>
      <c r="M293" s="10" t="s">
        <v>261</v>
      </c>
      <c r="N293" s="10" t="s">
        <v>243</v>
      </c>
      <c r="O293" s="10" t="s">
        <v>271</v>
      </c>
      <c r="P293" s="10">
        <v>5</v>
      </c>
      <c r="Q293" s="10">
        <v>1200</v>
      </c>
      <c r="R293" s="10">
        <v>20</v>
      </c>
      <c r="S293" s="10">
        <v>4800</v>
      </c>
      <c r="T293" s="10">
        <v>2</v>
      </c>
      <c r="U293" s="10" t="s">
        <v>277</v>
      </c>
      <c r="V293" s="10" t="s">
        <v>292</v>
      </c>
      <c r="W293" s="10" t="s">
        <v>395</v>
      </c>
      <c r="X293" s="10">
        <v>9571436865</v>
      </c>
      <c r="Y293" s="12" t="s">
        <v>248</v>
      </c>
      <c r="Z293" t="str">
        <f t="shared" si="29"/>
        <v>Blacklisted</v>
      </c>
      <c r="AA293" t="str">
        <f t="shared" si="30"/>
        <v>Amit Sharma</v>
      </c>
      <c r="AB293" t="str">
        <f t="shared" si="31"/>
        <v>Ami001Ja</v>
      </c>
      <c r="AC293" t="str">
        <f t="shared" si="34"/>
        <v>amit.sharma@company.com</v>
      </c>
      <c r="AD293" t="str">
        <f t="shared" ca="1" si="35"/>
        <v/>
      </c>
      <c r="AE293" t="str">
        <f t="shared" si="32"/>
        <v/>
      </c>
      <c r="AF293" t="str">
        <f t="shared" si="33"/>
        <v>Delayed</v>
      </c>
    </row>
    <row r="294" spans="4:32">
      <c r="D294" s="4" t="s">
        <v>843</v>
      </c>
      <c r="E294" s="5" t="s">
        <v>235</v>
      </c>
      <c r="F294" s="5" t="s">
        <v>267</v>
      </c>
      <c r="G294" s="6">
        <v>45994</v>
      </c>
      <c r="H294" s="5" t="s">
        <v>25</v>
      </c>
      <c r="I294" s="5" t="s">
        <v>318</v>
      </c>
      <c r="J294" s="5" t="s">
        <v>239</v>
      </c>
      <c r="K294" s="5" t="s">
        <v>844</v>
      </c>
      <c r="L294" s="5" t="s">
        <v>342</v>
      </c>
      <c r="M294" s="5" t="s">
        <v>261</v>
      </c>
      <c r="N294" s="5" t="s">
        <v>243</v>
      </c>
      <c r="O294" s="5" t="s">
        <v>271</v>
      </c>
      <c r="P294" s="5">
        <v>10</v>
      </c>
      <c r="Q294" s="5">
        <v>1200</v>
      </c>
      <c r="R294" s="5">
        <v>20</v>
      </c>
      <c r="S294" s="5">
        <v>9600</v>
      </c>
      <c r="T294" s="5">
        <v>4</v>
      </c>
      <c r="U294" s="5" t="s">
        <v>254</v>
      </c>
      <c r="V294" s="5" t="s">
        <v>263</v>
      </c>
      <c r="W294" s="7" t="s">
        <v>845</v>
      </c>
      <c r="X294" s="5">
        <v>9307011171</v>
      </c>
      <c r="Y294" s="8" t="s">
        <v>257</v>
      </c>
      <c r="Z294" t="str">
        <f t="shared" si="29"/>
        <v>Silver</v>
      </c>
      <c r="AA294" t="str">
        <f t="shared" si="30"/>
        <v>Pooja Shah</v>
      </c>
      <c r="AB294" t="str">
        <f t="shared" si="31"/>
        <v>Poo010Ja</v>
      </c>
      <c r="AC294" t="str">
        <f t="shared" si="34"/>
        <v>pooja.shah@company.com</v>
      </c>
      <c r="AD294">
        <f t="shared" ca="1" si="35"/>
        <v>25</v>
      </c>
      <c r="AE294" t="str">
        <f t="shared" si="32"/>
        <v/>
      </c>
      <c r="AF294" t="str">
        <f t="shared" si="33"/>
        <v>Delayed</v>
      </c>
    </row>
    <row r="295" spans="4:32">
      <c r="D295" s="9" t="s">
        <v>846</v>
      </c>
      <c r="E295" s="10" t="s">
        <v>249</v>
      </c>
      <c r="F295" s="10" t="s">
        <v>267</v>
      </c>
      <c r="G295" s="10" t="s">
        <v>9</v>
      </c>
      <c r="H295" s="10" t="s">
        <v>130</v>
      </c>
      <c r="I295" s="10" t="s">
        <v>251</v>
      </c>
      <c r="J295" s="10" t="s">
        <v>239</v>
      </c>
      <c r="K295" s="10" t="s">
        <v>847</v>
      </c>
      <c r="L295" s="10" t="s">
        <v>306</v>
      </c>
      <c r="M295" s="10" t="s">
        <v>287</v>
      </c>
      <c r="N295" s="10" t="s">
        <v>243</v>
      </c>
      <c r="O295" s="10" t="s">
        <v>271</v>
      </c>
      <c r="P295" s="10">
        <v>5</v>
      </c>
      <c r="Q295" s="10">
        <v>1200</v>
      </c>
      <c r="R295" s="10">
        <v>20</v>
      </c>
      <c r="S295" s="10">
        <v>4800</v>
      </c>
      <c r="T295" s="10">
        <v>3</v>
      </c>
      <c r="U295" s="10" t="s">
        <v>245</v>
      </c>
      <c r="V295" s="10" t="s">
        <v>312</v>
      </c>
      <c r="W295" s="10" t="s">
        <v>264</v>
      </c>
      <c r="X295" s="10">
        <v>9922380435</v>
      </c>
      <c r="Y295" s="12" t="s">
        <v>257</v>
      </c>
      <c r="Z295" t="str">
        <f t="shared" si="29"/>
        <v>Silver</v>
      </c>
      <c r="AA295" t="str">
        <f t="shared" si="30"/>
        <v>Kavya Nair</v>
      </c>
      <c r="AB295" t="str">
        <f t="shared" si="31"/>
        <v>Kav008Ah</v>
      </c>
      <c r="AC295" t="str">
        <f t="shared" si="34"/>
        <v>kavya.nair@company.com</v>
      </c>
      <c r="AD295" t="str">
        <f t="shared" ca="1" si="35"/>
        <v/>
      </c>
      <c r="AE295">
        <f t="shared" si="32"/>
        <v>11</v>
      </c>
      <c r="AF295" t="str">
        <f t="shared" si="33"/>
        <v>Delayed</v>
      </c>
    </row>
    <row r="296" spans="4:32">
      <c r="D296" s="4" t="s">
        <v>848</v>
      </c>
      <c r="E296" s="5" t="s">
        <v>321</v>
      </c>
      <c r="F296" s="5" t="s">
        <v>347</v>
      </c>
      <c r="G296" s="6">
        <v>45963</v>
      </c>
      <c r="H296" s="5" t="s">
        <v>849</v>
      </c>
      <c r="I296" s="5" t="s">
        <v>408</v>
      </c>
      <c r="J296" s="5" t="s">
        <v>239</v>
      </c>
      <c r="K296" s="5" t="s">
        <v>850</v>
      </c>
      <c r="L296" s="5" t="s">
        <v>286</v>
      </c>
      <c r="M296" s="5" t="s">
        <v>287</v>
      </c>
      <c r="N296" s="5" t="s">
        <v>295</v>
      </c>
      <c r="O296" s="5" t="s">
        <v>349</v>
      </c>
      <c r="P296" s="5">
        <v>10</v>
      </c>
      <c r="Q296" s="5">
        <v>20</v>
      </c>
      <c r="R296" s="5">
        <v>5</v>
      </c>
      <c r="S296" s="5">
        <v>190</v>
      </c>
      <c r="T296" s="5">
        <v>4</v>
      </c>
      <c r="U296" s="5" t="s">
        <v>254</v>
      </c>
      <c r="V296" s="5" t="s">
        <v>312</v>
      </c>
      <c r="W296" s="5" t="s">
        <v>326</v>
      </c>
      <c r="X296" s="5">
        <v>9463618792</v>
      </c>
      <c r="Y296" s="8" t="s">
        <v>248</v>
      </c>
      <c r="Z296" t="str">
        <f t="shared" si="29"/>
        <v/>
      </c>
      <c r="AA296" t="str">
        <f t="shared" si="30"/>
        <v>Anita Gupta</v>
      </c>
      <c r="AB296" t="str">
        <f t="shared" si="31"/>
        <v>Ani004Mu</v>
      </c>
      <c r="AC296" t="str">
        <f t="shared" si="34"/>
        <v>anita.gupta@company.com</v>
      </c>
      <c r="AD296" t="str">
        <f t="shared" ca="1" si="35"/>
        <v/>
      </c>
      <c r="AE296" t="str">
        <f t="shared" si="32"/>
        <v/>
      </c>
      <c r="AF296" t="str">
        <f t="shared" si="33"/>
        <v>Delayed</v>
      </c>
    </row>
    <row r="297" spans="4:32">
      <c r="D297" s="9" t="s">
        <v>851</v>
      </c>
      <c r="E297" s="10" t="s">
        <v>284</v>
      </c>
      <c r="F297" s="10" t="s">
        <v>294</v>
      </c>
      <c r="G297" s="10" t="s">
        <v>53</v>
      </c>
      <c r="H297" s="10" t="s">
        <v>160</v>
      </c>
      <c r="I297" s="10" t="s">
        <v>285</v>
      </c>
      <c r="J297" s="10" t="s">
        <v>239</v>
      </c>
      <c r="K297" s="11">
        <v>28711</v>
      </c>
      <c r="L297" s="10" t="s">
        <v>260</v>
      </c>
      <c r="M297" s="10" t="s">
        <v>261</v>
      </c>
      <c r="N297" s="10" t="s">
        <v>295</v>
      </c>
      <c r="O297" s="10" t="s">
        <v>296</v>
      </c>
      <c r="P297" s="10">
        <v>20</v>
      </c>
      <c r="Q297" s="10">
        <v>60</v>
      </c>
      <c r="R297" s="10">
        <v>15</v>
      </c>
      <c r="S297" s="10">
        <v>1020</v>
      </c>
      <c r="T297" s="10">
        <v>5</v>
      </c>
      <c r="U297" s="10" t="s">
        <v>272</v>
      </c>
      <c r="V297" s="10" t="s">
        <v>255</v>
      </c>
      <c r="W297" s="10" t="s">
        <v>308</v>
      </c>
      <c r="X297" s="10">
        <v>9954973200</v>
      </c>
      <c r="Y297" s="12" t="s">
        <v>248</v>
      </c>
      <c r="Z297" t="str">
        <f t="shared" si="29"/>
        <v/>
      </c>
      <c r="AA297" t="str">
        <f t="shared" si="30"/>
        <v>Priya Patel</v>
      </c>
      <c r="AB297" t="str">
        <f t="shared" si="31"/>
        <v>Pri002De</v>
      </c>
      <c r="AC297" t="str">
        <f t="shared" si="34"/>
        <v>priya.patel@company.com</v>
      </c>
      <c r="AD297" t="str">
        <f t="shared" ca="1" si="35"/>
        <v/>
      </c>
      <c r="AE297">
        <f t="shared" si="32"/>
        <v>10</v>
      </c>
      <c r="AF297" t="str">
        <f t="shared" si="33"/>
        <v>Delayed</v>
      </c>
    </row>
    <row r="298" spans="4:32">
      <c r="D298" s="4" t="s">
        <v>852</v>
      </c>
      <c r="E298" s="5" t="s">
        <v>392</v>
      </c>
      <c r="F298" s="5" t="s">
        <v>250</v>
      </c>
      <c r="G298" s="6">
        <v>45661</v>
      </c>
      <c r="H298" s="6">
        <v>45995</v>
      </c>
      <c r="I298" s="5" t="s">
        <v>323</v>
      </c>
      <c r="J298" s="5" t="s">
        <v>269</v>
      </c>
      <c r="K298" s="6">
        <v>28735</v>
      </c>
      <c r="L298" s="5" t="s">
        <v>306</v>
      </c>
      <c r="M298" s="5" t="s">
        <v>287</v>
      </c>
      <c r="N298" s="5" t="s">
        <v>15</v>
      </c>
      <c r="O298" s="5" t="s">
        <v>253</v>
      </c>
      <c r="P298" s="5">
        <v>7</v>
      </c>
      <c r="Q298" s="5">
        <v>2200</v>
      </c>
      <c r="R298" s="5">
        <v>15</v>
      </c>
      <c r="S298" s="5">
        <v>13090</v>
      </c>
      <c r="T298" s="5">
        <v>4</v>
      </c>
      <c r="U298" s="5" t="s">
        <v>254</v>
      </c>
      <c r="V298" s="5" t="s">
        <v>246</v>
      </c>
      <c r="W298" s="5" t="s">
        <v>395</v>
      </c>
      <c r="X298" s="5">
        <v>9383199236</v>
      </c>
      <c r="Y298" s="8" t="s">
        <v>265</v>
      </c>
      <c r="Z298" t="str">
        <f t="shared" si="29"/>
        <v>Blacklisted</v>
      </c>
      <c r="AA298" t="str">
        <f t="shared" si="30"/>
        <v>Amit Sharma</v>
      </c>
      <c r="AB298" t="str">
        <f t="shared" si="31"/>
        <v>Ami001Ah</v>
      </c>
      <c r="AC298" t="str">
        <f t="shared" si="34"/>
        <v>amit.sharma@company.com</v>
      </c>
      <c r="AD298">
        <f t="shared" ca="1" si="35"/>
        <v>48</v>
      </c>
      <c r="AE298" t="str">
        <f t="shared" si="32"/>
        <v/>
      </c>
      <c r="AF298" t="str">
        <f t="shared" si="33"/>
        <v>Delayed</v>
      </c>
    </row>
    <row r="299" spans="4:32">
      <c r="D299" s="9" t="s">
        <v>853</v>
      </c>
      <c r="E299" s="10" t="s">
        <v>299</v>
      </c>
      <c r="F299" s="10" t="s">
        <v>236</v>
      </c>
      <c r="G299" s="10" t="s">
        <v>5</v>
      </c>
      <c r="H299" s="10" t="s">
        <v>40</v>
      </c>
      <c r="I299" s="10" t="s">
        <v>301</v>
      </c>
      <c r="J299" s="10" t="s">
        <v>269</v>
      </c>
      <c r="K299" s="11">
        <v>38047</v>
      </c>
      <c r="L299" s="10" t="s">
        <v>252</v>
      </c>
      <c r="M299" s="10" t="s">
        <v>242</v>
      </c>
      <c r="N299" s="10" t="s">
        <v>243</v>
      </c>
      <c r="O299" s="10" t="s">
        <v>244</v>
      </c>
      <c r="P299" s="10">
        <v>11</v>
      </c>
      <c r="Q299" s="10">
        <v>55000</v>
      </c>
      <c r="R299" s="10">
        <v>5</v>
      </c>
      <c r="S299" s="10">
        <v>574750</v>
      </c>
      <c r="T299" s="10">
        <v>1</v>
      </c>
      <c r="U299" s="10" t="s">
        <v>277</v>
      </c>
      <c r="V299" s="10" t="s">
        <v>255</v>
      </c>
      <c r="W299" s="10" t="s">
        <v>302</v>
      </c>
      <c r="X299" s="10">
        <v>9482699727</v>
      </c>
      <c r="Y299" s="12" t="s">
        <v>265</v>
      </c>
      <c r="Z299" t="str">
        <f t="shared" si="29"/>
        <v>Blacklisted</v>
      </c>
      <c r="AA299" t="str">
        <f t="shared" si="30"/>
        <v>Rohit Singh</v>
      </c>
      <c r="AB299" t="str">
        <f t="shared" si="31"/>
        <v>Roh003Hy</v>
      </c>
      <c r="AC299" t="str">
        <f t="shared" si="34"/>
        <v>rohit.singh@company.com</v>
      </c>
      <c r="AD299">
        <f t="shared" ca="1" si="35"/>
        <v>48</v>
      </c>
      <c r="AE299">
        <f t="shared" si="32"/>
        <v>3</v>
      </c>
      <c r="AF299" t="str">
        <f t="shared" si="33"/>
        <v>On time</v>
      </c>
    </row>
    <row r="300" spans="4:32">
      <c r="D300" s="4" t="s">
        <v>854</v>
      </c>
      <c r="E300" s="5" t="s">
        <v>275</v>
      </c>
      <c r="F300" s="5" t="s">
        <v>280</v>
      </c>
      <c r="G300" s="6">
        <v>45787</v>
      </c>
      <c r="H300" s="5" t="s">
        <v>855</v>
      </c>
      <c r="I300" s="5" t="s">
        <v>328</v>
      </c>
      <c r="J300" s="5" t="s">
        <v>269</v>
      </c>
      <c r="K300" s="6">
        <v>33639</v>
      </c>
      <c r="L300" s="5" t="s">
        <v>342</v>
      </c>
      <c r="M300" s="5" t="s">
        <v>261</v>
      </c>
      <c r="N300" s="5" t="s">
        <v>15</v>
      </c>
      <c r="O300" s="5" t="s">
        <v>282</v>
      </c>
      <c r="P300" s="5">
        <v>12</v>
      </c>
      <c r="Q300" s="5">
        <v>3500</v>
      </c>
      <c r="R300" s="5">
        <v>0</v>
      </c>
      <c r="S300" s="5">
        <v>42000</v>
      </c>
      <c r="T300" s="5">
        <v>2</v>
      </c>
      <c r="U300" s="14" t="s">
        <v>245</v>
      </c>
      <c r="V300" s="5"/>
      <c r="W300" s="5" t="s">
        <v>278</v>
      </c>
      <c r="X300" s="5">
        <v>9332473934</v>
      </c>
      <c r="Y300" s="8" t="s">
        <v>248</v>
      </c>
      <c r="Z300" t="str">
        <f t="shared" si="29"/>
        <v>Blacklisted</v>
      </c>
      <c r="AA300" t="str">
        <f t="shared" si="30"/>
        <v>Arjun Rao</v>
      </c>
      <c r="AB300" t="str">
        <f t="shared" si="31"/>
        <v>Arj007Ja</v>
      </c>
      <c r="AC300" t="str">
        <f t="shared" si="34"/>
        <v>arjun.rao@company.com</v>
      </c>
      <c r="AD300">
        <f t="shared" ca="1" si="35"/>
        <v>22</v>
      </c>
      <c r="AE300" t="str">
        <f t="shared" si="32"/>
        <v/>
      </c>
      <c r="AF300" t="str">
        <f t="shared" si="33"/>
        <v>Delayed</v>
      </c>
    </row>
    <row r="301" spans="4:32">
      <c r="D301" s="9" t="s">
        <v>856</v>
      </c>
      <c r="E301" s="10" t="s">
        <v>266</v>
      </c>
      <c r="F301" s="10" t="s">
        <v>362</v>
      </c>
      <c r="G301" s="10" t="s">
        <v>139</v>
      </c>
      <c r="H301" s="11">
        <v>46237</v>
      </c>
      <c r="I301" s="10" t="s">
        <v>268</v>
      </c>
      <c r="J301" s="10" t="s">
        <v>269</v>
      </c>
      <c r="K301" s="10" t="s">
        <v>857</v>
      </c>
      <c r="L301" s="10" t="s">
        <v>252</v>
      </c>
      <c r="M301" s="10" t="s">
        <v>242</v>
      </c>
      <c r="N301" s="10" t="s">
        <v>295</v>
      </c>
      <c r="O301" s="10" t="s">
        <v>363</v>
      </c>
      <c r="P301" s="10">
        <v>15</v>
      </c>
      <c r="Q301" s="10">
        <v>45</v>
      </c>
      <c r="R301" s="10">
        <v>10</v>
      </c>
      <c r="S301" s="10">
        <v>607.5</v>
      </c>
      <c r="T301" s="10">
        <v>2</v>
      </c>
      <c r="U301" s="10" t="s">
        <v>254</v>
      </c>
      <c r="V301" s="10" t="s">
        <v>312</v>
      </c>
      <c r="W301" s="10" t="s">
        <v>273</v>
      </c>
      <c r="X301" s="10">
        <v>9647657382</v>
      </c>
      <c r="Y301" s="12" t="s">
        <v>248</v>
      </c>
      <c r="Z301" t="str">
        <f t="shared" si="29"/>
        <v>Blacklisted</v>
      </c>
      <c r="AA301" t="str">
        <f t="shared" si="30"/>
        <v>Mohit Verma</v>
      </c>
      <c r="AB301" t="str">
        <f t="shared" si="31"/>
        <v>Moh009Hy</v>
      </c>
      <c r="AC301" t="str">
        <f t="shared" si="34"/>
        <v>mohit.verma@company.com</v>
      </c>
      <c r="AD301">
        <f t="shared" ca="1" si="35"/>
        <v>34</v>
      </c>
      <c r="AE301" t="str">
        <f t="shared" si="32"/>
        <v/>
      </c>
      <c r="AF301" t="str">
        <f t="shared" si="33"/>
        <v>Delayed</v>
      </c>
    </row>
    <row r="302" spans="4:32">
      <c r="D302" s="4" t="s">
        <v>858</v>
      </c>
      <c r="E302" s="5" t="s">
        <v>392</v>
      </c>
      <c r="F302" s="5" t="s">
        <v>362</v>
      </c>
      <c r="G302" s="5" t="s">
        <v>46</v>
      </c>
      <c r="H302" s="5" t="s">
        <v>155</v>
      </c>
      <c r="I302" s="5" t="s">
        <v>323</v>
      </c>
      <c r="J302" s="5" t="s">
        <v>269</v>
      </c>
      <c r="K302" s="5" t="s">
        <v>859</v>
      </c>
      <c r="L302" s="5" t="s">
        <v>241</v>
      </c>
      <c r="M302" s="5" t="s">
        <v>242</v>
      </c>
      <c r="N302" s="5" t="s">
        <v>295</v>
      </c>
      <c r="O302" s="5" t="s">
        <v>363</v>
      </c>
      <c r="P302" s="5">
        <v>13</v>
      </c>
      <c r="Q302" s="5">
        <v>45</v>
      </c>
      <c r="R302" s="5">
        <v>0</v>
      </c>
      <c r="S302" s="5">
        <v>585</v>
      </c>
      <c r="T302" s="5">
        <v>5</v>
      </c>
      <c r="U302" s="5" t="s">
        <v>245</v>
      </c>
      <c r="V302" s="5" t="s">
        <v>263</v>
      </c>
      <c r="W302" s="5" t="s">
        <v>395</v>
      </c>
      <c r="X302" s="5">
        <v>9736797776</v>
      </c>
      <c r="Y302" s="8" t="s">
        <v>248</v>
      </c>
      <c r="Z302" t="str">
        <f t="shared" si="29"/>
        <v/>
      </c>
      <c r="AA302" t="str">
        <f t="shared" si="30"/>
        <v>Amit Sharma</v>
      </c>
      <c r="AB302" t="str">
        <f t="shared" si="31"/>
        <v>Ami001Be</v>
      </c>
      <c r="AC302" t="str">
        <f t="shared" si="34"/>
        <v>amit.sharma@company.com</v>
      </c>
      <c r="AD302" t="str">
        <f t="shared" ca="1" si="35"/>
        <v/>
      </c>
      <c r="AE302">
        <f t="shared" si="32"/>
        <v>10</v>
      </c>
      <c r="AF302" t="str">
        <f t="shared" si="33"/>
        <v>Delayed</v>
      </c>
    </row>
    <row r="303" spans="4:32">
      <c r="D303" s="9" t="s">
        <v>860</v>
      </c>
      <c r="E303" s="10" t="s">
        <v>299</v>
      </c>
      <c r="F303" s="10" t="s">
        <v>236</v>
      </c>
      <c r="G303" s="11">
        <v>46054</v>
      </c>
      <c r="H303" s="11">
        <v>46143</v>
      </c>
      <c r="I303" s="10" t="s">
        <v>301</v>
      </c>
      <c r="J303" s="10" t="s">
        <v>269</v>
      </c>
      <c r="K303" s="11">
        <v>27584</v>
      </c>
      <c r="L303" s="10" t="s">
        <v>241</v>
      </c>
      <c r="M303" s="10" t="s">
        <v>242</v>
      </c>
      <c r="N303" s="10" t="s">
        <v>243</v>
      </c>
      <c r="O303" s="10" t="s">
        <v>244</v>
      </c>
      <c r="P303" s="10">
        <v>8</v>
      </c>
      <c r="Q303" s="10">
        <v>55000</v>
      </c>
      <c r="R303" s="10">
        <v>0</v>
      </c>
      <c r="S303" s="10">
        <v>440000</v>
      </c>
      <c r="T303" s="10">
        <v>2</v>
      </c>
      <c r="U303" s="10" t="s">
        <v>277</v>
      </c>
      <c r="V303" s="10" t="s">
        <v>312</v>
      </c>
      <c r="W303" s="10" t="s">
        <v>302</v>
      </c>
      <c r="X303" s="10">
        <v>9745773533</v>
      </c>
      <c r="Y303" s="12" t="s">
        <v>265</v>
      </c>
      <c r="Z303" t="str">
        <f t="shared" si="29"/>
        <v>Blacklisted</v>
      </c>
      <c r="AA303" t="str">
        <f t="shared" si="30"/>
        <v>Rohit Singh</v>
      </c>
      <c r="AB303" t="str">
        <f t="shared" si="31"/>
        <v>Roh003Be</v>
      </c>
      <c r="AC303" t="str">
        <f t="shared" si="34"/>
        <v>rohit.singh@company.com</v>
      </c>
      <c r="AD303" t="str">
        <f t="shared" ca="1" si="35"/>
        <v/>
      </c>
      <c r="AE303" t="str">
        <f t="shared" si="32"/>
        <v/>
      </c>
      <c r="AF303" t="str">
        <f t="shared" si="33"/>
        <v>Delayed</v>
      </c>
    </row>
    <row r="304" spans="4:32">
      <c r="D304" s="4" t="s">
        <v>861</v>
      </c>
      <c r="E304" s="5" t="s">
        <v>358</v>
      </c>
      <c r="F304" s="5" t="s">
        <v>236</v>
      </c>
      <c r="G304" s="5" t="s">
        <v>124</v>
      </c>
      <c r="H304" s="5" t="s">
        <v>168</v>
      </c>
      <c r="I304" s="5" t="s">
        <v>359</v>
      </c>
      <c r="J304" s="5" t="s">
        <v>239</v>
      </c>
      <c r="K304" s="6">
        <v>29502</v>
      </c>
      <c r="L304" s="5" t="s">
        <v>260</v>
      </c>
      <c r="M304" s="5" t="s">
        <v>261</v>
      </c>
      <c r="N304" s="5" t="s">
        <v>243</v>
      </c>
      <c r="O304" s="5" t="s">
        <v>244</v>
      </c>
      <c r="P304" s="5">
        <v>4</v>
      </c>
      <c r="Q304" s="5">
        <v>55000</v>
      </c>
      <c r="R304" s="5">
        <v>20</v>
      </c>
      <c r="S304" s="5">
        <v>176000</v>
      </c>
      <c r="T304" s="5">
        <v>5</v>
      </c>
      <c r="U304" s="5" t="s">
        <v>254</v>
      </c>
      <c r="V304" s="5" t="s">
        <v>263</v>
      </c>
      <c r="W304" s="5" t="s">
        <v>360</v>
      </c>
      <c r="X304" s="5">
        <v>9246715757</v>
      </c>
      <c r="Y304" s="8" t="s">
        <v>248</v>
      </c>
      <c r="Z304" t="str">
        <f t="shared" si="29"/>
        <v/>
      </c>
      <c r="AA304" t="str">
        <f t="shared" si="30"/>
        <v>Sneha Joshi</v>
      </c>
      <c r="AB304" t="str">
        <f t="shared" si="31"/>
        <v>Sne006De</v>
      </c>
      <c r="AC304" t="str">
        <f t="shared" si="34"/>
        <v>sneha.joshi@company.com</v>
      </c>
      <c r="AD304">
        <f t="shared" ca="1" si="35"/>
        <v>51</v>
      </c>
      <c r="AE304">
        <f t="shared" si="32"/>
        <v>4</v>
      </c>
      <c r="AF304" t="str">
        <f t="shared" si="33"/>
        <v>On time</v>
      </c>
    </row>
    <row r="305" spans="4:32">
      <c r="D305" s="9" t="s">
        <v>862</v>
      </c>
      <c r="E305" s="10" t="s">
        <v>249</v>
      </c>
      <c r="F305" s="10" t="s">
        <v>280</v>
      </c>
      <c r="G305" s="10" t="s">
        <v>123</v>
      </c>
      <c r="H305" s="10" t="s">
        <v>154</v>
      </c>
      <c r="I305" s="10" t="s">
        <v>251</v>
      </c>
      <c r="J305" s="10" t="s">
        <v>239</v>
      </c>
      <c r="K305" s="11">
        <v>32693</v>
      </c>
      <c r="L305" s="10" t="s">
        <v>306</v>
      </c>
      <c r="M305" s="10" t="s">
        <v>287</v>
      </c>
      <c r="N305" s="10" t="s">
        <v>15</v>
      </c>
      <c r="O305" s="10" t="s">
        <v>282</v>
      </c>
      <c r="P305" s="10">
        <v>19</v>
      </c>
      <c r="Q305" s="10">
        <v>3500</v>
      </c>
      <c r="R305" s="10">
        <v>5</v>
      </c>
      <c r="S305" s="10">
        <v>63175</v>
      </c>
      <c r="T305" s="10">
        <v>1</v>
      </c>
      <c r="U305" s="10" t="s">
        <v>272</v>
      </c>
      <c r="V305" s="10" t="s">
        <v>292</v>
      </c>
      <c r="W305" s="10" t="s">
        <v>264</v>
      </c>
      <c r="X305" s="10">
        <v>9904065774</v>
      </c>
      <c r="Y305" s="12" t="s">
        <v>257</v>
      </c>
      <c r="Z305" t="str">
        <f t="shared" si="29"/>
        <v>Blacklisted</v>
      </c>
      <c r="AA305" t="str">
        <f t="shared" si="30"/>
        <v>Kavya Nair</v>
      </c>
      <c r="AB305" t="str">
        <f t="shared" si="31"/>
        <v>Kav008Ah</v>
      </c>
      <c r="AC305" t="str">
        <f t="shared" si="34"/>
        <v>kavya.nair@company.com</v>
      </c>
      <c r="AD305">
        <f t="shared" ca="1" si="35"/>
        <v>46</v>
      </c>
      <c r="AE305">
        <f t="shared" si="32"/>
        <v>3</v>
      </c>
      <c r="AF305" t="str">
        <f t="shared" si="33"/>
        <v>On time</v>
      </c>
    </row>
    <row r="306" spans="4:32">
      <c r="D306" s="4" t="s">
        <v>863</v>
      </c>
      <c r="E306" s="5" t="s">
        <v>346</v>
      </c>
      <c r="F306" s="5" t="s">
        <v>267</v>
      </c>
      <c r="G306" s="6">
        <v>45691</v>
      </c>
      <c r="H306" s="6">
        <v>45811</v>
      </c>
      <c r="I306" s="5" t="s">
        <v>348</v>
      </c>
      <c r="J306" s="5" t="s">
        <v>269</v>
      </c>
      <c r="K306" s="5" t="s">
        <v>864</v>
      </c>
      <c r="L306" s="5" t="s">
        <v>342</v>
      </c>
      <c r="M306" s="5" t="s">
        <v>261</v>
      </c>
      <c r="N306" s="5" t="s">
        <v>243</v>
      </c>
      <c r="O306" s="5" t="s">
        <v>271</v>
      </c>
      <c r="P306" s="5">
        <v>17</v>
      </c>
      <c r="Q306" s="5">
        <v>1200</v>
      </c>
      <c r="R306" s="5">
        <v>15</v>
      </c>
      <c r="S306" s="5">
        <v>17340</v>
      </c>
      <c r="T306" s="5">
        <v>2</v>
      </c>
      <c r="U306" s="5" t="s">
        <v>245</v>
      </c>
      <c r="V306" s="5" t="s">
        <v>263</v>
      </c>
      <c r="W306" s="5" t="s">
        <v>350</v>
      </c>
      <c r="X306" s="5">
        <v>9652985385</v>
      </c>
      <c r="Y306" s="8" t="s">
        <v>257</v>
      </c>
      <c r="Z306" t="str">
        <f t="shared" si="29"/>
        <v>Blacklisted</v>
      </c>
      <c r="AA306" t="str">
        <f t="shared" si="30"/>
        <v>Vikas Mehta</v>
      </c>
      <c r="AB306" t="str">
        <f t="shared" si="31"/>
        <v>Vik005Ja</v>
      </c>
      <c r="AC306" t="str">
        <f t="shared" si="34"/>
        <v>vikas.mehta@company.com</v>
      </c>
      <c r="AD306">
        <f t="shared" ca="1" si="35"/>
        <v>37</v>
      </c>
      <c r="AE306" t="str">
        <f t="shared" si="32"/>
        <v/>
      </c>
      <c r="AF306" t="str">
        <f t="shared" si="33"/>
        <v>Delayed</v>
      </c>
    </row>
    <row r="307" spans="4:32">
      <c r="D307" s="9" t="s">
        <v>865</v>
      </c>
      <c r="E307" s="10" t="s">
        <v>249</v>
      </c>
      <c r="F307" s="10" t="s">
        <v>250</v>
      </c>
      <c r="G307" s="11">
        <v>46267</v>
      </c>
      <c r="H307" s="10" t="s">
        <v>56</v>
      </c>
      <c r="I307" s="10" t="s">
        <v>251</v>
      </c>
      <c r="J307" s="10" t="s">
        <v>239</v>
      </c>
      <c r="K307" s="11">
        <v>36954</v>
      </c>
      <c r="L307" s="10" t="s">
        <v>252</v>
      </c>
      <c r="M307" s="10" t="s">
        <v>242</v>
      </c>
      <c r="N307" s="10" t="s">
        <v>15</v>
      </c>
      <c r="O307" s="10" t="s">
        <v>253</v>
      </c>
      <c r="P307" s="10">
        <v>8</v>
      </c>
      <c r="Q307" s="10">
        <v>2200</v>
      </c>
      <c r="R307" s="10">
        <v>5</v>
      </c>
      <c r="S307" s="10">
        <v>16720</v>
      </c>
      <c r="T307" s="10">
        <v>3</v>
      </c>
      <c r="U307" s="10" t="s">
        <v>272</v>
      </c>
      <c r="V307" s="10" t="s">
        <v>292</v>
      </c>
      <c r="W307" s="10" t="s">
        <v>264</v>
      </c>
      <c r="X307" s="10">
        <v>9427001508</v>
      </c>
      <c r="Y307" s="12" t="s">
        <v>248</v>
      </c>
      <c r="Z307" t="str">
        <f t="shared" si="29"/>
        <v/>
      </c>
      <c r="AA307" t="str">
        <f t="shared" si="30"/>
        <v>Kavya Nair</v>
      </c>
      <c r="AB307" t="str">
        <f t="shared" si="31"/>
        <v>Kav008Hy</v>
      </c>
      <c r="AC307" t="str">
        <f t="shared" si="34"/>
        <v>kavya.nair@company.com</v>
      </c>
      <c r="AD307" t="str">
        <f t="shared" ca="1" si="35"/>
        <v/>
      </c>
      <c r="AE307" t="str">
        <f t="shared" si="32"/>
        <v/>
      </c>
      <c r="AF307" t="str">
        <f t="shared" si="33"/>
        <v>Delayed</v>
      </c>
    </row>
    <row r="308" spans="4:32">
      <c r="D308" s="4" t="s">
        <v>866</v>
      </c>
      <c r="E308" s="5" t="s">
        <v>358</v>
      </c>
      <c r="F308" s="5" t="s">
        <v>330</v>
      </c>
      <c r="G308" s="5" t="s">
        <v>42</v>
      </c>
      <c r="H308" s="5" t="s">
        <v>150</v>
      </c>
      <c r="I308" s="5" t="s">
        <v>359</v>
      </c>
      <c r="J308" s="5" t="s">
        <v>239</v>
      </c>
      <c r="K308" s="6">
        <v>33727</v>
      </c>
      <c r="L308" s="5" t="s">
        <v>286</v>
      </c>
      <c r="M308" s="5" t="s">
        <v>287</v>
      </c>
      <c r="N308" s="5" t="s">
        <v>243</v>
      </c>
      <c r="O308" s="5" t="s">
        <v>333</v>
      </c>
      <c r="P308" s="5">
        <v>17</v>
      </c>
      <c r="Q308" s="5">
        <v>700</v>
      </c>
      <c r="R308" s="5">
        <v>20</v>
      </c>
      <c r="S308" s="5">
        <v>9520</v>
      </c>
      <c r="T308" s="5">
        <v>4</v>
      </c>
      <c r="U308" s="5" t="s">
        <v>245</v>
      </c>
      <c r="V308" s="5" t="s">
        <v>292</v>
      </c>
      <c r="W308" s="5" t="s">
        <v>360</v>
      </c>
      <c r="X308" s="5">
        <v>9666803655</v>
      </c>
      <c r="Y308" s="8" t="s">
        <v>257</v>
      </c>
      <c r="Z308" t="str">
        <f t="shared" si="29"/>
        <v>Silver</v>
      </c>
      <c r="AA308" t="str">
        <f t="shared" si="30"/>
        <v>Sneha Joshi</v>
      </c>
      <c r="AB308" t="str">
        <f t="shared" si="31"/>
        <v>Sne006Mu</v>
      </c>
      <c r="AC308" t="str">
        <f t="shared" si="34"/>
        <v>sneha.joshi@company.com</v>
      </c>
      <c r="AD308">
        <f t="shared" ca="1" si="35"/>
        <v>25</v>
      </c>
      <c r="AE308">
        <f t="shared" si="32"/>
        <v>10</v>
      </c>
      <c r="AF308" t="str">
        <f t="shared" si="33"/>
        <v>Delayed</v>
      </c>
    </row>
    <row r="309" spans="4:32">
      <c r="D309" s="9" t="s">
        <v>867</v>
      </c>
      <c r="E309" s="10" t="s">
        <v>358</v>
      </c>
      <c r="F309" s="10" t="s">
        <v>322</v>
      </c>
      <c r="G309" s="10" t="s">
        <v>181</v>
      </c>
      <c r="H309" s="11">
        <v>45878</v>
      </c>
      <c r="I309" s="10" t="s">
        <v>359</v>
      </c>
      <c r="J309" s="10" t="s">
        <v>239</v>
      </c>
      <c r="K309" s="10" t="s">
        <v>776</v>
      </c>
      <c r="L309" s="10" t="s">
        <v>291</v>
      </c>
      <c r="M309" s="10" t="s">
        <v>287</v>
      </c>
      <c r="N309" s="10" t="s">
        <v>15</v>
      </c>
      <c r="O309" s="10" t="s">
        <v>325</v>
      </c>
      <c r="P309" s="10">
        <v>6</v>
      </c>
      <c r="Q309" s="10">
        <v>8500</v>
      </c>
      <c r="R309" s="10">
        <v>15</v>
      </c>
      <c r="S309" s="10">
        <v>43350</v>
      </c>
      <c r="T309" s="10">
        <v>1</v>
      </c>
      <c r="U309" s="10" t="s">
        <v>254</v>
      </c>
      <c r="V309" s="10" t="s">
        <v>246</v>
      </c>
      <c r="W309" s="10" t="s">
        <v>360</v>
      </c>
      <c r="X309" s="10">
        <v>9134878547</v>
      </c>
      <c r="Y309" s="12" t="s">
        <v>257</v>
      </c>
      <c r="Z309" t="str">
        <f t="shared" si="29"/>
        <v>Blacklisted</v>
      </c>
      <c r="AA309" t="str">
        <f t="shared" si="30"/>
        <v>Sneha Joshi</v>
      </c>
      <c r="AB309" t="str">
        <f t="shared" si="31"/>
        <v>Sne006Pu</v>
      </c>
      <c r="AC309" t="str">
        <f t="shared" si="34"/>
        <v>sneha.joshi@company.com</v>
      </c>
      <c r="AD309">
        <f t="shared" ca="1" si="35"/>
        <v>34</v>
      </c>
      <c r="AE309" t="str">
        <f t="shared" si="32"/>
        <v/>
      </c>
      <c r="AF309" t="str">
        <f t="shared" si="33"/>
        <v>Delayed</v>
      </c>
    </row>
    <row r="310" spans="4:32">
      <c r="D310" s="4" t="s">
        <v>868</v>
      </c>
      <c r="E310" s="5" t="s">
        <v>235</v>
      </c>
      <c r="F310" s="5" t="s">
        <v>280</v>
      </c>
      <c r="G310" s="6">
        <v>45818</v>
      </c>
      <c r="H310" s="6">
        <v>45971</v>
      </c>
      <c r="I310" s="5" t="s">
        <v>318</v>
      </c>
      <c r="J310" s="5" t="s">
        <v>239</v>
      </c>
      <c r="K310" s="6">
        <v>31511</v>
      </c>
      <c r="L310" s="5" t="s">
        <v>252</v>
      </c>
      <c r="M310" s="5" t="s">
        <v>242</v>
      </c>
      <c r="N310" s="5" t="s">
        <v>15</v>
      </c>
      <c r="O310" s="5" t="s">
        <v>282</v>
      </c>
      <c r="P310" s="5">
        <v>3</v>
      </c>
      <c r="Q310" s="5">
        <v>3500</v>
      </c>
      <c r="R310" s="5">
        <v>10</v>
      </c>
      <c r="S310" s="5">
        <v>9450</v>
      </c>
      <c r="T310" s="5">
        <v>1</v>
      </c>
      <c r="U310" s="5" t="s">
        <v>245</v>
      </c>
      <c r="V310" s="5" t="s">
        <v>263</v>
      </c>
      <c r="W310" s="5" t="s">
        <v>247</v>
      </c>
      <c r="X310" s="5">
        <v>9253593557</v>
      </c>
      <c r="Y310" s="8" t="s">
        <v>257</v>
      </c>
      <c r="Z310" t="str">
        <f t="shared" si="29"/>
        <v>Blacklisted</v>
      </c>
      <c r="AA310" t="str">
        <f t="shared" si="30"/>
        <v>Pooja Shah</v>
      </c>
      <c r="AB310" t="str">
        <f t="shared" si="31"/>
        <v>Poo010Hy</v>
      </c>
      <c r="AC310" t="str">
        <f t="shared" si="34"/>
        <v>pooja.shah@company.com</v>
      </c>
      <c r="AD310" t="str">
        <f t="shared" ca="1" si="35"/>
        <v/>
      </c>
      <c r="AE310" t="str">
        <f t="shared" si="32"/>
        <v/>
      </c>
      <c r="AF310" t="str">
        <f t="shared" si="33"/>
        <v>Delayed</v>
      </c>
    </row>
    <row r="311" spans="4:32">
      <c r="D311" s="9" t="s">
        <v>869</v>
      </c>
      <c r="E311" s="10" t="s">
        <v>266</v>
      </c>
      <c r="F311" s="10" t="s">
        <v>258</v>
      </c>
      <c r="G311" s="10" t="s">
        <v>53</v>
      </c>
      <c r="H311" s="10" t="s">
        <v>585</v>
      </c>
      <c r="I311" s="10" t="s">
        <v>268</v>
      </c>
      <c r="J311" s="10" t="s">
        <v>269</v>
      </c>
      <c r="K311" s="10" t="s">
        <v>870</v>
      </c>
      <c r="L311" s="10" t="s">
        <v>306</v>
      </c>
      <c r="M311" s="10" t="s">
        <v>287</v>
      </c>
      <c r="N311" s="10" t="s">
        <v>243</v>
      </c>
      <c r="O311" s="10" t="s">
        <v>262</v>
      </c>
      <c r="P311" s="10">
        <v>2</v>
      </c>
      <c r="Q311" s="10">
        <v>12000</v>
      </c>
      <c r="R311" s="10">
        <v>20</v>
      </c>
      <c r="S311" s="10">
        <v>19200</v>
      </c>
      <c r="T311" s="10">
        <v>1</v>
      </c>
      <c r="U311" s="10" t="s">
        <v>272</v>
      </c>
      <c r="V311" s="10" t="s">
        <v>246</v>
      </c>
      <c r="W311" s="10" t="s">
        <v>273</v>
      </c>
      <c r="X311" s="10">
        <v>9183094051</v>
      </c>
      <c r="Y311" s="12" t="s">
        <v>257</v>
      </c>
      <c r="Z311" t="str">
        <f t="shared" si="29"/>
        <v>Blacklisted</v>
      </c>
      <c r="AA311" t="str">
        <f t="shared" si="30"/>
        <v>Mohit Verma</v>
      </c>
      <c r="AB311" t="str">
        <f t="shared" si="31"/>
        <v>Moh009Ah</v>
      </c>
      <c r="AC311" t="str">
        <f t="shared" si="34"/>
        <v>mohit.verma@company.com</v>
      </c>
      <c r="AD311">
        <f t="shared" ca="1" si="35"/>
        <v>40</v>
      </c>
      <c r="AE311">
        <f t="shared" si="32"/>
        <v>12</v>
      </c>
      <c r="AF311" t="str">
        <f t="shared" si="33"/>
        <v>Delayed</v>
      </c>
    </row>
    <row r="312" spans="4:32">
      <c r="D312" s="4" t="s">
        <v>871</v>
      </c>
      <c r="E312" s="5" t="s">
        <v>346</v>
      </c>
      <c r="F312" s="5" t="s">
        <v>347</v>
      </c>
      <c r="G312" s="5" t="s">
        <v>20</v>
      </c>
      <c r="H312" s="5" t="s">
        <v>872</v>
      </c>
      <c r="I312" s="5" t="s">
        <v>348</v>
      </c>
      <c r="J312" s="5" t="s">
        <v>269</v>
      </c>
      <c r="K312" s="6">
        <v>33272</v>
      </c>
      <c r="L312" s="5" t="s">
        <v>260</v>
      </c>
      <c r="M312" s="5" t="s">
        <v>261</v>
      </c>
      <c r="N312" s="5" t="s">
        <v>295</v>
      </c>
      <c r="O312" s="5" t="s">
        <v>349</v>
      </c>
      <c r="P312" s="5">
        <v>12</v>
      </c>
      <c r="Q312" s="5">
        <v>20</v>
      </c>
      <c r="R312" s="5">
        <v>20</v>
      </c>
      <c r="S312" s="5">
        <v>192</v>
      </c>
      <c r="T312" s="5">
        <v>2</v>
      </c>
      <c r="U312" s="5" t="s">
        <v>272</v>
      </c>
      <c r="V312" s="5" t="s">
        <v>263</v>
      </c>
      <c r="W312" s="5" t="s">
        <v>350</v>
      </c>
      <c r="X312" s="5">
        <v>9293147620</v>
      </c>
      <c r="Y312" s="8" t="s">
        <v>257</v>
      </c>
      <c r="Z312" t="str">
        <f t="shared" si="29"/>
        <v>Blacklisted</v>
      </c>
      <c r="AA312" t="str">
        <f t="shared" si="30"/>
        <v>Vikas Mehta</v>
      </c>
      <c r="AB312" t="str">
        <f t="shared" si="31"/>
        <v>Vik005De</v>
      </c>
      <c r="AC312" t="str">
        <f t="shared" si="34"/>
        <v>vikas.mehta@company.com</v>
      </c>
      <c r="AD312" t="str">
        <f t="shared" ca="1" si="35"/>
        <v/>
      </c>
      <c r="AE312">
        <f t="shared" si="32"/>
        <v>3</v>
      </c>
      <c r="AF312" t="str">
        <f t="shared" si="33"/>
        <v>On time</v>
      </c>
    </row>
    <row r="313" spans="4:32">
      <c r="D313" s="9" t="s">
        <v>873</v>
      </c>
      <c r="E313" s="10" t="s">
        <v>284</v>
      </c>
      <c r="F313" s="10" t="s">
        <v>258</v>
      </c>
      <c r="G313" s="10" t="s">
        <v>154</v>
      </c>
      <c r="H313" s="10" t="s">
        <v>874</v>
      </c>
      <c r="I313" s="10" t="s">
        <v>285</v>
      </c>
      <c r="J313" s="10" t="s">
        <v>239</v>
      </c>
      <c r="K313" s="10" t="s">
        <v>875</v>
      </c>
      <c r="L313" s="10" t="s">
        <v>379</v>
      </c>
      <c r="M313" s="10" t="s">
        <v>21</v>
      </c>
      <c r="N313" s="10" t="s">
        <v>243</v>
      </c>
      <c r="O313" s="10" t="s">
        <v>262</v>
      </c>
      <c r="P313" s="10">
        <v>20</v>
      </c>
      <c r="Q313" s="10">
        <v>12000</v>
      </c>
      <c r="R313" s="10">
        <v>15</v>
      </c>
      <c r="S313" s="10">
        <v>204000</v>
      </c>
      <c r="T313" s="10">
        <v>3</v>
      </c>
      <c r="U313" s="10" t="s">
        <v>254</v>
      </c>
      <c r="V313" s="10" t="s">
        <v>255</v>
      </c>
      <c r="W313" s="10" t="s">
        <v>308</v>
      </c>
      <c r="X313" s="10">
        <v>9755583734</v>
      </c>
      <c r="Y313" s="12" t="s">
        <v>248</v>
      </c>
      <c r="Z313" t="str">
        <f t="shared" si="29"/>
        <v/>
      </c>
      <c r="AA313" t="str">
        <f t="shared" si="30"/>
        <v>Priya Patel</v>
      </c>
      <c r="AB313" t="str">
        <f t="shared" si="31"/>
        <v>Pri002Ko</v>
      </c>
      <c r="AC313" t="str">
        <f t="shared" si="34"/>
        <v>priya.patel@company.com</v>
      </c>
      <c r="AD313">
        <f t="shared" ca="1" si="35"/>
        <v>35</v>
      </c>
      <c r="AE313">
        <f t="shared" si="32"/>
        <v>2</v>
      </c>
      <c r="AF313" t="str">
        <f t="shared" si="33"/>
        <v>On time</v>
      </c>
    </row>
    <row r="314" spans="4:32">
      <c r="D314" s="4" t="s">
        <v>876</v>
      </c>
      <c r="E314" s="5" t="s">
        <v>235</v>
      </c>
      <c r="F314" s="5" t="s">
        <v>294</v>
      </c>
      <c r="G314" s="5" t="s">
        <v>131</v>
      </c>
      <c r="H314" s="6">
        <v>46116</v>
      </c>
      <c r="I314" s="5" t="s">
        <v>318</v>
      </c>
      <c r="J314" s="5" t="s">
        <v>239</v>
      </c>
      <c r="K314" s="6">
        <v>37654</v>
      </c>
      <c r="L314" s="5" t="s">
        <v>342</v>
      </c>
      <c r="M314" s="5" t="s">
        <v>261</v>
      </c>
      <c r="N314" s="5" t="s">
        <v>295</v>
      </c>
      <c r="O314" s="5" t="s">
        <v>296</v>
      </c>
      <c r="P314" s="5">
        <v>13</v>
      </c>
      <c r="Q314" s="5">
        <v>60</v>
      </c>
      <c r="R314" s="5">
        <v>10</v>
      </c>
      <c r="S314" s="5">
        <v>702</v>
      </c>
      <c r="T314" s="5">
        <v>5</v>
      </c>
      <c r="U314" s="5" t="s">
        <v>254</v>
      </c>
      <c r="V314" s="5" t="s">
        <v>255</v>
      </c>
      <c r="W314" s="5" t="s">
        <v>247</v>
      </c>
      <c r="X314" s="5">
        <v>9186592813</v>
      </c>
      <c r="Y314" s="8" t="s">
        <v>248</v>
      </c>
      <c r="Z314" t="str">
        <f t="shared" si="29"/>
        <v/>
      </c>
      <c r="AA314" t="str">
        <f t="shared" si="30"/>
        <v>Pooja Shah</v>
      </c>
      <c r="AB314" t="str">
        <f t="shared" si="31"/>
        <v>Poo010Ja</v>
      </c>
      <c r="AC314" t="str">
        <f t="shared" si="34"/>
        <v>pooja.shah@company.com</v>
      </c>
      <c r="AD314" t="str">
        <f t="shared" ca="1" si="35"/>
        <v/>
      </c>
      <c r="AE314" t="str">
        <f t="shared" si="32"/>
        <v/>
      </c>
      <c r="AF314" t="str">
        <f t="shared" si="33"/>
        <v>Delayed</v>
      </c>
    </row>
    <row r="315" spans="4:32">
      <c r="D315" s="9" t="s">
        <v>877</v>
      </c>
      <c r="E315" s="10" t="s">
        <v>266</v>
      </c>
      <c r="F315" s="10" t="s">
        <v>236</v>
      </c>
      <c r="G315" s="11">
        <v>45874</v>
      </c>
      <c r="H315" s="10" t="s">
        <v>79</v>
      </c>
      <c r="I315" s="10" t="s">
        <v>268</v>
      </c>
      <c r="J315" s="10" t="s">
        <v>269</v>
      </c>
      <c r="K315" s="10" t="s">
        <v>878</v>
      </c>
      <c r="L315" s="10" t="s">
        <v>291</v>
      </c>
      <c r="M315" s="10" t="s">
        <v>287</v>
      </c>
      <c r="N315" s="10" t="s">
        <v>243</v>
      </c>
      <c r="O315" s="10" t="s">
        <v>244</v>
      </c>
      <c r="P315" s="10">
        <v>13</v>
      </c>
      <c r="Q315" s="10">
        <v>55000</v>
      </c>
      <c r="R315" s="10">
        <v>5</v>
      </c>
      <c r="S315" s="10">
        <v>679250</v>
      </c>
      <c r="T315" s="10">
        <v>1</v>
      </c>
      <c r="U315" s="10" t="s">
        <v>277</v>
      </c>
      <c r="V315" s="10" t="s">
        <v>312</v>
      </c>
      <c r="W315" s="10" t="s">
        <v>273</v>
      </c>
      <c r="X315" s="10">
        <v>9203482008</v>
      </c>
      <c r="Y315" s="12" t="s">
        <v>248</v>
      </c>
      <c r="Z315" t="str">
        <f t="shared" si="29"/>
        <v>Blacklisted</v>
      </c>
      <c r="AA315" t="str">
        <f t="shared" si="30"/>
        <v>Mohit Verma</v>
      </c>
      <c r="AB315" t="str">
        <f t="shared" si="31"/>
        <v>Moh009Pu</v>
      </c>
      <c r="AC315" t="str">
        <f t="shared" si="34"/>
        <v>mohit.verma@company.com</v>
      </c>
      <c r="AD315">
        <f t="shared" ca="1" si="35"/>
        <v>23</v>
      </c>
      <c r="AE315" t="str">
        <f t="shared" si="32"/>
        <v/>
      </c>
      <c r="AF315" t="str">
        <f t="shared" si="33"/>
        <v>Delayed</v>
      </c>
    </row>
    <row r="316" spans="4:32">
      <c r="D316" s="4" t="s">
        <v>879</v>
      </c>
      <c r="E316" s="5" t="s">
        <v>284</v>
      </c>
      <c r="F316" s="5" t="s">
        <v>267</v>
      </c>
      <c r="G316" s="6">
        <v>46206</v>
      </c>
      <c r="H316" s="6">
        <v>46298</v>
      </c>
      <c r="I316" s="5" t="s">
        <v>285</v>
      </c>
      <c r="J316" s="5" t="s">
        <v>239</v>
      </c>
      <c r="K316" s="5" t="s">
        <v>880</v>
      </c>
      <c r="L316" s="5" t="s">
        <v>241</v>
      </c>
      <c r="M316" s="5" t="s">
        <v>242</v>
      </c>
      <c r="N316" s="5" t="s">
        <v>243</v>
      </c>
      <c r="O316" s="5" t="s">
        <v>271</v>
      </c>
      <c r="P316" s="5">
        <v>7</v>
      </c>
      <c r="Q316" s="5">
        <v>1200</v>
      </c>
      <c r="R316" s="5">
        <v>15</v>
      </c>
      <c r="S316" s="5">
        <v>7140</v>
      </c>
      <c r="T316" s="5">
        <v>5</v>
      </c>
      <c r="U316" s="5" t="s">
        <v>277</v>
      </c>
      <c r="V316" s="5" t="s">
        <v>263</v>
      </c>
      <c r="W316" s="5" t="s">
        <v>308</v>
      </c>
      <c r="X316" s="5">
        <v>9829888777</v>
      </c>
      <c r="Y316" s="8" t="s">
        <v>248</v>
      </c>
      <c r="Z316" t="str">
        <f t="shared" si="29"/>
        <v/>
      </c>
      <c r="AA316" t="str">
        <f t="shared" si="30"/>
        <v>Priya Patel</v>
      </c>
      <c r="AB316" t="str">
        <f t="shared" si="31"/>
        <v>Pri002Be</v>
      </c>
      <c r="AC316" t="str">
        <f t="shared" si="34"/>
        <v>priya.patel@company.com</v>
      </c>
      <c r="AD316" t="str">
        <f t="shared" ca="1" si="35"/>
        <v/>
      </c>
      <c r="AE316" t="str">
        <f t="shared" si="32"/>
        <v/>
      </c>
      <c r="AF316" t="str">
        <f t="shared" si="33"/>
        <v>Delayed</v>
      </c>
    </row>
    <row r="317" spans="4:32">
      <c r="D317" s="9" t="s">
        <v>881</v>
      </c>
      <c r="E317" s="10" t="s">
        <v>275</v>
      </c>
      <c r="F317" s="10" t="s">
        <v>258</v>
      </c>
      <c r="G317" s="10" t="s">
        <v>159</v>
      </c>
      <c r="H317" s="10" t="s">
        <v>882</v>
      </c>
      <c r="I317" s="10" t="s">
        <v>328</v>
      </c>
      <c r="J317" s="10" t="s">
        <v>269</v>
      </c>
      <c r="K317" s="10" t="s">
        <v>883</v>
      </c>
      <c r="L317" s="10" t="s">
        <v>342</v>
      </c>
      <c r="M317" s="10" t="s">
        <v>261</v>
      </c>
      <c r="N317" s="10" t="s">
        <v>243</v>
      </c>
      <c r="O317" s="10" t="s">
        <v>262</v>
      </c>
      <c r="P317" s="10">
        <v>17</v>
      </c>
      <c r="Q317" s="10">
        <v>12000</v>
      </c>
      <c r="R317" s="10">
        <v>5</v>
      </c>
      <c r="S317" s="10">
        <v>193800</v>
      </c>
      <c r="T317" s="10">
        <v>1</v>
      </c>
      <c r="U317" s="10" t="s">
        <v>254</v>
      </c>
      <c r="V317" s="10" t="s">
        <v>246</v>
      </c>
      <c r="W317" s="10" t="s">
        <v>278</v>
      </c>
      <c r="X317" s="10">
        <v>9566101317</v>
      </c>
      <c r="Y317" s="12" t="s">
        <v>265</v>
      </c>
      <c r="Z317" t="str">
        <f t="shared" si="29"/>
        <v>Blacklisted</v>
      </c>
      <c r="AA317" t="str">
        <f t="shared" si="30"/>
        <v>Arjun Rao</v>
      </c>
      <c r="AB317" t="str">
        <f t="shared" si="31"/>
        <v>Arj007Ja</v>
      </c>
      <c r="AC317" t="str">
        <f t="shared" si="34"/>
        <v>arjun.rao@company.com</v>
      </c>
      <c r="AD317" t="str">
        <f t="shared" ca="1" si="35"/>
        <v/>
      </c>
      <c r="AE317">
        <f t="shared" si="32"/>
        <v>4</v>
      </c>
      <c r="AF317" t="str">
        <f t="shared" si="33"/>
        <v>On time</v>
      </c>
    </row>
    <row r="318" spans="4:32">
      <c r="D318" s="4" t="s">
        <v>884</v>
      </c>
      <c r="E318" s="5" t="s">
        <v>275</v>
      </c>
      <c r="F318" s="5" t="s">
        <v>347</v>
      </c>
      <c r="G318" s="5" t="s">
        <v>78</v>
      </c>
      <c r="H318" s="5" t="s">
        <v>142</v>
      </c>
      <c r="I318" s="5" t="s">
        <v>328</v>
      </c>
      <c r="J318" s="5" t="s">
        <v>269</v>
      </c>
      <c r="K318" s="6">
        <v>28532</v>
      </c>
      <c r="L318" s="5" t="s">
        <v>241</v>
      </c>
      <c r="M318" s="5" t="s">
        <v>242</v>
      </c>
      <c r="N318" s="5" t="s">
        <v>295</v>
      </c>
      <c r="O318" s="5" t="s">
        <v>349</v>
      </c>
      <c r="P318" s="5">
        <v>10</v>
      </c>
      <c r="Q318" s="5">
        <v>20</v>
      </c>
      <c r="R318" s="5">
        <v>5</v>
      </c>
      <c r="S318" s="5">
        <v>190</v>
      </c>
      <c r="T318" s="5">
        <v>2</v>
      </c>
      <c r="U318" s="5" t="s">
        <v>254</v>
      </c>
      <c r="V318" s="5" t="s">
        <v>246</v>
      </c>
      <c r="W318" s="5" t="s">
        <v>278</v>
      </c>
      <c r="X318" s="5">
        <v>9706240823</v>
      </c>
      <c r="Y318" s="8" t="s">
        <v>265</v>
      </c>
      <c r="Z318" t="str">
        <f t="shared" si="29"/>
        <v>Blacklisted</v>
      </c>
      <c r="AA318" t="str">
        <f t="shared" si="30"/>
        <v>Arjun Rao</v>
      </c>
      <c r="AB318" t="str">
        <f t="shared" si="31"/>
        <v>Arj007Be</v>
      </c>
      <c r="AC318" t="str">
        <f t="shared" si="34"/>
        <v>arjun.rao@company.com</v>
      </c>
      <c r="AD318" t="str">
        <f t="shared" ca="1" si="35"/>
        <v/>
      </c>
      <c r="AE318">
        <f t="shared" si="32"/>
        <v>6</v>
      </c>
      <c r="AF318" t="str">
        <f t="shared" si="33"/>
        <v>Delayed</v>
      </c>
    </row>
    <row r="319" spans="4:32">
      <c r="D319" s="9" t="s">
        <v>885</v>
      </c>
      <c r="E319" s="10" t="s">
        <v>321</v>
      </c>
      <c r="F319" s="10" t="s">
        <v>250</v>
      </c>
      <c r="G319" s="11">
        <v>45788</v>
      </c>
      <c r="H319" s="11">
        <v>45880</v>
      </c>
      <c r="I319" s="10" t="s">
        <v>408</v>
      </c>
      <c r="J319" s="10" t="s">
        <v>239</v>
      </c>
      <c r="K319" s="10" t="s">
        <v>886</v>
      </c>
      <c r="L319" s="10" t="s">
        <v>260</v>
      </c>
      <c r="M319" s="10" t="s">
        <v>261</v>
      </c>
      <c r="N319" s="10" t="s">
        <v>15</v>
      </c>
      <c r="O319" s="10" t="s">
        <v>253</v>
      </c>
      <c r="P319" s="10">
        <v>11</v>
      </c>
      <c r="Q319" s="10">
        <v>2200</v>
      </c>
      <c r="R319" s="10">
        <v>5</v>
      </c>
      <c r="S319" s="10">
        <v>22990</v>
      </c>
      <c r="T319" s="10">
        <v>5</v>
      </c>
      <c r="U319" s="10" t="s">
        <v>272</v>
      </c>
      <c r="V319" s="10" t="s">
        <v>263</v>
      </c>
      <c r="W319" s="10" t="s">
        <v>326</v>
      </c>
      <c r="X319" s="10">
        <v>9259943760</v>
      </c>
      <c r="Y319" s="12" t="s">
        <v>248</v>
      </c>
      <c r="Z319" t="str">
        <f t="shared" si="29"/>
        <v/>
      </c>
      <c r="AA319" t="str">
        <f t="shared" si="30"/>
        <v>Anita Gupta</v>
      </c>
      <c r="AB319" t="str">
        <f t="shared" si="31"/>
        <v>Ani004De</v>
      </c>
      <c r="AC319" t="str">
        <f t="shared" si="34"/>
        <v>anita.gupta@company.com</v>
      </c>
      <c r="AD319">
        <f t="shared" ca="1" si="35"/>
        <v>48</v>
      </c>
      <c r="AE319" t="str">
        <f t="shared" si="32"/>
        <v/>
      </c>
      <c r="AF319" t="str">
        <f t="shared" si="33"/>
        <v>Delayed</v>
      </c>
    </row>
    <row r="320" spans="4:32">
      <c r="D320" s="4" t="s">
        <v>887</v>
      </c>
      <c r="E320" s="5" t="s">
        <v>284</v>
      </c>
      <c r="F320" s="5" t="s">
        <v>294</v>
      </c>
      <c r="G320" s="5" t="s">
        <v>130</v>
      </c>
      <c r="H320" s="5" t="s">
        <v>176</v>
      </c>
      <c r="I320" s="5" t="s">
        <v>285</v>
      </c>
      <c r="J320" s="5" t="s">
        <v>239</v>
      </c>
      <c r="K320" s="6">
        <v>34912</v>
      </c>
      <c r="L320" s="5" t="s">
        <v>342</v>
      </c>
      <c r="M320" s="5" t="s">
        <v>261</v>
      </c>
      <c r="N320" s="5" t="s">
        <v>295</v>
      </c>
      <c r="O320" s="5" t="s">
        <v>296</v>
      </c>
      <c r="P320" s="5">
        <v>8</v>
      </c>
      <c r="Q320" s="5">
        <v>60</v>
      </c>
      <c r="R320" s="5">
        <v>15</v>
      </c>
      <c r="S320" s="5">
        <v>408</v>
      </c>
      <c r="T320" s="5">
        <v>4</v>
      </c>
      <c r="U320" s="5" t="s">
        <v>254</v>
      </c>
      <c r="V320" s="5" t="s">
        <v>263</v>
      </c>
      <c r="W320" s="5" t="s">
        <v>308</v>
      </c>
      <c r="X320" s="5">
        <v>9527326977</v>
      </c>
      <c r="Y320" s="8" t="s">
        <v>248</v>
      </c>
      <c r="Z320" t="str">
        <f t="shared" si="29"/>
        <v/>
      </c>
      <c r="AA320" t="str">
        <f t="shared" si="30"/>
        <v>Priya Patel</v>
      </c>
      <c r="AB320" t="str">
        <f t="shared" si="31"/>
        <v>Pri002Ja</v>
      </c>
      <c r="AC320" t="str">
        <f t="shared" si="34"/>
        <v>priya.patel@company.com</v>
      </c>
      <c r="AD320" t="str">
        <f t="shared" ca="1" si="35"/>
        <v/>
      </c>
      <c r="AE320">
        <f t="shared" si="32"/>
        <v>4</v>
      </c>
      <c r="AF320" t="str">
        <f t="shared" si="33"/>
        <v>On time</v>
      </c>
    </row>
    <row r="321" spans="4:32">
      <c r="D321" s="9" t="s">
        <v>888</v>
      </c>
      <c r="E321" s="10" t="s">
        <v>346</v>
      </c>
      <c r="F321" s="10" t="s">
        <v>362</v>
      </c>
      <c r="G321" s="10" t="s">
        <v>120</v>
      </c>
      <c r="H321" s="10" t="s">
        <v>140</v>
      </c>
      <c r="I321" s="10" t="s">
        <v>348</v>
      </c>
      <c r="J321" s="10" t="s">
        <v>269</v>
      </c>
      <c r="K321" s="10" t="s">
        <v>889</v>
      </c>
      <c r="L321" s="10" t="s">
        <v>260</v>
      </c>
      <c r="M321" s="10" t="s">
        <v>261</v>
      </c>
      <c r="N321" s="10" t="s">
        <v>295</v>
      </c>
      <c r="O321" s="10" t="s">
        <v>363</v>
      </c>
      <c r="P321" s="10">
        <v>17</v>
      </c>
      <c r="Q321" s="10">
        <v>45</v>
      </c>
      <c r="R321" s="10">
        <v>15</v>
      </c>
      <c r="S321" s="10">
        <v>650.25</v>
      </c>
      <c r="T321" s="10">
        <v>2</v>
      </c>
      <c r="U321" s="10" t="s">
        <v>277</v>
      </c>
      <c r="V321" s="10" t="s">
        <v>312</v>
      </c>
      <c r="W321" s="10" t="s">
        <v>350</v>
      </c>
      <c r="X321" s="10">
        <v>9886970990</v>
      </c>
      <c r="Y321" s="12" t="s">
        <v>257</v>
      </c>
      <c r="Z321" t="str">
        <f t="shared" si="29"/>
        <v>Blacklisted</v>
      </c>
      <c r="AA321" t="str">
        <f t="shared" si="30"/>
        <v>Vikas Mehta</v>
      </c>
      <c r="AB321" t="str">
        <f t="shared" si="31"/>
        <v>Vik005De</v>
      </c>
      <c r="AC321" t="str">
        <f t="shared" si="34"/>
        <v>vikas.mehta@company.com</v>
      </c>
      <c r="AD321">
        <f t="shared" ca="1" si="35"/>
        <v>31</v>
      </c>
      <c r="AE321">
        <f t="shared" si="32"/>
        <v>2</v>
      </c>
      <c r="AF321" t="str">
        <f t="shared" si="33"/>
        <v>On time</v>
      </c>
    </row>
    <row r="322" spans="4:32">
      <c r="D322" s="4" t="s">
        <v>890</v>
      </c>
      <c r="E322" s="5" t="s">
        <v>392</v>
      </c>
      <c r="F322" s="5" t="s">
        <v>330</v>
      </c>
      <c r="G322" s="5" t="s">
        <v>162</v>
      </c>
      <c r="H322" s="6">
        <v>45933</v>
      </c>
      <c r="I322" s="5" t="s">
        <v>323</v>
      </c>
      <c r="J322" s="5" t="s">
        <v>269</v>
      </c>
      <c r="K322" s="5" t="s">
        <v>891</v>
      </c>
      <c r="L322" s="5" t="s">
        <v>342</v>
      </c>
      <c r="M322" s="5" t="s">
        <v>261</v>
      </c>
      <c r="N322" s="5" t="s">
        <v>243</v>
      </c>
      <c r="O322" s="5" t="s">
        <v>333</v>
      </c>
      <c r="P322" s="5">
        <v>14</v>
      </c>
      <c r="Q322" s="5">
        <v>700</v>
      </c>
      <c r="R322" s="5">
        <v>15</v>
      </c>
      <c r="S322" s="5">
        <v>8330</v>
      </c>
      <c r="T322" s="5">
        <v>1</v>
      </c>
      <c r="U322" s="5" t="s">
        <v>272</v>
      </c>
      <c r="V322" s="5" t="s">
        <v>292</v>
      </c>
      <c r="W322" s="5" t="s">
        <v>395</v>
      </c>
      <c r="X322" s="5">
        <v>9106930369</v>
      </c>
      <c r="Y322" s="8" t="s">
        <v>257</v>
      </c>
      <c r="Z322" t="str">
        <f t="shared" si="29"/>
        <v>Blacklisted</v>
      </c>
      <c r="AA322" t="str">
        <f t="shared" si="30"/>
        <v>Amit Sharma</v>
      </c>
      <c r="AB322" t="str">
        <f t="shared" si="31"/>
        <v>Ami001Ja</v>
      </c>
      <c r="AC322" t="str">
        <f t="shared" si="34"/>
        <v>amit.sharma@company.com</v>
      </c>
      <c r="AD322" t="str">
        <f t="shared" ca="1" si="35"/>
        <v/>
      </c>
      <c r="AE322" t="str">
        <f t="shared" si="32"/>
        <v/>
      </c>
      <c r="AF322" t="str">
        <f t="shared" si="33"/>
        <v>Delayed</v>
      </c>
    </row>
    <row r="323" spans="4:32">
      <c r="D323" s="9" t="s">
        <v>892</v>
      </c>
      <c r="E323" s="10" t="s">
        <v>275</v>
      </c>
      <c r="F323" s="10" t="s">
        <v>267</v>
      </c>
      <c r="G323" s="11">
        <v>45722</v>
      </c>
      <c r="H323" s="10" t="s">
        <v>28</v>
      </c>
      <c r="I323" s="10" t="s">
        <v>328</v>
      </c>
      <c r="J323" s="10" t="s">
        <v>269</v>
      </c>
      <c r="K323" s="10" t="s">
        <v>893</v>
      </c>
      <c r="L323" s="10" t="s">
        <v>291</v>
      </c>
      <c r="M323" s="10" t="s">
        <v>287</v>
      </c>
      <c r="N323" s="10" t="s">
        <v>243</v>
      </c>
      <c r="O323" s="10" t="s">
        <v>271</v>
      </c>
      <c r="P323" s="10">
        <v>3</v>
      </c>
      <c r="Q323" s="10">
        <v>1200</v>
      </c>
      <c r="R323" s="10">
        <v>5</v>
      </c>
      <c r="S323" s="10">
        <v>3420</v>
      </c>
      <c r="T323" s="10">
        <v>3</v>
      </c>
      <c r="U323" s="10" t="s">
        <v>245</v>
      </c>
      <c r="V323" s="10" t="s">
        <v>312</v>
      </c>
      <c r="W323" s="10" t="s">
        <v>278</v>
      </c>
      <c r="X323" s="10">
        <v>9342009114</v>
      </c>
      <c r="Y323" s="12" t="s">
        <v>257</v>
      </c>
      <c r="Z323" t="str">
        <f t="shared" ref="Z323:Z386" si="36">IF(OR(T323&lt;=2,Y323="Cancelled"),"Blacklisted",IF(AND(S323&gt;100000,T323&gt;=4,R323&lt;=10%,Y323="Completed"),"Platinum",IF(AND(S323&gt;=50000,T323&gt;=3,Y323="Completed"),"Gold",IF(AND(S323&lt;50000,Y323="Completed"),"Silver",""))))</f>
        <v>Silver</v>
      </c>
      <c r="AA323" t="str">
        <f t="shared" ref="AA323:AA386" si="37">PROPER(TRIM(I323))</f>
        <v>Arjun Rao</v>
      </c>
      <c r="AB323" t="str">
        <f t="shared" ref="AB323:AB386" si="38">LEFT(I323,3)&amp;MID(E323,2,3)&amp;LEFT(L323,2)</f>
        <v>Arj007Pu</v>
      </c>
      <c r="AC323" t="str">
        <f t="shared" si="34"/>
        <v>arjun.rao@company.com</v>
      </c>
      <c r="AD323" t="str">
        <f t="shared" ca="1" si="35"/>
        <v/>
      </c>
      <c r="AE323" t="str">
        <f t="shared" ref="AE323:AE386" si="39">IF(OR(G323="",H323=""),"",IFERROR(DATE(MID(H323,7,4),MID(H323,4,2),LEFT(H323,2))-DATE(MID(G323,7,4),MID(G323,4,2),LEFT(G323,2)),""))</f>
        <v/>
      </c>
      <c r="AF323" t="str">
        <f t="shared" ref="AF323:AF386" si="40">IF(H323="","Pending",IF(AE323&lt;=5,"On time","Delayed"))</f>
        <v>Delayed</v>
      </c>
    </row>
    <row r="324" spans="4:32">
      <c r="D324" s="4" t="s">
        <v>894</v>
      </c>
      <c r="E324" s="5" t="s">
        <v>249</v>
      </c>
      <c r="F324" s="5" t="s">
        <v>267</v>
      </c>
      <c r="G324" s="6">
        <v>45845</v>
      </c>
      <c r="H324" s="5" t="s">
        <v>641</v>
      </c>
      <c r="I324" s="5" t="s">
        <v>251</v>
      </c>
      <c r="J324" s="5" t="s">
        <v>239</v>
      </c>
      <c r="K324" s="5" t="s">
        <v>895</v>
      </c>
      <c r="L324" s="5" t="s">
        <v>306</v>
      </c>
      <c r="M324" s="5" t="s">
        <v>287</v>
      </c>
      <c r="N324" s="5" t="s">
        <v>243</v>
      </c>
      <c r="O324" s="5" t="s">
        <v>271</v>
      </c>
      <c r="P324" s="5">
        <v>9</v>
      </c>
      <c r="Q324" s="5">
        <v>1200</v>
      </c>
      <c r="R324" s="5">
        <v>15</v>
      </c>
      <c r="S324" s="5">
        <v>9180</v>
      </c>
      <c r="T324" s="5">
        <v>3</v>
      </c>
      <c r="U324" s="5" t="s">
        <v>254</v>
      </c>
      <c r="V324" s="5" t="s">
        <v>263</v>
      </c>
      <c r="W324" s="5" t="s">
        <v>264</v>
      </c>
      <c r="X324" s="5">
        <v>9992739960</v>
      </c>
      <c r="Y324" s="8" t="s">
        <v>257</v>
      </c>
      <c r="Z324" t="str">
        <f t="shared" si="36"/>
        <v>Silver</v>
      </c>
      <c r="AA324" t="str">
        <f t="shared" si="37"/>
        <v>Kavya Nair</v>
      </c>
      <c r="AB324" t="str">
        <f t="shared" si="38"/>
        <v>Kav008Ah</v>
      </c>
      <c r="AC324" t="str">
        <f t="shared" ref="AC324:AC387" si="41">IF(ISNUMBER(SEARCH("@",W324)),LOWER(TRIM(W324)),"invalid email")</f>
        <v>kavya.nair@company.com</v>
      </c>
      <c r="AD324" t="str">
        <f t="shared" ca="1" si="35"/>
        <v/>
      </c>
      <c r="AE324" t="str">
        <f t="shared" si="39"/>
        <v/>
      </c>
      <c r="AF324" t="str">
        <f t="shared" si="40"/>
        <v>Delayed</v>
      </c>
    </row>
    <row r="325" spans="4:32">
      <c r="D325" s="9" t="s">
        <v>896</v>
      </c>
      <c r="E325" s="10" t="s">
        <v>358</v>
      </c>
      <c r="F325" s="10" t="s">
        <v>347</v>
      </c>
      <c r="G325" s="10" t="s">
        <v>90</v>
      </c>
      <c r="H325" s="10" t="s">
        <v>407</v>
      </c>
      <c r="I325" s="10" t="s">
        <v>359</v>
      </c>
      <c r="J325" s="10" t="s">
        <v>239</v>
      </c>
      <c r="K325" s="10" t="s">
        <v>897</v>
      </c>
      <c r="L325" s="10" t="s">
        <v>286</v>
      </c>
      <c r="M325" s="10" t="s">
        <v>287</v>
      </c>
      <c r="N325" s="10" t="s">
        <v>295</v>
      </c>
      <c r="O325" s="10" t="s">
        <v>349</v>
      </c>
      <c r="P325" s="10">
        <v>5</v>
      </c>
      <c r="Q325" s="10">
        <v>20</v>
      </c>
      <c r="R325" s="10">
        <v>5</v>
      </c>
      <c r="S325" s="10">
        <v>95</v>
      </c>
      <c r="T325" s="10">
        <v>4</v>
      </c>
      <c r="U325" s="10" t="s">
        <v>254</v>
      </c>
      <c r="V325" s="10" t="s">
        <v>312</v>
      </c>
      <c r="W325" s="10" t="s">
        <v>360</v>
      </c>
      <c r="X325" s="10">
        <v>9241987748</v>
      </c>
      <c r="Y325" s="12" t="s">
        <v>257</v>
      </c>
      <c r="Z325" t="str">
        <f t="shared" si="36"/>
        <v>Silver</v>
      </c>
      <c r="AA325" t="str">
        <f t="shared" si="37"/>
        <v>Sneha Joshi</v>
      </c>
      <c r="AB325" t="str">
        <f t="shared" si="38"/>
        <v>Sne006Mu</v>
      </c>
      <c r="AC325" t="str">
        <f t="shared" si="41"/>
        <v>sneha.joshi@company.com</v>
      </c>
      <c r="AD325" t="str">
        <f t="shared" ref="AD325:AD388" ca="1" si="42">IF(K324="","",IFERROR(DATEDIF(IF(ISNUMBER(K324),K324,DATE(VALUE(RIGHT(K324,4)),VALUE(MID(K324,3,2)),VALUE(LEFT(K324,2)))),TODAY(),"Y"),""))</f>
        <v/>
      </c>
      <c r="AE325">
        <f t="shared" si="39"/>
        <v>1</v>
      </c>
      <c r="AF325" t="str">
        <f t="shared" si="40"/>
        <v>On time</v>
      </c>
    </row>
    <row r="326" spans="4:32">
      <c r="D326" s="4" t="s">
        <v>898</v>
      </c>
      <c r="E326" s="5" t="s">
        <v>358</v>
      </c>
      <c r="F326" s="5" t="s">
        <v>250</v>
      </c>
      <c r="G326" s="6">
        <v>45942</v>
      </c>
      <c r="H326" s="5" t="s">
        <v>899</v>
      </c>
      <c r="I326" s="5" t="s">
        <v>359</v>
      </c>
      <c r="J326" s="5" t="s">
        <v>239</v>
      </c>
      <c r="K326" s="5" t="s">
        <v>900</v>
      </c>
      <c r="L326" s="5" t="s">
        <v>306</v>
      </c>
      <c r="M326" s="5" t="s">
        <v>287</v>
      </c>
      <c r="N326" s="5" t="s">
        <v>15</v>
      </c>
      <c r="O326" s="5" t="s">
        <v>253</v>
      </c>
      <c r="P326" s="5">
        <v>8</v>
      </c>
      <c r="Q326" s="5">
        <v>2200</v>
      </c>
      <c r="R326" s="5">
        <v>10</v>
      </c>
      <c r="S326" s="5">
        <v>15840</v>
      </c>
      <c r="T326" s="5">
        <v>4</v>
      </c>
      <c r="U326" s="5" t="s">
        <v>277</v>
      </c>
      <c r="V326" s="5" t="s">
        <v>246</v>
      </c>
      <c r="W326" s="5" t="s">
        <v>360</v>
      </c>
      <c r="X326" s="5">
        <v>9571990711</v>
      </c>
      <c r="Y326" s="8" t="s">
        <v>265</v>
      </c>
      <c r="Z326" t="str">
        <f t="shared" si="36"/>
        <v>Blacklisted</v>
      </c>
      <c r="AA326" t="str">
        <f t="shared" si="37"/>
        <v>Sneha Joshi</v>
      </c>
      <c r="AB326" t="str">
        <f t="shared" si="38"/>
        <v>Sne006Ah</v>
      </c>
      <c r="AC326" t="str">
        <f t="shared" si="41"/>
        <v>sneha.joshi@company.com</v>
      </c>
      <c r="AD326" t="str">
        <f t="shared" ca="1" si="42"/>
        <v/>
      </c>
      <c r="AE326" t="str">
        <f t="shared" si="39"/>
        <v/>
      </c>
      <c r="AF326" t="str">
        <f t="shared" si="40"/>
        <v>Delayed</v>
      </c>
    </row>
    <row r="327" spans="4:32">
      <c r="D327" s="9" t="s">
        <v>901</v>
      </c>
      <c r="E327" s="10" t="s">
        <v>358</v>
      </c>
      <c r="F327" s="10" t="s">
        <v>330</v>
      </c>
      <c r="G327" s="11">
        <v>46237</v>
      </c>
      <c r="H327" s="11">
        <v>46359</v>
      </c>
      <c r="I327" s="10" t="s">
        <v>359</v>
      </c>
      <c r="J327" s="10" t="s">
        <v>239</v>
      </c>
      <c r="K327" s="11">
        <v>29281</v>
      </c>
      <c r="L327" s="10" t="s">
        <v>286</v>
      </c>
      <c r="M327" s="10" t="s">
        <v>287</v>
      </c>
      <c r="N327" s="10" t="s">
        <v>243</v>
      </c>
      <c r="O327" s="10" t="s">
        <v>333</v>
      </c>
      <c r="P327" s="10">
        <v>10</v>
      </c>
      <c r="Q327" s="10">
        <v>700</v>
      </c>
      <c r="R327" s="10">
        <v>20</v>
      </c>
      <c r="S327" s="10">
        <v>5600</v>
      </c>
      <c r="T327" s="10">
        <v>1</v>
      </c>
      <c r="U327" s="10" t="s">
        <v>277</v>
      </c>
      <c r="V327" s="10" t="s">
        <v>292</v>
      </c>
      <c r="W327" s="10" t="s">
        <v>360</v>
      </c>
      <c r="X327" s="10">
        <v>9219231183</v>
      </c>
      <c r="Y327" s="12" t="s">
        <v>257</v>
      </c>
      <c r="Z327" t="str">
        <f t="shared" si="36"/>
        <v>Blacklisted</v>
      </c>
      <c r="AA327" t="str">
        <f t="shared" si="37"/>
        <v>Sneha Joshi</v>
      </c>
      <c r="AB327" t="str">
        <f t="shared" si="38"/>
        <v>Sne006Mu</v>
      </c>
      <c r="AC327" t="str">
        <f t="shared" si="41"/>
        <v>sneha.joshi@company.com</v>
      </c>
      <c r="AD327" t="str">
        <f t="shared" ca="1" si="42"/>
        <v/>
      </c>
      <c r="AE327" t="str">
        <f t="shared" si="39"/>
        <v/>
      </c>
      <c r="AF327" t="str">
        <f t="shared" si="40"/>
        <v>Delayed</v>
      </c>
    </row>
    <row r="328" spans="4:32">
      <c r="D328" s="4" t="s">
        <v>902</v>
      </c>
      <c r="E328" s="5" t="s">
        <v>275</v>
      </c>
      <c r="F328" s="5" t="s">
        <v>330</v>
      </c>
      <c r="G328" s="5" t="s">
        <v>147</v>
      </c>
      <c r="H328" s="5" t="s">
        <v>903</v>
      </c>
      <c r="I328" s="5" t="s">
        <v>328</v>
      </c>
      <c r="J328" s="5" t="s">
        <v>269</v>
      </c>
      <c r="K328" s="6">
        <v>28703</v>
      </c>
      <c r="L328" s="5" t="s">
        <v>241</v>
      </c>
      <c r="M328" s="5" t="s">
        <v>242</v>
      </c>
      <c r="N328" s="5" t="s">
        <v>243</v>
      </c>
      <c r="O328" s="5" t="s">
        <v>333</v>
      </c>
      <c r="P328" s="5">
        <v>2</v>
      </c>
      <c r="Q328" s="5">
        <v>700</v>
      </c>
      <c r="R328" s="5">
        <v>20</v>
      </c>
      <c r="S328" s="5">
        <v>1120</v>
      </c>
      <c r="T328" s="5">
        <v>2</v>
      </c>
      <c r="U328" s="5" t="s">
        <v>254</v>
      </c>
      <c r="V328" s="5" t="s">
        <v>292</v>
      </c>
      <c r="W328" s="5" t="s">
        <v>278</v>
      </c>
      <c r="X328" s="5">
        <v>9847386174</v>
      </c>
      <c r="Y328" s="8" t="s">
        <v>248</v>
      </c>
      <c r="Z328" t="str">
        <f t="shared" si="36"/>
        <v>Blacklisted</v>
      </c>
      <c r="AA328" t="str">
        <f t="shared" si="37"/>
        <v>Arjun Rao</v>
      </c>
      <c r="AB328" t="str">
        <f t="shared" si="38"/>
        <v>Arj007Be</v>
      </c>
      <c r="AC328" t="str">
        <f t="shared" si="41"/>
        <v>arjun.rao@company.com</v>
      </c>
      <c r="AD328">
        <f t="shared" ca="1" si="42"/>
        <v>46</v>
      </c>
      <c r="AE328">
        <f t="shared" si="39"/>
        <v>3</v>
      </c>
      <c r="AF328" t="str">
        <f t="shared" si="40"/>
        <v>On time</v>
      </c>
    </row>
    <row r="329" spans="4:32">
      <c r="D329" s="9" t="s">
        <v>904</v>
      </c>
      <c r="E329" s="10" t="s">
        <v>346</v>
      </c>
      <c r="F329" s="10" t="s">
        <v>280</v>
      </c>
      <c r="G329" s="10" t="s">
        <v>80</v>
      </c>
      <c r="H329" s="10" t="s">
        <v>661</v>
      </c>
      <c r="I329" s="10" t="s">
        <v>348</v>
      </c>
      <c r="J329" s="10" t="s">
        <v>269</v>
      </c>
      <c r="K329" s="11">
        <v>33732</v>
      </c>
      <c r="L329" s="10" t="s">
        <v>291</v>
      </c>
      <c r="M329" s="10" t="s">
        <v>287</v>
      </c>
      <c r="N329" s="10" t="s">
        <v>15</v>
      </c>
      <c r="O329" s="10" t="s">
        <v>282</v>
      </c>
      <c r="P329" s="10">
        <v>16</v>
      </c>
      <c r="Q329" s="10">
        <v>3500</v>
      </c>
      <c r="R329" s="10">
        <v>20</v>
      </c>
      <c r="S329" s="10">
        <v>44800</v>
      </c>
      <c r="T329" s="10">
        <v>2</v>
      </c>
      <c r="U329" s="10" t="s">
        <v>277</v>
      </c>
      <c r="V329" s="10" t="s">
        <v>255</v>
      </c>
      <c r="W329" s="10" t="s">
        <v>350</v>
      </c>
      <c r="X329" s="10">
        <v>9941274924</v>
      </c>
      <c r="Y329" s="12" t="s">
        <v>248</v>
      </c>
      <c r="Z329" t="str">
        <f t="shared" si="36"/>
        <v>Blacklisted</v>
      </c>
      <c r="AA329" t="str">
        <f t="shared" si="37"/>
        <v>Vikas Mehta</v>
      </c>
      <c r="AB329" t="str">
        <f t="shared" si="38"/>
        <v>Vik005Pu</v>
      </c>
      <c r="AC329" t="str">
        <f t="shared" si="41"/>
        <v>vikas.mehta@company.com</v>
      </c>
      <c r="AD329">
        <f t="shared" ca="1" si="42"/>
        <v>48</v>
      </c>
      <c r="AE329">
        <f t="shared" si="39"/>
        <v>9</v>
      </c>
      <c r="AF329" t="str">
        <f t="shared" si="40"/>
        <v>Delayed</v>
      </c>
    </row>
    <row r="330" spans="4:32">
      <c r="D330" s="4" t="s">
        <v>905</v>
      </c>
      <c r="E330" s="5" t="s">
        <v>321</v>
      </c>
      <c r="F330" s="5" t="s">
        <v>280</v>
      </c>
      <c r="G330" s="5" t="s">
        <v>114</v>
      </c>
      <c r="H330" s="6">
        <v>45665</v>
      </c>
      <c r="I330" s="5" t="s">
        <v>408</v>
      </c>
      <c r="J330" s="5" t="s">
        <v>239</v>
      </c>
      <c r="K330" s="5" t="s">
        <v>906</v>
      </c>
      <c r="L330" s="5" t="s">
        <v>260</v>
      </c>
      <c r="M330" s="5" t="s">
        <v>261</v>
      </c>
      <c r="N330" s="5" t="s">
        <v>15</v>
      </c>
      <c r="O330" s="5" t="s">
        <v>282</v>
      </c>
      <c r="P330" s="5">
        <v>9</v>
      </c>
      <c r="Q330" s="5">
        <v>3500</v>
      </c>
      <c r="R330" s="5">
        <v>20</v>
      </c>
      <c r="S330" s="5">
        <v>25200</v>
      </c>
      <c r="T330" s="5">
        <v>1</v>
      </c>
      <c r="U330" s="5" t="s">
        <v>272</v>
      </c>
      <c r="V330" s="5" t="s">
        <v>263</v>
      </c>
      <c r="W330" s="5" t="s">
        <v>326</v>
      </c>
      <c r="X330" s="5">
        <v>9950650508</v>
      </c>
      <c r="Y330" s="8" t="s">
        <v>265</v>
      </c>
      <c r="Z330" t="str">
        <f t="shared" si="36"/>
        <v>Blacklisted</v>
      </c>
      <c r="AA330" t="str">
        <f t="shared" si="37"/>
        <v>Anita Gupta</v>
      </c>
      <c r="AB330" t="str">
        <f t="shared" si="38"/>
        <v>Ani004De</v>
      </c>
      <c r="AC330" t="str">
        <f t="shared" si="41"/>
        <v>anita.gupta@company.com</v>
      </c>
      <c r="AD330">
        <f t="shared" ca="1" si="42"/>
        <v>34</v>
      </c>
      <c r="AE330" t="str">
        <f t="shared" si="39"/>
        <v/>
      </c>
      <c r="AF330" t="str">
        <f t="shared" si="40"/>
        <v>Delayed</v>
      </c>
    </row>
    <row r="331" spans="4:32">
      <c r="D331" s="9" t="s">
        <v>907</v>
      </c>
      <c r="E331" s="10" t="s">
        <v>299</v>
      </c>
      <c r="F331" s="10" t="s">
        <v>330</v>
      </c>
      <c r="G331" s="10" t="s">
        <v>191</v>
      </c>
      <c r="H331" s="10" t="s">
        <v>200</v>
      </c>
      <c r="I331" s="10" t="s">
        <v>301</v>
      </c>
      <c r="J331" s="10" t="s">
        <v>269</v>
      </c>
      <c r="K331" s="11">
        <v>37803</v>
      </c>
      <c r="L331" s="10" t="s">
        <v>252</v>
      </c>
      <c r="M331" s="10" t="s">
        <v>242</v>
      </c>
      <c r="N331" s="10" t="s">
        <v>243</v>
      </c>
      <c r="O331" s="10" t="s">
        <v>333</v>
      </c>
      <c r="P331" s="10">
        <v>15</v>
      </c>
      <c r="Q331" s="10">
        <v>700</v>
      </c>
      <c r="R331" s="10">
        <v>5</v>
      </c>
      <c r="S331" s="10">
        <v>9975</v>
      </c>
      <c r="T331" s="10">
        <v>1</v>
      </c>
      <c r="U331" s="10" t="s">
        <v>254</v>
      </c>
      <c r="V331" s="10" t="s">
        <v>263</v>
      </c>
      <c r="W331" s="10" t="s">
        <v>302</v>
      </c>
      <c r="X331" s="10">
        <v>9464035549</v>
      </c>
      <c r="Y331" s="12" t="s">
        <v>265</v>
      </c>
      <c r="Z331" t="str">
        <f t="shared" si="36"/>
        <v>Blacklisted</v>
      </c>
      <c r="AA331" t="str">
        <f t="shared" si="37"/>
        <v>Rohit Singh</v>
      </c>
      <c r="AB331" t="str">
        <f t="shared" si="38"/>
        <v>Roh003Hy</v>
      </c>
      <c r="AC331" t="str">
        <f t="shared" si="41"/>
        <v>rohit.singh@company.com</v>
      </c>
      <c r="AD331" t="str">
        <f t="shared" ca="1" si="42"/>
        <v/>
      </c>
      <c r="AE331">
        <f t="shared" si="39"/>
        <v>1</v>
      </c>
      <c r="AF331" t="str">
        <f t="shared" si="40"/>
        <v>On time</v>
      </c>
    </row>
    <row r="332" spans="4:32">
      <c r="D332" s="4" t="s">
        <v>908</v>
      </c>
      <c r="E332" s="5" t="s">
        <v>235</v>
      </c>
      <c r="F332" s="5" t="s">
        <v>267</v>
      </c>
      <c r="G332" s="6">
        <v>46145</v>
      </c>
      <c r="H332" s="6">
        <v>46298</v>
      </c>
      <c r="I332" s="5" t="s">
        <v>318</v>
      </c>
      <c r="J332" s="5" t="s">
        <v>239</v>
      </c>
      <c r="K332" s="6">
        <v>34215</v>
      </c>
      <c r="L332" s="5" t="s">
        <v>306</v>
      </c>
      <c r="M332" s="5" t="s">
        <v>287</v>
      </c>
      <c r="N332" s="5" t="s">
        <v>243</v>
      </c>
      <c r="O332" s="5" t="s">
        <v>271</v>
      </c>
      <c r="P332" s="5">
        <v>13</v>
      </c>
      <c r="Q332" s="5">
        <v>1200</v>
      </c>
      <c r="R332" s="5">
        <v>0</v>
      </c>
      <c r="S332" s="5">
        <v>15600</v>
      </c>
      <c r="T332" s="5">
        <v>3</v>
      </c>
      <c r="U332" s="5" t="s">
        <v>245</v>
      </c>
      <c r="V332" s="5" t="s">
        <v>292</v>
      </c>
      <c r="W332" s="5" t="s">
        <v>247</v>
      </c>
      <c r="X332" s="5">
        <v>9142334315</v>
      </c>
      <c r="Y332" s="8" t="s">
        <v>265</v>
      </c>
      <c r="Z332" t="str">
        <f t="shared" si="36"/>
        <v>Blacklisted</v>
      </c>
      <c r="AA332" t="str">
        <f t="shared" si="37"/>
        <v>Pooja Shah</v>
      </c>
      <c r="AB332" t="str">
        <f t="shared" si="38"/>
        <v>Poo010Ah</v>
      </c>
      <c r="AC332" t="str">
        <f t="shared" si="41"/>
        <v>pooja.shah@company.com</v>
      </c>
      <c r="AD332">
        <f t="shared" ca="1" si="42"/>
        <v>23</v>
      </c>
      <c r="AE332" t="str">
        <f t="shared" si="39"/>
        <v/>
      </c>
      <c r="AF332" t="str">
        <f t="shared" si="40"/>
        <v>Delayed</v>
      </c>
    </row>
    <row r="333" spans="4:32">
      <c r="D333" s="9" t="s">
        <v>909</v>
      </c>
      <c r="E333" s="10" t="s">
        <v>392</v>
      </c>
      <c r="F333" s="10" t="s">
        <v>258</v>
      </c>
      <c r="G333" s="10" t="s">
        <v>158</v>
      </c>
      <c r="H333" s="11">
        <v>45847</v>
      </c>
      <c r="I333" s="10" t="s">
        <v>323</v>
      </c>
      <c r="J333" s="10" t="s">
        <v>269</v>
      </c>
      <c r="K333" s="11">
        <v>34034</v>
      </c>
      <c r="L333" s="10" t="s">
        <v>260</v>
      </c>
      <c r="M333" s="10" t="s">
        <v>261</v>
      </c>
      <c r="N333" s="10" t="s">
        <v>243</v>
      </c>
      <c r="O333" s="10" t="s">
        <v>262</v>
      </c>
      <c r="P333" s="10">
        <v>5</v>
      </c>
      <c r="Q333" s="10">
        <v>12000</v>
      </c>
      <c r="R333" s="10">
        <v>10</v>
      </c>
      <c r="S333" s="10">
        <v>54000</v>
      </c>
      <c r="T333" s="10">
        <v>3</v>
      </c>
      <c r="U333" s="10" t="s">
        <v>277</v>
      </c>
      <c r="V333" s="10" t="s">
        <v>263</v>
      </c>
      <c r="W333" s="10" t="s">
        <v>395</v>
      </c>
      <c r="X333" s="10">
        <v>9123961962</v>
      </c>
      <c r="Y333" s="12" t="s">
        <v>257</v>
      </c>
      <c r="Z333" t="str">
        <f t="shared" si="36"/>
        <v>Gold</v>
      </c>
      <c r="AA333" t="str">
        <f t="shared" si="37"/>
        <v>Amit Sharma</v>
      </c>
      <c r="AB333" t="str">
        <f t="shared" si="38"/>
        <v>Ami001De</v>
      </c>
      <c r="AC333" t="str">
        <f t="shared" si="41"/>
        <v>amit.sharma@company.com</v>
      </c>
      <c r="AD333">
        <f t="shared" ca="1" si="42"/>
        <v>33</v>
      </c>
      <c r="AE333" t="str">
        <f t="shared" si="39"/>
        <v/>
      </c>
      <c r="AF333" t="str">
        <f t="shared" si="40"/>
        <v>Delayed</v>
      </c>
    </row>
    <row r="334" spans="4:32">
      <c r="D334" s="4" t="s">
        <v>910</v>
      </c>
      <c r="E334" s="5" t="s">
        <v>235</v>
      </c>
      <c r="F334" s="5" t="s">
        <v>362</v>
      </c>
      <c r="G334" s="6">
        <v>45781</v>
      </c>
      <c r="H334" s="6">
        <v>45873</v>
      </c>
      <c r="I334" s="5" t="s">
        <v>318</v>
      </c>
      <c r="J334" s="5" t="s">
        <v>239</v>
      </c>
      <c r="K334" s="6">
        <v>36445</v>
      </c>
      <c r="L334" s="5" t="s">
        <v>241</v>
      </c>
      <c r="M334" s="5" t="s">
        <v>242</v>
      </c>
      <c r="N334" s="5" t="s">
        <v>295</v>
      </c>
      <c r="O334" s="5" t="s">
        <v>363</v>
      </c>
      <c r="P334" s="5">
        <v>12</v>
      </c>
      <c r="Q334" s="5">
        <v>45</v>
      </c>
      <c r="R334" s="5">
        <v>20</v>
      </c>
      <c r="S334" s="5">
        <v>432</v>
      </c>
      <c r="T334" s="5">
        <v>3</v>
      </c>
      <c r="U334" s="5" t="s">
        <v>245</v>
      </c>
      <c r="V334" s="5" t="s">
        <v>246</v>
      </c>
      <c r="W334" s="5" t="s">
        <v>247</v>
      </c>
      <c r="X334" s="5">
        <v>9741953402</v>
      </c>
      <c r="Y334" s="8" t="s">
        <v>257</v>
      </c>
      <c r="Z334" t="str">
        <f t="shared" si="36"/>
        <v>Silver</v>
      </c>
      <c r="AA334" t="str">
        <f t="shared" si="37"/>
        <v>Pooja Shah</v>
      </c>
      <c r="AB334" t="str">
        <f t="shared" si="38"/>
        <v>Poo010Be</v>
      </c>
      <c r="AC334" t="str">
        <f t="shared" si="41"/>
        <v>pooja.shah@company.com</v>
      </c>
      <c r="AD334">
        <f t="shared" ca="1" si="42"/>
        <v>33</v>
      </c>
      <c r="AE334" t="str">
        <f t="shared" si="39"/>
        <v/>
      </c>
      <c r="AF334" t="str">
        <f t="shared" si="40"/>
        <v>Delayed</v>
      </c>
    </row>
    <row r="335" spans="4:32">
      <c r="D335" s="9" t="s">
        <v>911</v>
      </c>
      <c r="E335" s="10" t="s">
        <v>249</v>
      </c>
      <c r="F335" s="10" t="s">
        <v>280</v>
      </c>
      <c r="G335" s="11">
        <v>45904</v>
      </c>
      <c r="H335" s="10" t="s">
        <v>536</v>
      </c>
      <c r="I335" s="10" t="s">
        <v>251</v>
      </c>
      <c r="J335" s="10" t="s">
        <v>239</v>
      </c>
      <c r="K335" s="11">
        <v>27917</v>
      </c>
      <c r="L335" s="10" t="s">
        <v>241</v>
      </c>
      <c r="M335" s="10" t="s">
        <v>242</v>
      </c>
      <c r="N335" s="10" t="s">
        <v>15</v>
      </c>
      <c r="O335" s="10" t="s">
        <v>282</v>
      </c>
      <c r="P335" s="10">
        <v>2</v>
      </c>
      <c r="Q335" s="10">
        <v>3500</v>
      </c>
      <c r="R335" s="10">
        <v>0</v>
      </c>
      <c r="S335" s="10">
        <v>7000</v>
      </c>
      <c r="T335" s="10">
        <v>1</v>
      </c>
      <c r="U335" s="10" t="s">
        <v>245</v>
      </c>
      <c r="V335" s="10" t="s">
        <v>292</v>
      </c>
      <c r="W335" s="10" t="s">
        <v>264</v>
      </c>
      <c r="X335" s="10">
        <v>9404733633</v>
      </c>
      <c r="Y335" s="12" t="s">
        <v>248</v>
      </c>
      <c r="Z335" t="str">
        <f t="shared" si="36"/>
        <v>Blacklisted</v>
      </c>
      <c r="AA335" t="str">
        <f t="shared" si="37"/>
        <v>Kavya Nair</v>
      </c>
      <c r="AB335" t="str">
        <f t="shared" si="38"/>
        <v>Kav008Be</v>
      </c>
      <c r="AC335" t="str">
        <f t="shared" si="41"/>
        <v>kavya.nair@company.com</v>
      </c>
      <c r="AD335">
        <f t="shared" ca="1" si="42"/>
        <v>27</v>
      </c>
      <c r="AE335" t="str">
        <f t="shared" si="39"/>
        <v/>
      </c>
      <c r="AF335" t="str">
        <f t="shared" si="40"/>
        <v>Delayed</v>
      </c>
    </row>
    <row r="336" spans="4:32">
      <c r="D336" s="4" t="s">
        <v>912</v>
      </c>
      <c r="E336" s="5" t="s">
        <v>249</v>
      </c>
      <c r="F336" s="5" t="s">
        <v>250</v>
      </c>
      <c r="G336" s="5" t="s">
        <v>16</v>
      </c>
      <c r="H336" s="5" t="s">
        <v>47</v>
      </c>
      <c r="I336" s="5" t="s">
        <v>251</v>
      </c>
      <c r="J336" s="5" t="s">
        <v>239</v>
      </c>
      <c r="K336" s="5" t="s">
        <v>913</v>
      </c>
      <c r="L336" s="5" t="s">
        <v>291</v>
      </c>
      <c r="M336" s="5" t="s">
        <v>287</v>
      </c>
      <c r="N336" s="5" t="s">
        <v>15</v>
      </c>
      <c r="O336" s="5" t="s">
        <v>253</v>
      </c>
      <c r="P336" s="5">
        <v>15</v>
      </c>
      <c r="Q336" s="5">
        <v>2200</v>
      </c>
      <c r="R336" s="5">
        <v>15</v>
      </c>
      <c r="S336" s="5">
        <v>28050</v>
      </c>
      <c r="T336" s="5">
        <v>2</v>
      </c>
      <c r="U336" s="5" t="s">
        <v>245</v>
      </c>
      <c r="V336" s="5" t="s">
        <v>263</v>
      </c>
      <c r="W336" s="5" t="s">
        <v>264</v>
      </c>
      <c r="X336" s="5">
        <v>9297492337</v>
      </c>
      <c r="Y336" s="8" t="s">
        <v>248</v>
      </c>
      <c r="Z336" t="str">
        <f t="shared" si="36"/>
        <v>Blacklisted</v>
      </c>
      <c r="AA336" t="str">
        <f t="shared" si="37"/>
        <v>Kavya Nair</v>
      </c>
      <c r="AB336" t="str">
        <f t="shared" si="38"/>
        <v>Kav008Pu</v>
      </c>
      <c r="AC336" t="str">
        <f t="shared" si="41"/>
        <v>kavya.nair@company.com</v>
      </c>
      <c r="AD336">
        <f t="shared" ca="1" si="42"/>
        <v>50</v>
      </c>
      <c r="AE336">
        <f t="shared" si="39"/>
        <v>3</v>
      </c>
      <c r="AF336" t="str">
        <f t="shared" si="40"/>
        <v>On time</v>
      </c>
    </row>
    <row r="337" spans="4:32">
      <c r="D337" s="9" t="s">
        <v>914</v>
      </c>
      <c r="E337" s="10" t="s">
        <v>284</v>
      </c>
      <c r="F337" s="10" t="s">
        <v>347</v>
      </c>
      <c r="G337" s="11">
        <v>45759</v>
      </c>
      <c r="H337" s="11">
        <v>46003</v>
      </c>
      <c r="I337" s="10" t="s">
        <v>285</v>
      </c>
      <c r="J337" s="10" t="s">
        <v>239</v>
      </c>
      <c r="K337" s="10" t="s">
        <v>915</v>
      </c>
      <c r="L337" s="10" t="s">
        <v>306</v>
      </c>
      <c r="M337" s="10" t="s">
        <v>287</v>
      </c>
      <c r="N337" s="10" t="s">
        <v>295</v>
      </c>
      <c r="O337" s="10" t="s">
        <v>349</v>
      </c>
      <c r="P337" s="10">
        <v>8</v>
      </c>
      <c r="Q337" s="10">
        <v>20</v>
      </c>
      <c r="R337" s="10">
        <v>20</v>
      </c>
      <c r="S337" s="10">
        <v>128</v>
      </c>
      <c r="T337" s="10">
        <v>5</v>
      </c>
      <c r="U337" s="10" t="s">
        <v>277</v>
      </c>
      <c r="V337" s="10" t="s">
        <v>263</v>
      </c>
      <c r="W337" s="10" t="s">
        <v>308</v>
      </c>
      <c r="X337" s="10">
        <v>9350338928</v>
      </c>
      <c r="Y337" s="12" t="s">
        <v>257</v>
      </c>
      <c r="Z337" t="str">
        <f t="shared" si="36"/>
        <v>Silver</v>
      </c>
      <c r="AA337" t="str">
        <f t="shared" si="37"/>
        <v>Priya Patel</v>
      </c>
      <c r="AB337" t="str">
        <f t="shared" si="38"/>
        <v>Pri002Ah</v>
      </c>
      <c r="AC337" t="str">
        <f t="shared" si="41"/>
        <v>priya.patel@company.com</v>
      </c>
      <c r="AD337" t="str">
        <f t="shared" ca="1" si="42"/>
        <v/>
      </c>
      <c r="AE337" t="str">
        <f t="shared" si="39"/>
        <v/>
      </c>
      <c r="AF337" t="str">
        <f t="shared" si="40"/>
        <v>Delayed</v>
      </c>
    </row>
    <row r="338" spans="4:32">
      <c r="D338" s="4" t="s">
        <v>916</v>
      </c>
      <c r="E338" s="5" t="s">
        <v>299</v>
      </c>
      <c r="F338" s="5" t="s">
        <v>347</v>
      </c>
      <c r="G338" s="6">
        <v>46237</v>
      </c>
      <c r="H338" s="6">
        <v>46298</v>
      </c>
      <c r="I338" s="5" t="s">
        <v>301</v>
      </c>
      <c r="J338" s="5" t="s">
        <v>269</v>
      </c>
      <c r="K338" s="5" t="s">
        <v>917</v>
      </c>
      <c r="L338" s="5" t="s">
        <v>252</v>
      </c>
      <c r="M338" s="5" t="s">
        <v>242</v>
      </c>
      <c r="N338" s="5" t="s">
        <v>295</v>
      </c>
      <c r="O338" s="5" t="s">
        <v>349</v>
      </c>
      <c r="P338" s="5">
        <v>1</v>
      </c>
      <c r="Q338" s="5">
        <v>20</v>
      </c>
      <c r="R338" s="5">
        <v>0</v>
      </c>
      <c r="S338" s="5">
        <v>20</v>
      </c>
      <c r="T338" s="5">
        <v>3</v>
      </c>
      <c r="U338" s="5" t="s">
        <v>277</v>
      </c>
      <c r="V338" s="5" t="s">
        <v>255</v>
      </c>
      <c r="W338" s="5" t="s">
        <v>302</v>
      </c>
      <c r="X338" s="5">
        <v>9933894798</v>
      </c>
      <c r="Y338" s="8" t="s">
        <v>257</v>
      </c>
      <c r="Z338" t="str">
        <f t="shared" si="36"/>
        <v>Silver</v>
      </c>
      <c r="AA338" t="str">
        <f t="shared" si="37"/>
        <v>Rohit Singh</v>
      </c>
      <c r="AB338" t="str">
        <f t="shared" si="38"/>
        <v>Roh003Hy</v>
      </c>
      <c r="AC338" t="str">
        <f t="shared" si="41"/>
        <v>rohit.singh@company.com</v>
      </c>
      <c r="AD338" t="str">
        <f t="shared" ca="1" si="42"/>
        <v/>
      </c>
      <c r="AE338" t="str">
        <f t="shared" si="39"/>
        <v/>
      </c>
      <c r="AF338" t="str">
        <f t="shared" si="40"/>
        <v>Delayed</v>
      </c>
    </row>
    <row r="339" spans="4:32">
      <c r="D339" s="9" t="s">
        <v>918</v>
      </c>
      <c r="E339" s="10" t="s">
        <v>249</v>
      </c>
      <c r="F339" s="10" t="s">
        <v>330</v>
      </c>
      <c r="G339" s="11">
        <v>46143</v>
      </c>
      <c r="H339" s="10" t="s">
        <v>41</v>
      </c>
      <c r="I339" s="10" t="s">
        <v>251</v>
      </c>
      <c r="J339" s="10" t="s">
        <v>239</v>
      </c>
      <c r="K339" s="10" t="s">
        <v>919</v>
      </c>
      <c r="L339" s="10" t="s">
        <v>342</v>
      </c>
      <c r="M339" s="10" t="s">
        <v>261</v>
      </c>
      <c r="N339" s="10" t="s">
        <v>243</v>
      </c>
      <c r="O339" s="10" t="s">
        <v>333</v>
      </c>
      <c r="P339" s="10">
        <v>15</v>
      </c>
      <c r="Q339" s="10">
        <v>700</v>
      </c>
      <c r="R339" s="10">
        <v>0</v>
      </c>
      <c r="S339" s="10">
        <v>10500</v>
      </c>
      <c r="T339" s="10">
        <v>2</v>
      </c>
      <c r="U339" s="10" t="s">
        <v>277</v>
      </c>
      <c r="V339" s="10" t="s">
        <v>263</v>
      </c>
      <c r="W339" s="10" t="s">
        <v>264</v>
      </c>
      <c r="X339" s="10">
        <v>9705218824</v>
      </c>
      <c r="Y339" s="12" t="s">
        <v>257</v>
      </c>
      <c r="Z339" t="str">
        <f t="shared" si="36"/>
        <v>Blacklisted</v>
      </c>
      <c r="AA339" t="str">
        <f t="shared" si="37"/>
        <v>Kavya Nair</v>
      </c>
      <c r="AB339" t="str">
        <f t="shared" si="38"/>
        <v>Kav008Ja</v>
      </c>
      <c r="AC339" t="str">
        <f t="shared" si="41"/>
        <v>kavya.nair@company.com</v>
      </c>
      <c r="AD339" t="str">
        <f t="shared" ca="1" si="42"/>
        <v/>
      </c>
      <c r="AE339" t="str">
        <f t="shared" si="39"/>
        <v/>
      </c>
      <c r="AF339" t="str">
        <f t="shared" si="40"/>
        <v>Delayed</v>
      </c>
    </row>
    <row r="340" spans="4:32">
      <c r="D340" s="4" t="s">
        <v>920</v>
      </c>
      <c r="E340" s="5" t="s">
        <v>392</v>
      </c>
      <c r="F340" s="5" t="s">
        <v>280</v>
      </c>
      <c r="G340" s="6">
        <v>45840</v>
      </c>
      <c r="H340" s="6">
        <v>45932</v>
      </c>
      <c r="I340" s="5" t="s">
        <v>323</v>
      </c>
      <c r="J340" s="5" t="s">
        <v>269</v>
      </c>
      <c r="K340" s="6">
        <v>30529</v>
      </c>
      <c r="L340" s="5" t="s">
        <v>252</v>
      </c>
      <c r="M340" s="5" t="s">
        <v>242</v>
      </c>
      <c r="N340" s="5" t="s">
        <v>15</v>
      </c>
      <c r="O340" s="5" t="s">
        <v>282</v>
      </c>
      <c r="P340" s="5">
        <v>15</v>
      </c>
      <c r="Q340" s="5">
        <v>3500</v>
      </c>
      <c r="R340" s="5">
        <v>10</v>
      </c>
      <c r="S340" s="5">
        <v>47250</v>
      </c>
      <c r="T340" s="5">
        <v>3</v>
      </c>
      <c r="U340" s="5" t="s">
        <v>254</v>
      </c>
      <c r="V340" s="5" t="s">
        <v>312</v>
      </c>
      <c r="W340" s="5" t="s">
        <v>395</v>
      </c>
      <c r="X340" s="5">
        <v>9229164453</v>
      </c>
      <c r="Y340" s="8" t="s">
        <v>248</v>
      </c>
      <c r="Z340" t="str">
        <f t="shared" si="36"/>
        <v/>
      </c>
      <c r="AA340" t="str">
        <f t="shared" si="37"/>
        <v>Amit Sharma</v>
      </c>
      <c r="AB340" t="str">
        <f t="shared" si="38"/>
        <v>Ami001Hy</v>
      </c>
      <c r="AC340" t="str">
        <f t="shared" si="41"/>
        <v>amit.sharma@company.com</v>
      </c>
      <c r="AD340" t="str">
        <f t="shared" ca="1" si="42"/>
        <v/>
      </c>
      <c r="AE340" t="str">
        <f t="shared" si="39"/>
        <v/>
      </c>
      <c r="AF340" t="str">
        <f t="shared" si="40"/>
        <v>Delayed</v>
      </c>
    </row>
    <row r="341" spans="4:32">
      <c r="D341" s="9" t="s">
        <v>921</v>
      </c>
      <c r="E341" s="10" t="s">
        <v>249</v>
      </c>
      <c r="F341" s="10" t="s">
        <v>294</v>
      </c>
      <c r="G341" s="10" t="s">
        <v>180</v>
      </c>
      <c r="H341" s="11">
        <v>45846</v>
      </c>
      <c r="I341" s="10" t="s">
        <v>251</v>
      </c>
      <c r="J341" s="10" t="s">
        <v>239</v>
      </c>
      <c r="K341" s="10" t="s">
        <v>922</v>
      </c>
      <c r="L341" s="10" t="s">
        <v>379</v>
      </c>
      <c r="M341" s="10" t="s">
        <v>21</v>
      </c>
      <c r="N341" s="10" t="s">
        <v>295</v>
      </c>
      <c r="O341" s="10" t="s">
        <v>296</v>
      </c>
      <c r="P341" s="10">
        <v>16</v>
      </c>
      <c r="Q341" s="10">
        <v>60</v>
      </c>
      <c r="R341" s="10">
        <v>10</v>
      </c>
      <c r="S341" s="10">
        <v>864</v>
      </c>
      <c r="T341" s="10">
        <v>4</v>
      </c>
      <c r="U341" s="10" t="s">
        <v>272</v>
      </c>
      <c r="V341" s="10" t="s">
        <v>246</v>
      </c>
      <c r="W341" s="10" t="s">
        <v>264</v>
      </c>
      <c r="X341" s="10">
        <v>9219806176</v>
      </c>
      <c r="Y341" s="12" t="s">
        <v>257</v>
      </c>
      <c r="Z341" t="str">
        <f t="shared" si="36"/>
        <v>Silver</v>
      </c>
      <c r="AA341" t="str">
        <f t="shared" si="37"/>
        <v>Kavya Nair</v>
      </c>
      <c r="AB341" t="str">
        <f t="shared" si="38"/>
        <v>Kav008Ko</v>
      </c>
      <c r="AC341" t="str">
        <f t="shared" si="41"/>
        <v>kavya.nair@company.com</v>
      </c>
      <c r="AD341">
        <f t="shared" ca="1" si="42"/>
        <v>43</v>
      </c>
      <c r="AE341" t="str">
        <f t="shared" si="39"/>
        <v/>
      </c>
      <c r="AF341" t="str">
        <f t="shared" si="40"/>
        <v>Delayed</v>
      </c>
    </row>
    <row r="342" spans="4:32">
      <c r="D342" s="4" t="s">
        <v>923</v>
      </c>
      <c r="E342" s="5" t="s">
        <v>299</v>
      </c>
      <c r="F342" s="5" t="s">
        <v>362</v>
      </c>
      <c r="G342" s="5" t="s">
        <v>37</v>
      </c>
      <c r="H342" s="5" t="s">
        <v>105</v>
      </c>
      <c r="I342" s="5" t="s">
        <v>301</v>
      </c>
      <c r="J342" s="5" t="s">
        <v>269</v>
      </c>
      <c r="K342" s="5" t="s">
        <v>924</v>
      </c>
      <c r="L342" s="5" t="s">
        <v>260</v>
      </c>
      <c r="M342" s="5" t="s">
        <v>261</v>
      </c>
      <c r="N342" s="5" t="s">
        <v>295</v>
      </c>
      <c r="O342" s="5" t="s">
        <v>363</v>
      </c>
      <c r="P342" s="5">
        <v>2</v>
      </c>
      <c r="Q342" s="5">
        <v>45</v>
      </c>
      <c r="R342" s="5">
        <v>15</v>
      </c>
      <c r="S342" s="5">
        <v>76.5</v>
      </c>
      <c r="T342" s="5">
        <v>1</v>
      </c>
      <c r="U342" s="5" t="s">
        <v>277</v>
      </c>
      <c r="V342" s="5" t="s">
        <v>312</v>
      </c>
      <c r="W342" s="5" t="s">
        <v>302</v>
      </c>
      <c r="X342" s="5">
        <v>9630210250</v>
      </c>
      <c r="Y342" s="8" t="s">
        <v>265</v>
      </c>
      <c r="Z342" t="str">
        <f t="shared" si="36"/>
        <v>Blacklisted</v>
      </c>
      <c r="AA342" t="str">
        <f t="shared" si="37"/>
        <v>Rohit Singh</v>
      </c>
      <c r="AB342" t="str">
        <f t="shared" si="38"/>
        <v>Roh003De</v>
      </c>
      <c r="AC342" t="str">
        <f t="shared" si="41"/>
        <v>rohit.singh@company.com</v>
      </c>
      <c r="AD342" t="str">
        <f t="shared" ca="1" si="42"/>
        <v/>
      </c>
      <c r="AE342">
        <f t="shared" si="39"/>
        <v>6</v>
      </c>
      <c r="AF342" t="str">
        <f t="shared" si="40"/>
        <v>Delayed</v>
      </c>
    </row>
    <row r="343" spans="4:32">
      <c r="D343" s="9" t="s">
        <v>925</v>
      </c>
      <c r="E343" s="10" t="s">
        <v>321</v>
      </c>
      <c r="F343" s="10" t="s">
        <v>294</v>
      </c>
      <c r="G343" s="11">
        <v>45820</v>
      </c>
      <c r="H343" s="10" t="s">
        <v>39</v>
      </c>
      <c r="I343" s="10" t="s">
        <v>408</v>
      </c>
      <c r="J343" s="10" t="s">
        <v>239</v>
      </c>
      <c r="K343" s="10" t="s">
        <v>926</v>
      </c>
      <c r="L343" s="10" t="s">
        <v>260</v>
      </c>
      <c r="M343" s="10" t="s">
        <v>261</v>
      </c>
      <c r="N343" s="10" t="s">
        <v>295</v>
      </c>
      <c r="O343" s="10" t="s">
        <v>296</v>
      </c>
      <c r="P343" s="10">
        <v>13</v>
      </c>
      <c r="Q343" s="10">
        <v>60</v>
      </c>
      <c r="R343" s="10">
        <v>15</v>
      </c>
      <c r="S343" s="10">
        <v>663</v>
      </c>
      <c r="T343" s="10">
        <v>2</v>
      </c>
      <c r="U343" s="10" t="s">
        <v>245</v>
      </c>
      <c r="V343" s="10" t="s">
        <v>246</v>
      </c>
      <c r="W343" s="10" t="s">
        <v>326</v>
      </c>
      <c r="X343" s="10">
        <v>9583354052</v>
      </c>
      <c r="Y343" s="12" t="s">
        <v>265</v>
      </c>
      <c r="Z343" t="str">
        <f t="shared" si="36"/>
        <v>Blacklisted</v>
      </c>
      <c r="AA343" t="str">
        <f t="shared" si="37"/>
        <v>Anita Gupta</v>
      </c>
      <c r="AB343" t="str">
        <f t="shared" si="38"/>
        <v>Ani004De</v>
      </c>
      <c r="AC343" t="str">
        <f t="shared" si="41"/>
        <v>anita.gupta@company.com</v>
      </c>
      <c r="AD343" t="str">
        <f t="shared" ca="1" si="42"/>
        <v/>
      </c>
      <c r="AE343" t="str">
        <f t="shared" si="39"/>
        <v/>
      </c>
      <c r="AF343" t="str">
        <f t="shared" si="40"/>
        <v>Delayed</v>
      </c>
    </row>
    <row r="344" spans="4:32">
      <c r="D344" s="4" t="s">
        <v>927</v>
      </c>
      <c r="E344" s="5" t="s">
        <v>275</v>
      </c>
      <c r="F344" s="5" t="s">
        <v>258</v>
      </c>
      <c r="G344" s="5" t="s">
        <v>91</v>
      </c>
      <c r="H344" s="5" t="s">
        <v>112</v>
      </c>
      <c r="I344" s="5" t="s">
        <v>328</v>
      </c>
      <c r="J344" s="5" t="s">
        <v>269</v>
      </c>
      <c r="K344" s="6">
        <v>34588</v>
      </c>
      <c r="L344" s="5" t="s">
        <v>260</v>
      </c>
      <c r="M344" s="5" t="s">
        <v>261</v>
      </c>
      <c r="N344" s="5" t="s">
        <v>243</v>
      </c>
      <c r="O344" s="5" t="s">
        <v>262</v>
      </c>
      <c r="P344" s="5">
        <v>15</v>
      </c>
      <c r="Q344" s="5">
        <v>12000</v>
      </c>
      <c r="R344" s="5">
        <v>20</v>
      </c>
      <c r="S344" s="5">
        <v>144000</v>
      </c>
      <c r="T344" s="5">
        <v>3</v>
      </c>
      <c r="U344" s="5" t="s">
        <v>272</v>
      </c>
      <c r="V344" s="5" t="s">
        <v>255</v>
      </c>
      <c r="W344" s="5" t="s">
        <v>278</v>
      </c>
      <c r="X344" s="5">
        <v>9242534507</v>
      </c>
      <c r="Y344" s="8" t="s">
        <v>265</v>
      </c>
      <c r="Z344" t="str">
        <f t="shared" si="36"/>
        <v>Blacklisted</v>
      </c>
      <c r="AA344" t="str">
        <f t="shared" si="37"/>
        <v>Arjun Rao</v>
      </c>
      <c r="AB344" t="str">
        <f t="shared" si="38"/>
        <v>Arj007De</v>
      </c>
      <c r="AC344" t="str">
        <f t="shared" si="41"/>
        <v>arjun.rao@company.com</v>
      </c>
      <c r="AD344" t="str">
        <f t="shared" ca="1" si="42"/>
        <v/>
      </c>
      <c r="AE344">
        <f t="shared" si="39"/>
        <v>2</v>
      </c>
      <c r="AF344" t="str">
        <f t="shared" si="40"/>
        <v>On time</v>
      </c>
    </row>
    <row r="345" spans="4:32">
      <c r="D345" s="9" t="s">
        <v>928</v>
      </c>
      <c r="E345" s="10" t="s">
        <v>392</v>
      </c>
      <c r="F345" s="10" t="s">
        <v>347</v>
      </c>
      <c r="G345" s="10" t="s">
        <v>145</v>
      </c>
      <c r="H345" s="11">
        <v>45696</v>
      </c>
      <c r="I345" s="10" t="s">
        <v>323</v>
      </c>
      <c r="J345" s="10" t="s">
        <v>269</v>
      </c>
      <c r="K345" s="10" t="s">
        <v>929</v>
      </c>
      <c r="L345" s="10" t="s">
        <v>260</v>
      </c>
      <c r="M345" s="10" t="s">
        <v>261</v>
      </c>
      <c r="N345" s="10" t="s">
        <v>295</v>
      </c>
      <c r="O345" s="10" t="s">
        <v>349</v>
      </c>
      <c r="P345" s="10">
        <v>2</v>
      </c>
      <c r="Q345" s="10">
        <v>20</v>
      </c>
      <c r="R345" s="10">
        <v>20</v>
      </c>
      <c r="S345" s="10">
        <v>32</v>
      </c>
      <c r="T345" s="10">
        <v>4</v>
      </c>
      <c r="U345" s="10" t="s">
        <v>254</v>
      </c>
      <c r="V345" s="10" t="s">
        <v>255</v>
      </c>
      <c r="W345" s="10" t="s">
        <v>395</v>
      </c>
      <c r="X345" s="10">
        <v>9291239150</v>
      </c>
      <c r="Y345" s="12" t="s">
        <v>248</v>
      </c>
      <c r="Z345" t="str">
        <f t="shared" si="36"/>
        <v/>
      </c>
      <c r="AA345" t="str">
        <f t="shared" si="37"/>
        <v>Amit Sharma</v>
      </c>
      <c r="AB345" t="str">
        <f t="shared" si="38"/>
        <v>Ami001De</v>
      </c>
      <c r="AC345" t="str">
        <f t="shared" si="41"/>
        <v>amit.sharma@company.com</v>
      </c>
      <c r="AD345">
        <f t="shared" ca="1" si="42"/>
        <v>32</v>
      </c>
      <c r="AE345" t="str">
        <f t="shared" si="39"/>
        <v/>
      </c>
      <c r="AF345" t="str">
        <f t="shared" si="40"/>
        <v>Delayed</v>
      </c>
    </row>
    <row r="346" spans="4:32">
      <c r="D346" s="4" t="s">
        <v>930</v>
      </c>
      <c r="E346" s="5" t="s">
        <v>299</v>
      </c>
      <c r="F346" s="5" t="s">
        <v>280</v>
      </c>
      <c r="G346" s="6">
        <v>45785</v>
      </c>
      <c r="H346" s="5" t="s">
        <v>931</v>
      </c>
      <c r="I346" s="5" t="s">
        <v>301</v>
      </c>
      <c r="J346" s="5" t="s">
        <v>269</v>
      </c>
      <c r="K346" s="5" t="s">
        <v>932</v>
      </c>
      <c r="L346" s="5" t="s">
        <v>241</v>
      </c>
      <c r="M346" s="5" t="s">
        <v>242</v>
      </c>
      <c r="N346" s="5" t="s">
        <v>15</v>
      </c>
      <c r="O346" s="5" t="s">
        <v>282</v>
      </c>
      <c r="P346" s="5">
        <v>16</v>
      </c>
      <c r="Q346" s="5">
        <v>3500</v>
      </c>
      <c r="R346" s="5">
        <v>0</v>
      </c>
      <c r="S346" s="5">
        <v>56000</v>
      </c>
      <c r="T346" s="5">
        <v>4</v>
      </c>
      <c r="U346" s="5" t="s">
        <v>254</v>
      </c>
      <c r="V346" s="5" t="s">
        <v>292</v>
      </c>
      <c r="W346" s="5" t="s">
        <v>302</v>
      </c>
      <c r="X346" s="5">
        <v>9550820904</v>
      </c>
      <c r="Y346" s="8" t="s">
        <v>257</v>
      </c>
      <c r="Z346" t="str">
        <f t="shared" si="36"/>
        <v>Gold</v>
      </c>
      <c r="AA346" t="str">
        <f t="shared" si="37"/>
        <v>Rohit Singh</v>
      </c>
      <c r="AB346" t="str">
        <f t="shared" si="38"/>
        <v>Roh003Be</v>
      </c>
      <c r="AC346" t="str">
        <f t="shared" si="41"/>
        <v>rohit.singh@company.com</v>
      </c>
      <c r="AD346" t="str">
        <f t="shared" ca="1" si="42"/>
        <v/>
      </c>
      <c r="AE346" t="str">
        <f t="shared" si="39"/>
        <v/>
      </c>
      <c r="AF346" t="str">
        <f t="shared" si="40"/>
        <v>Delayed</v>
      </c>
    </row>
    <row r="347" spans="4:32">
      <c r="D347" s="9" t="s">
        <v>933</v>
      </c>
      <c r="E347" s="10" t="s">
        <v>235</v>
      </c>
      <c r="F347" s="10" t="s">
        <v>280</v>
      </c>
      <c r="G347" s="10" t="s">
        <v>65</v>
      </c>
      <c r="H347" s="10" t="s">
        <v>139</v>
      </c>
      <c r="I347" s="10" t="s">
        <v>318</v>
      </c>
      <c r="J347" s="10" t="s">
        <v>239</v>
      </c>
      <c r="K347" s="11">
        <v>28369</v>
      </c>
      <c r="L347" s="10" t="s">
        <v>306</v>
      </c>
      <c r="M347" s="10" t="s">
        <v>287</v>
      </c>
      <c r="N347" s="10" t="s">
        <v>15</v>
      </c>
      <c r="O347" s="10" t="s">
        <v>282</v>
      </c>
      <c r="P347" s="10">
        <v>18</v>
      </c>
      <c r="Q347" s="10">
        <v>3500</v>
      </c>
      <c r="R347" s="10">
        <v>15</v>
      </c>
      <c r="S347" s="10">
        <v>53550</v>
      </c>
      <c r="T347" s="10">
        <v>5</v>
      </c>
      <c r="U347" s="10" t="s">
        <v>254</v>
      </c>
      <c r="V347" s="10" t="s">
        <v>312</v>
      </c>
      <c r="W347" s="10" t="s">
        <v>247</v>
      </c>
      <c r="X347" s="10">
        <v>9294486423</v>
      </c>
      <c r="Y347" s="12" t="s">
        <v>265</v>
      </c>
      <c r="Z347" t="str">
        <f t="shared" si="36"/>
        <v>Blacklisted</v>
      </c>
      <c r="AA347" t="str">
        <f t="shared" si="37"/>
        <v>Pooja Shah</v>
      </c>
      <c r="AB347" t="str">
        <f t="shared" si="38"/>
        <v>Poo010Ah</v>
      </c>
      <c r="AC347" t="str">
        <f t="shared" si="41"/>
        <v>pooja.shah@company.com</v>
      </c>
      <c r="AD347" t="str">
        <f t="shared" ca="1" si="42"/>
        <v/>
      </c>
      <c r="AE347">
        <f t="shared" si="39"/>
        <v>7</v>
      </c>
      <c r="AF347" t="str">
        <f t="shared" si="40"/>
        <v>Delayed</v>
      </c>
    </row>
    <row r="348" spans="4:32">
      <c r="D348" s="4" t="s">
        <v>934</v>
      </c>
      <c r="E348" s="5" t="s">
        <v>249</v>
      </c>
      <c r="F348" s="5" t="s">
        <v>362</v>
      </c>
      <c r="G348" s="5" t="s">
        <v>100</v>
      </c>
      <c r="H348" s="5" t="s">
        <v>152</v>
      </c>
      <c r="I348" s="5" t="s">
        <v>251</v>
      </c>
      <c r="J348" s="5" t="s">
        <v>239</v>
      </c>
      <c r="K348" s="5" t="s">
        <v>935</v>
      </c>
      <c r="L348" s="5" t="s">
        <v>306</v>
      </c>
      <c r="M348" s="5" t="s">
        <v>287</v>
      </c>
      <c r="N348" s="5" t="s">
        <v>295</v>
      </c>
      <c r="O348" s="5" t="s">
        <v>363</v>
      </c>
      <c r="P348" s="5">
        <v>20</v>
      </c>
      <c r="Q348" s="5">
        <v>45</v>
      </c>
      <c r="R348" s="5">
        <v>15</v>
      </c>
      <c r="S348" s="5">
        <v>765</v>
      </c>
      <c r="T348" s="5">
        <v>4</v>
      </c>
      <c r="U348" s="5" t="s">
        <v>254</v>
      </c>
      <c r="V348" s="5" t="s">
        <v>312</v>
      </c>
      <c r="W348" s="5" t="s">
        <v>264</v>
      </c>
      <c r="X348" s="5">
        <v>9260258621</v>
      </c>
      <c r="Y348" s="8" t="s">
        <v>265</v>
      </c>
      <c r="Z348" t="str">
        <f t="shared" si="36"/>
        <v>Blacklisted</v>
      </c>
      <c r="AA348" t="str">
        <f t="shared" si="37"/>
        <v>Kavya Nair</v>
      </c>
      <c r="AB348" t="str">
        <f t="shared" si="38"/>
        <v>Kav008Ah</v>
      </c>
      <c r="AC348" t="str">
        <f t="shared" si="41"/>
        <v>kavya.nair@company.com</v>
      </c>
      <c r="AD348">
        <f t="shared" ca="1" si="42"/>
        <v>49</v>
      </c>
      <c r="AE348">
        <f t="shared" si="39"/>
        <v>5</v>
      </c>
      <c r="AF348" t="str">
        <f t="shared" si="40"/>
        <v>On time</v>
      </c>
    </row>
    <row r="349" spans="4:32">
      <c r="D349" s="9" t="s">
        <v>936</v>
      </c>
      <c r="E349" s="10" t="s">
        <v>358</v>
      </c>
      <c r="F349" s="10" t="s">
        <v>250</v>
      </c>
      <c r="G349" s="10" t="s">
        <v>45</v>
      </c>
      <c r="H349" s="10" t="s">
        <v>78</v>
      </c>
      <c r="I349" s="10" t="s">
        <v>359</v>
      </c>
      <c r="J349" s="10" t="s">
        <v>239</v>
      </c>
      <c r="K349" s="11">
        <v>35553</v>
      </c>
      <c r="L349" s="10" t="s">
        <v>260</v>
      </c>
      <c r="M349" s="10" t="s">
        <v>261</v>
      </c>
      <c r="N349" s="10" t="s">
        <v>15</v>
      </c>
      <c r="O349" s="10" t="s">
        <v>253</v>
      </c>
      <c r="P349" s="10">
        <v>13</v>
      </c>
      <c r="Q349" s="10">
        <v>2200</v>
      </c>
      <c r="R349" s="10">
        <v>15</v>
      </c>
      <c r="S349" s="10">
        <v>24310</v>
      </c>
      <c r="T349" s="10">
        <v>2</v>
      </c>
      <c r="U349" s="10" t="s">
        <v>245</v>
      </c>
      <c r="V349" s="10" t="s">
        <v>292</v>
      </c>
      <c r="W349" s="10" t="s">
        <v>360</v>
      </c>
      <c r="X349" s="10">
        <v>9697433584</v>
      </c>
      <c r="Y349" s="12" t="s">
        <v>248</v>
      </c>
      <c r="Z349" t="str">
        <f t="shared" si="36"/>
        <v>Blacklisted</v>
      </c>
      <c r="AA349" t="str">
        <f t="shared" si="37"/>
        <v>Sneha Joshi</v>
      </c>
      <c r="AB349" t="str">
        <f t="shared" si="38"/>
        <v>Sne006De</v>
      </c>
      <c r="AC349" t="str">
        <f t="shared" si="41"/>
        <v>sneha.joshi@company.com</v>
      </c>
      <c r="AD349" t="str">
        <f t="shared" ca="1" si="42"/>
        <v/>
      </c>
      <c r="AE349">
        <f t="shared" si="39"/>
        <v>3</v>
      </c>
      <c r="AF349" t="str">
        <f t="shared" si="40"/>
        <v>On time</v>
      </c>
    </row>
    <row r="350" spans="4:32">
      <c r="D350" s="4" t="s">
        <v>937</v>
      </c>
      <c r="E350" s="5" t="s">
        <v>235</v>
      </c>
      <c r="F350" s="5" t="s">
        <v>938</v>
      </c>
      <c r="G350" s="5" t="s">
        <v>20</v>
      </c>
      <c r="H350" s="5" t="s">
        <v>401</v>
      </c>
      <c r="I350" s="5" t="s">
        <v>318</v>
      </c>
      <c r="J350" s="5" t="s">
        <v>239</v>
      </c>
      <c r="K350" s="6">
        <v>37536</v>
      </c>
      <c r="L350" s="5" t="s">
        <v>379</v>
      </c>
      <c r="M350" s="5" t="s">
        <v>21</v>
      </c>
      <c r="N350" s="5" t="s">
        <v>15</v>
      </c>
      <c r="O350" s="5" t="s">
        <v>325</v>
      </c>
      <c r="P350" s="5">
        <v>11</v>
      </c>
      <c r="Q350" s="5">
        <v>8500</v>
      </c>
      <c r="R350" s="5">
        <v>5</v>
      </c>
      <c r="S350" s="5">
        <v>88825</v>
      </c>
      <c r="T350" s="5">
        <v>1</v>
      </c>
      <c r="U350" s="5" t="s">
        <v>277</v>
      </c>
      <c r="V350" s="5" t="s">
        <v>292</v>
      </c>
      <c r="W350" s="5" t="s">
        <v>247</v>
      </c>
      <c r="X350" s="5">
        <v>9837969758</v>
      </c>
      <c r="Y350" s="8" t="s">
        <v>265</v>
      </c>
      <c r="Z350" t="str">
        <f t="shared" si="36"/>
        <v>Blacklisted</v>
      </c>
      <c r="AA350" t="str">
        <f t="shared" si="37"/>
        <v>Pooja Shah</v>
      </c>
      <c r="AB350" t="str">
        <f t="shared" si="38"/>
        <v>Poo010Ko</v>
      </c>
      <c r="AC350" t="str">
        <f t="shared" si="41"/>
        <v>pooja.shah@company.com</v>
      </c>
      <c r="AD350">
        <f t="shared" ca="1" si="42"/>
        <v>29</v>
      </c>
      <c r="AE350">
        <f t="shared" si="39"/>
        <v>1</v>
      </c>
      <c r="AF350" t="str">
        <f t="shared" si="40"/>
        <v>On time</v>
      </c>
    </row>
    <row r="351" spans="4:32">
      <c r="D351" s="9" t="s">
        <v>939</v>
      </c>
      <c r="E351" s="10" t="s">
        <v>235</v>
      </c>
      <c r="F351" s="10" t="s">
        <v>250</v>
      </c>
      <c r="G351" s="11">
        <v>45789</v>
      </c>
      <c r="H351" s="11">
        <v>45942</v>
      </c>
      <c r="I351" s="10" t="s">
        <v>318</v>
      </c>
      <c r="J351" s="10" t="s">
        <v>239</v>
      </c>
      <c r="K351" s="10" t="s">
        <v>940</v>
      </c>
      <c r="L351" s="10" t="s">
        <v>342</v>
      </c>
      <c r="M351" s="10" t="s">
        <v>261</v>
      </c>
      <c r="N351" s="10" t="s">
        <v>15</v>
      </c>
      <c r="O351" s="10" t="s">
        <v>253</v>
      </c>
      <c r="P351" s="10">
        <v>2</v>
      </c>
      <c r="Q351" s="10">
        <v>2200</v>
      </c>
      <c r="R351" s="10">
        <v>0</v>
      </c>
      <c r="S351" s="10">
        <v>4400</v>
      </c>
      <c r="T351" s="10">
        <v>4</v>
      </c>
      <c r="U351" s="10" t="s">
        <v>277</v>
      </c>
      <c r="V351" s="10" t="s">
        <v>312</v>
      </c>
      <c r="W351" s="10" t="s">
        <v>247</v>
      </c>
      <c r="X351" s="10">
        <v>9209736419</v>
      </c>
      <c r="Y351" s="12" t="s">
        <v>248</v>
      </c>
      <c r="Z351" t="str">
        <f t="shared" si="36"/>
        <v/>
      </c>
      <c r="AA351" t="str">
        <f t="shared" si="37"/>
        <v>Pooja Shah</v>
      </c>
      <c r="AB351" t="str">
        <f t="shared" si="38"/>
        <v>Poo010Ja</v>
      </c>
      <c r="AC351" t="str">
        <f t="shared" si="41"/>
        <v>pooja.shah@company.com</v>
      </c>
      <c r="AD351">
        <f t="shared" ca="1" si="42"/>
        <v>24</v>
      </c>
      <c r="AE351" t="str">
        <f t="shared" si="39"/>
        <v/>
      </c>
      <c r="AF351" t="str">
        <f t="shared" si="40"/>
        <v>Delayed</v>
      </c>
    </row>
    <row r="352" spans="4:32">
      <c r="D352" s="4" t="s">
        <v>941</v>
      </c>
      <c r="E352" s="5" t="s">
        <v>275</v>
      </c>
      <c r="F352" s="5" t="s">
        <v>330</v>
      </c>
      <c r="G352" s="5" t="s">
        <v>198</v>
      </c>
      <c r="H352" s="6">
        <v>45755</v>
      </c>
      <c r="I352" s="5" t="s">
        <v>328</v>
      </c>
      <c r="J352" s="5" t="s">
        <v>269</v>
      </c>
      <c r="K352" s="6">
        <v>37628</v>
      </c>
      <c r="L352" s="5" t="s">
        <v>286</v>
      </c>
      <c r="M352" s="5" t="s">
        <v>287</v>
      </c>
      <c r="N352" s="5" t="s">
        <v>243</v>
      </c>
      <c r="O352" s="5" t="s">
        <v>333</v>
      </c>
      <c r="P352" s="5">
        <v>15</v>
      </c>
      <c r="Q352" s="5">
        <v>700</v>
      </c>
      <c r="R352" s="5">
        <v>15</v>
      </c>
      <c r="S352" s="5">
        <v>8925</v>
      </c>
      <c r="T352" s="5">
        <v>3</v>
      </c>
      <c r="U352" s="5" t="s">
        <v>245</v>
      </c>
      <c r="V352" s="5" t="s">
        <v>292</v>
      </c>
      <c r="W352" s="5" t="s">
        <v>278</v>
      </c>
      <c r="X352" s="5">
        <v>9645907237</v>
      </c>
      <c r="Y352" s="8" t="s">
        <v>257</v>
      </c>
      <c r="Z352" t="str">
        <f t="shared" si="36"/>
        <v>Silver</v>
      </c>
      <c r="AA352" t="str">
        <f t="shared" si="37"/>
        <v>Arjun Rao</v>
      </c>
      <c r="AB352" t="str">
        <f t="shared" si="38"/>
        <v>Arj007Mu</v>
      </c>
      <c r="AC352" t="str">
        <f t="shared" si="41"/>
        <v>arjun.rao@company.com</v>
      </c>
      <c r="AD352" t="str">
        <f t="shared" ca="1" si="42"/>
        <v/>
      </c>
      <c r="AE352" t="str">
        <f t="shared" si="39"/>
        <v/>
      </c>
      <c r="AF352" t="str">
        <f t="shared" si="40"/>
        <v>Delayed</v>
      </c>
    </row>
    <row r="353" spans="4:32">
      <c r="D353" s="9" t="s">
        <v>942</v>
      </c>
      <c r="E353" s="10" t="s">
        <v>299</v>
      </c>
      <c r="F353" s="10" t="s">
        <v>250</v>
      </c>
      <c r="G353" s="10" t="s">
        <v>69</v>
      </c>
      <c r="H353" s="10" t="s">
        <v>604</v>
      </c>
      <c r="I353" s="10" t="s">
        <v>301</v>
      </c>
      <c r="J353" s="10" t="s">
        <v>269</v>
      </c>
      <c r="K353" s="10" t="s">
        <v>943</v>
      </c>
      <c r="L353" s="10" t="s">
        <v>306</v>
      </c>
      <c r="M353" s="10" t="s">
        <v>287</v>
      </c>
      <c r="N353" s="10" t="s">
        <v>15</v>
      </c>
      <c r="O353" s="10" t="s">
        <v>253</v>
      </c>
      <c r="P353" s="10">
        <v>5</v>
      </c>
      <c r="Q353" s="10">
        <v>2200</v>
      </c>
      <c r="R353" s="10">
        <v>15</v>
      </c>
      <c r="S353" s="10">
        <v>9350</v>
      </c>
      <c r="T353" s="10">
        <v>1</v>
      </c>
      <c r="U353" s="10" t="s">
        <v>245</v>
      </c>
      <c r="V353" s="10" t="s">
        <v>292</v>
      </c>
      <c r="W353" s="10" t="s">
        <v>302</v>
      </c>
      <c r="X353" s="10">
        <v>9566149945</v>
      </c>
      <c r="Y353" s="12" t="s">
        <v>248</v>
      </c>
      <c r="Z353" t="str">
        <f t="shared" si="36"/>
        <v>Blacklisted</v>
      </c>
      <c r="AA353" t="str">
        <f t="shared" si="37"/>
        <v>Rohit Singh</v>
      </c>
      <c r="AB353" t="str">
        <f t="shared" si="38"/>
        <v>Roh003Ah</v>
      </c>
      <c r="AC353" t="str">
        <f t="shared" si="41"/>
        <v>rohit.singh@company.com</v>
      </c>
      <c r="AD353">
        <f t="shared" ca="1" si="42"/>
        <v>23</v>
      </c>
      <c r="AE353">
        <f t="shared" si="39"/>
        <v>6</v>
      </c>
      <c r="AF353" t="str">
        <f t="shared" si="40"/>
        <v>Delayed</v>
      </c>
    </row>
    <row r="354" spans="4:32">
      <c r="D354" s="4" t="s">
        <v>944</v>
      </c>
      <c r="E354" s="5" t="s">
        <v>275</v>
      </c>
      <c r="F354" s="5" t="s">
        <v>267</v>
      </c>
      <c r="G354" s="6">
        <v>46329</v>
      </c>
      <c r="H354" s="6">
        <v>46359</v>
      </c>
      <c r="I354" s="5" t="s">
        <v>328</v>
      </c>
      <c r="J354" s="5" t="s">
        <v>269</v>
      </c>
      <c r="K354" s="6">
        <v>32271</v>
      </c>
      <c r="L354" s="5" t="s">
        <v>306</v>
      </c>
      <c r="M354" s="5" t="s">
        <v>287</v>
      </c>
      <c r="N354" s="5" t="s">
        <v>243</v>
      </c>
      <c r="O354" s="5" t="s">
        <v>271</v>
      </c>
      <c r="P354" s="5">
        <v>15</v>
      </c>
      <c r="Q354" s="5">
        <v>1200</v>
      </c>
      <c r="R354" s="5">
        <v>0</v>
      </c>
      <c r="S354" s="5">
        <v>18000</v>
      </c>
      <c r="T354" s="5">
        <v>3</v>
      </c>
      <c r="U354" s="5" t="s">
        <v>245</v>
      </c>
      <c r="V354" s="5" t="s">
        <v>246</v>
      </c>
      <c r="W354" s="5" t="s">
        <v>278</v>
      </c>
      <c r="X354" s="5">
        <v>9935018068</v>
      </c>
      <c r="Y354" s="8" t="s">
        <v>265</v>
      </c>
      <c r="Z354" t="str">
        <f t="shared" si="36"/>
        <v>Blacklisted</v>
      </c>
      <c r="AA354" t="str">
        <f t="shared" si="37"/>
        <v>Arjun Rao</v>
      </c>
      <c r="AB354" t="str">
        <f t="shared" si="38"/>
        <v>Arj007Ah</v>
      </c>
      <c r="AC354" t="str">
        <f t="shared" si="41"/>
        <v>arjun.rao@company.com</v>
      </c>
      <c r="AD354" t="str">
        <f t="shared" ca="1" si="42"/>
        <v/>
      </c>
      <c r="AE354" t="str">
        <f t="shared" si="39"/>
        <v/>
      </c>
      <c r="AF354" t="str">
        <f t="shared" si="40"/>
        <v>Delayed</v>
      </c>
    </row>
    <row r="355" spans="4:32">
      <c r="D355" s="9" t="s">
        <v>945</v>
      </c>
      <c r="E355" s="10" t="s">
        <v>358</v>
      </c>
      <c r="F355" s="10" t="s">
        <v>267</v>
      </c>
      <c r="G355" s="11">
        <v>46238</v>
      </c>
      <c r="H355" s="11">
        <v>46299</v>
      </c>
      <c r="I355" s="10" t="s">
        <v>359</v>
      </c>
      <c r="J355" s="10" t="s">
        <v>239</v>
      </c>
      <c r="K355" s="10" t="s">
        <v>946</v>
      </c>
      <c r="L355" s="10" t="s">
        <v>286</v>
      </c>
      <c r="M355" s="10" t="s">
        <v>287</v>
      </c>
      <c r="N355" s="10" t="s">
        <v>243</v>
      </c>
      <c r="O355" s="10" t="s">
        <v>271</v>
      </c>
      <c r="P355" s="10">
        <v>19</v>
      </c>
      <c r="Q355" s="10">
        <v>1200</v>
      </c>
      <c r="R355" s="10">
        <v>0</v>
      </c>
      <c r="S355" s="10">
        <v>22800</v>
      </c>
      <c r="T355" s="10">
        <v>1</v>
      </c>
      <c r="U355" s="10" t="s">
        <v>254</v>
      </c>
      <c r="V355" s="10" t="s">
        <v>263</v>
      </c>
      <c r="W355" s="10" t="s">
        <v>360</v>
      </c>
      <c r="X355" s="10">
        <v>9171794652</v>
      </c>
      <c r="Y355" s="12" t="s">
        <v>265</v>
      </c>
      <c r="Z355" t="str">
        <f t="shared" si="36"/>
        <v>Blacklisted</v>
      </c>
      <c r="AA355" t="str">
        <f t="shared" si="37"/>
        <v>Sneha Joshi</v>
      </c>
      <c r="AB355" t="str">
        <f t="shared" si="38"/>
        <v>Sne006Mu</v>
      </c>
      <c r="AC355" t="str">
        <f t="shared" si="41"/>
        <v>sneha.joshi@company.com</v>
      </c>
      <c r="AD355">
        <f t="shared" ca="1" si="42"/>
        <v>38</v>
      </c>
      <c r="AE355" t="str">
        <f t="shared" si="39"/>
        <v/>
      </c>
      <c r="AF355" t="str">
        <f t="shared" si="40"/>
        <v>Delayed</v>
      </c>
    </row>
    <row r="356" spans="4:32">
      <c r="D356" s="4" t="s">
        <v>947</v>
      </c>
      <c r="E356" s="5" t="s">
        <v>321</v>
      </c>
      <c r="F356" s="5" t="s">
        <v>258</v>
      </c>
      <c r="G356" s="5" t="s">
        <v>70</v>
      </c>
      <c r="H356" s="5" t="s">
        <v>948</v>
      </c>
      <c r="I356" s="5" t="s">
        <v>408</v>
      </c>
      <c r="J356" s="5" t="s">
        <v>239</v>
      </c>
      <c r="K356" s="5" t="s">
        <v>949</v>
      </c>
      <c r="L356" s="5" t="s">
        <v>286</v>
      </c>
      <c r="M356" s="5" t="s">
        <v>287</v>
      </c>
      <c r="N356" s="5" t="s">
        <v>243</v>
      </c>
      <c r="O356" s="5" t="s">
        <v>262</v>
      </c>
      <c r="P356" s="5">
        <v>9</v>
      </c>
      <c r="Q356" s="5">
        <v>12000</v>
      </c>
      <c r="R356" s="5">
        <v>15</v>
      </c>
      <c r="S356" s="5">
        <v>91800</v>
      </c>
      <c r="T356" s="5">
        <v>3</v>
      </c>
      <c r="U356" s="5" t="s">
        <v>277</v>
      </c>
      <c r="V356" s="5" t="s">
        <v>263</v>
      </c>
      <c r="W356" s="5" t="s">
        <v>326</v>
      </c>
      <c r="X356" s="5">
        <v>9671497416</v>
      </c>
      <c r="Y356" s="8" t="s">
        <v>265</v>
      </c>
      <c r="Z356" t="str">
        <f t="shared" si="36"/>
        <v>Blacklisted</v>
      </c>
      <c r="AA356" t="str">
        <f t="shared" si="37"/>
        <v>Anita Gupta</v>
      </c>
      <c r="AB356" t="str">
        <f t="shared" si="38"/>
        <v>Ani004Mu</v>
      </c>
      <c r="AC356" t="str">
        <f t="shared" si="41"/>
        <v>anita.gupta@company.com</v>
      </c>
      <c r="AD356" t="str">
        <f t="shared" ca="1" si="42"/>
        <v/>
      </c>
      <c r="AE356">
        <f t="shared" si="39"/>
        <v>7</v>
      </c>
      <c r="AF356" t="str">
        <f t="shared" si="40"/>
        <v>Delayed</v>
      </c>
    </row>
    <row r="357" spans="4:32">
      <c r="D357" s="9" t="s">
        <v>950</v>
      </c>
      <c r="E357" s="10" t="s">
        <v>249</v>
      </c>
      <c r="F357" s="10" t="s">
        <v>362</v>
      </c>
      <c r="G357" s="11">
        <v>45971</v>
      </c>
      <c r="H357" s="10" t="s">
        <v>105</v>
      </c>
      <c r="I357" s="10" t="s">
        <v>251</v>
      </c>
      <c r="J357" s="10" t="s">
        <v>239</v>
      </c>
      <c r="K357" s="10" t="s">
        <v>951</v>
      </c>
      <c r="L357" s="10" t="s">
        <v>342</v>
      </c>
      <c r="M357" s="10" t="s">
        <v>261</v>
      </c>
      <c r="N357" s="10" t="s">
        <v>295</v>
      </c>
      <c r="O357" s="10" t="s">
        <v>363</v>
      </c>
      <c r="P357" s="10">
        <v>5</v>
      </c>
      <c r="Q357" s="10">
        <v>45</v>
      </c>
      <c r="R357" s="10">
        <v>5</v>
      </c>
      <c r="S357" s="10">
        <v>213.75</v>
      </c>
      <c r="T357" s="10">
        <v>1</v>
      </c>
      <c r="U357" s="10" t="s">
        <v>272</v>
      </c>
      <c r="V357" s="10" t="s">
        <v>292</v>
      </c>
      <c r="W357" s="10" t="s">
        <v>264</v>
      </c>
      <c r="X357" s="10">
        <v>9810433484</v>
      </c>
      <c r="Y357" s="12" t="s">
        <v>257</v>
      </c>
      <c r="Z357" t="str">
        <f t="shared" si="36"/>
        <v>Blacklisted</v>
      </c>
      <c r="AA357" t="str">
        <f t="shared" si="37"/>
        <v>Kavya Nair</v>
      </c>
      <c r="AB357" t="str">
        <f t="shared" si="38"/>
        <v>Kav008Ja</v>
      </c>
      <c r="AC357" t="str">
        <f t="shared" si="41"/>
        <v>kavya.nair@company.com</v>
      </c>
      <c r="AD357" t="str">
        <f t="shared" ca="1" si="42"/>
        <v/>
      </c>
      <c r="AE357" t="str">
        <f t="shared" si="39"/>
        <v/>
      </c>
      <c r="AF357" t="str">
        <f t="shared" si="40"/>
        <v>Delayed</v>
      </c>
    </row>
    <row r="358" spans="4:32">
      <c r="D358" s="4" t="s">
        <v>952</v>
      </c>
      <c r="E358" s="5" t="s">
        <v>358</v>
      </c>
      <c r="F358" s="5" t="s">
        <v>330</v>
      </c>
      <c r="G358" s="5" t="s">
        <v>4</v>
      </c>
      <c r="H358" s="6">
        <v>45963</v>
      </c>
      <c r="I358" s="5" t="s">
        <v>359</v>
      </c>
      <c r="J358" s="5" t="s">
        <v>239</v>
      </c>
      <c r="K358" s="6">
        <v>32792</v>
      </c>
      <c r="L358" s="5" t="s">
        <v>286</v>
      </c>
      <c r="M358" s="5" t="s">
        <v>287</v>
      </c>
      <c r="N358" s="5" t="s">
        <v>243</v>
      </c>
      <c r="O358" s="5" t="s">
        <v>333</v>
      </c>
      <c r="P358" s="5">
        <v>3</v>
      </c>
      <c r="Q358" s="5">
        <v>700</v>
      </c>
      <c r="R358" s="5">
        <v>15</v>
      </c>
      <c r="S358" s="5">
        <v>1785</v>
      </c>
      <c r="T358" s="5">
        <v>4</v>
      </c>
      <c r="U358" s="5" t="s">
        <v>254</v>
      </c>
      <c r="V358" s="5" t="s">
        <v>312</v>
      </c>
      <c r="W358" s="5" t="s">
        <v>360</v>
      </c>
      <c r="X358" s="5">
        <v>9990243436</v>
      </c>
      <c r="Y358" s="8" t="s">
        <v>257</v>
      </c>
      <c r="Z358" t="str">
        <f t="shared" si="36"/>
        <v>Silver</v>
      </c>
      <c r="AA358" t="str">
        <f t="shared" si="37"/>
        <v>Sneha Joshi</v>
      </c>
      <c r="AB358" t="str">
        <f t="shared" si="38"/>
        <v>Sne006Mu</v>
      </c>
      <c r="AC358" t="str">
        <f t="shared" si="41"/>
        <v>sneha.joshi@company.com</v>
      </c>
      <c r="AD358" t="str">
        <f t="shared" ca="1" si="42"/>
        <v/>
      </c>
      <c r="AE358" t="str">
        <f t="shared" si="39"/>
        <v/>
      </c>
      <c r="AF358" t="str">
        <f t="shared" si="40"/>
        <v>Delayed</v>
      </c>
    </row>
    <row r="359" spans="4:32">
      <c r="D359" s="9" t="s">
        <v>953</v>
      </c>
      <c r="E359" s="10" t="s">
        <v>266</v>
      </c>
      <c r="F359" s="10" t="s">
        <v>322</v>
      </c>
      <c r="G359" s="10" t="s">
        <v>30</v>
      </c>
      <c r="H359" s="10" t="s">
        <v>159</v>
      </c>
      <c r="I359" s="10" t="s">
        <v>268</v>
      </c>
      <c r="J359" s="10" t="s">
        <v>269</v>
      </c>
      <c r="K359" s="11">
        <v>29289</v>
      </c>
      <c r="L359" s="10" t="s">
        <v>342</v>
      </c>
      <c r="M359" s="10" t="s">
        <v>261</v>
      </c>
      <c r="N359" s="10" t="s">
        <v>15</v>
      </c>
      <c r="O359" s="10" t="s">
        <v>325</v>
      </c>
      <c r="P359" s="10">
        <v>12</v>
      </c>
      <c r="Q359" s="10">
        <v>8500</v>
      </c>
      <c r="R359" s="10">
        <v>5</v>
      </c>
      <c r="S359" s="10">
        <v>96900</v>
      </c>
      <c r="T359" s="10">
        <v>3</v>
      </c>
      <c r="U359" s="10" t="s">
        <v>272</v>
      </c>
      <c r="V359" s="10" t="s">
        <v>246</v>
      </c>
      <c r="W359" s="10" t="s">
        <v>273</v>
      </c>
      <c r="X359" s="10">
        <v>9396678031</v>
      </c>
      <c r="Y359" s="12" t="s">
        <v>248</v>
      </c>
      <c r="Z359" t="str">
        <f t="shared" si="36"/>
        <v/>
      </c>
      <c r="AA359" t="str">
        <f t="shared" si="37"/>
        <v>Mohit Verma</v>
      </c>
      <c r="AB359" t="str">
        <f t="shared" si="38"/>
        <v>Moh009Ja</v>
      </c>
      <c r="AC359" t="str">
        <f t="shared" si="41"/>
        <v>mohit.verma@company.com</v>
      </c>
      <c r="AD359">
        <f t="shared" ca="1" si="42"/>
        <v>37</v>
      </c>
      <c r="AE359">
        <f t="shared" si="39"/>
        <v>12</v>
      </c>
      <c r="AF359" t="str">
        <f t="shared" si="40"/>
        <v>Delayed</v>
      </c>
    </row>
    <row r="360" spans="4:32">
      <c r="D360" s="4" t="s">
        <v>954</v>
      </c>
      <c r="E360" s="5" t="s">
        <v>358</v>
      </c>
      <c r="F360" s="5" t="s">
        <v>322</v>
      </c>
      <c r="G360" s="6">
        <v>46330</v>
      </c>
      <c r="H360" s="5" t="s">
        <v>78</v>
      </c>
      <c r="I360" s="5" t="s">
        <v>359</v>
      </c>
      <c r="J360" s="5" t="s">
        <v>239</v>
      </c>
      <c r="K360" s="6">
        <v>29009</v>
      </c>
      <c r="L360" s="5" t="s">
        <v>291</v>
      </c>
      <c r="M360" s="5" t="s">
        <v>287</v>
      </c>
      <c r="N360" s="5" t="s">
        <v>15</v>
      </c>
      <c r="O360" s="5" t="s">
        <v>325</v>
      </c>
      <c r="P360" s="5">
        <v>4</v>
      </c>
      <c r="Q360" s="5">
        <v>8500</v>
      </c>
      <c r="R360" s="5">
        <v>15</v>
      </c>
      <c r="S360" s="5">
        <v>28900</v>
      </c>
      <c r="T360" s="5">
        <v>4</v>
      </c>
      <c r="U360" s="5" t="s">
        <v>245</v>
      </c>
      <c r="V360" s="5" t="s">
        <v>246</v>
      </c>
      <c r="W360" s="5" t="s">
        <v>360</v>
      </c>
      <c r="X360" s="5">
        <v>9818591245</v>
      </c>
      <c r="Y360" s="8" t="s">
        <v>248</v>
      </c>
      <c r="Z360" t="str">
        <f t="shared" si="36"/>
        <v/>
      </c>
      <c r="AA360" t="str">
        <f t="shared" si="37"/>
        <v>Sneha Joshi</v>
      </c>
      <c r="AB360" t="str">
        <f t="shared" si="38"/>
        <v>Sne006Pu</v>
      </c>
      <c r="AC360" t="str">
        <f t="shared" si="41"/>
        <v>sneha.joshi@company.com</v>
      </c>
      <c r="AD360">
        <f t="shared" ca="1" si="42"/>
        <v>46</v>
      </c>
      <c r="AE360" t="str">
        <f t="shared" si="39"/>
        <v/>
      </c>
      <c r="AF360" t="str">
        <f t="shared" si="40"/>
        <v>Delayed</v>
      </c>
    </row>
    <row r="361" spans="4:32">
      <c r="D361" s="9" t="s">
        <v>955</v>
      </c>
      <c r="E361" s="10" t="s">
        <v>299</v>
      </c>
      <c r="F361" s="10" t="s">
        <v>347</v>
      </c>
      <c r="G361" s="10" t="s">
        <v>77</v>
      </c>
      <c r="H361" s="10" t="s">
        <v>110</v>
      </c>
      <c r="I361" s="10" t="s">
        <v>301</v>
      </c>
      <c r="J361" s="10" t="s">
        <v>269</v>
      </c>
      <c r="K361" s="11">
        <v>35164</v>
      </c>
      <c r="L361" s="10" t="s">
        <v>342</v>
      </c>
      <c r="M361" s="10" t="s">
        <v>261</v>
      </c>
      <c r="N361" s="10" t="s">
        <v>295</v>
      </c>
      <c r="O361" s="10" t="s">
        <v>349</v>
      </c>
      <c r="P361" s="10">
        <v>16</v>
      </c>
      <c r="Q361" s="10">
        <v>20</v>
      </c>
      <c r="R361" s="10">
        <v>10</v>
      </c>
      <c r="S361" s="10">
        <v>288</v>
      </c>
      <c r="T361" s="10">
        <v>4</v>
      </c>
      <c r="U361" s="10" t="s">
        <v>254</v>
      </c>
      <c r="V361" s="10" t="s">
        <v>292</v>
      </c>
      <c r="W361" s="10" t="s">
        <v>302</v>
      </c>
      <c r="X361" s="10">
        <v>9505550047</v>
      </c>
      <c r="Y361" s="12" t="s">
        <v>265</v>
      </c>
      <c r="Z361" t="str">
        <f t="shared" si="36"/>
        <v>Blacklisted</v>
      </c>
      <c r="AA361" t="str">
        <f t="shared" si="37"/>
        <v>Rohit Singh</v>
      </c>
      <c r="AB361" t="str">
        <f t="shared" si="38"/>
        <v>Roh003Ja</v>
      </c>
      <c r="AC361" t="str">
        <f t="shared" si="41"/>
        <v>rohit.singh@company.com</v>
      </c>
      <c r="AD361">
        <f t="shared" ca="1" si="42"/>
        <v>47</v>
      </c>
      <c r="AE361">
        <f t="shared" si="39"/>
        <v>3</v>
      </c>
      <c r="AF361" t="str">
        <f t="shared" si="40"/>
        <v>On time</v>
      </c>
    </row>
    <row r="362" spans="4:32">
      <c r="D362" s="4" t="s">
        <v>956</v>
      </c>
      <c r="E362" s="5" t="s">
        <v>299</v>
      </c>
      <c r="F362" s="5" t="s">
        <v>294</v>
      </c>
      <c r="G362" s="6">
        <v>46300</v>
      </c>
      <c r="H362" s="5" t="s">
        <v>957</v>
      </c>
      <c r="I362" s="5" t="s">
        <v>301</v>
      </c>
      <c r="J362" s="5" t="s">
        <v>269</v>
      </c>
      <c r="K362" s="5" t="s">
        <v>958</v>
      </c>
      <c r="L362" s="5" t="s">
        <v>286</v>
      </c>
      <c r="M362" s="5" t="s">
        <v>287</v>
      </c>
      <c r="N362" s="5" t="s">
        <v>295</v>
      </c>
      <c r="O362" s="5" t="s">
        <v>296</v>
      </c>
      <c r="P362" s="5">
        <v>3</v>
      </c>
      <c r="Q362" s="5">
        <v>60</v>
      </c>
      <c r="R362" s="5">
        <v>20</v>
      </c>
      <c r="S362" s="5">
        <v>144</v>
      </c>
      <c r="T362" s="5">
        <v>4</v>
      </c>
      <c r="U362" s="5" t="s">
        <v>277</v>
      </c>
      <c r="V362" s="5" t="s">
        <v>312</v>
      </c>
      <c r="W362" s="5" t="s">
        <v>302</v>
      </c>
      <c r="X362" s="5">
        <v>9469828772</v>
      </c>
      <c r="Y362" s="8" t="s">
        <v>248</v>
      </c>
      <c r="Z362" t="str">
        <f t="shared" si="36"/>
        <v/>
      </c>
      <c r="AA362" t="str">
        <f t="shared" si="37"/>
        <v>Rohit Singh</v>
      </c>
      <c r="AB362" t="str">
        <f t="shared" si="38"/>
        <v>Roh003Mu</v>
      </c>
      <c r="AC362" t="str">
        <f t="shared" si="41"/>
        <v>rohit.singh@company.com</v>
      </c>
      <c r="AD362">
        <f t="shared" ca="1" si="42"/>
        <v>30</v>
      </c>
      <c r="AE362" t="str">
        <f t="shared" si="39"/>
        <v/>
      </c>
      <c r="AF362" t="str">
        <f t="shared" si="40"/>
        <v>Delayed</v>
      </c>
    </row>
    <row r="363" spans="4:32">
      <c r="D363" s="9" t="s">
        <v>959</v>
      </c>
      <c r="E363" s="10" t="s">
        <v>266</v>
      </c>
      <c r="F363" s="10" t="s">
        <v>250</v>
      </c>
      <c r="G363" s="10" t="s">
        <v>93</v>
      </c>
      <c r="H363" s="10" t="s">
        <v>157</v>
      </c>
      <c r="I363" s="10" t="s">
        <v>268</v>
      </c>
      <c r="J363" s="10" t="s">
        <v>269</v>
      </c>
      <c r="K363" s="11">
        <v>30751</v>
      </c>
      <c r="L363" s="10" t="s">
        <v>286</v>
      </c>
      <c r="M363" s="10" t="s">
        <v>287</v>
      </c>
      <c r="N363" s="10" t="s">
        <v>15</v>
      </c>
      <c r="O363" s="10" t="s">
        <v>253</v>
      </c>
      <c r="P363" s="10">
        <v>19</v>
      </c>
      <c r="Q363" s="10">
        <v>2200</v>
      </c>
      <c r="R363" s="10">
        <v>10</v>
      </c>
      <c r="S363" s="10">
        <v>37620</v>
      </c>
      <c r="T363" s="10">
        <v>2</v>
      </c>
      <c r="U363" s="10" t="s">
        <v>254</v>
      </c>
      <c r="V363" s="10" t="s">
        <v>312</v>
      </c>
      <c r="W363" s="10" t="s">
        <v>273</v>
      </c>
      <c r="X363" s="10">
        <v>9885092680</v>
      </c>
      <c r="Y363" s="12" t="s">
        <v>248</v>
      </c>
      <c r="Z363" t="str">
        <f t="shared" si="36"/>
        <v>Blacklisted</v>
      </c>
      <c r="AA363" t="str">
        <f t="shared" si="37"/>
        <v>Mohit Verma</v>
      </c>
      <c r="AB363" t="str">
        <f t="shared" si="38"/>
        <v>Moh009Mu</v>
      </c>
      <c r="AC363" t="str">
        <f t="shared" si="41"/>
        <v>mohit.verma@company.com</v>
      </c>
      <c r="AD363" t="str">
        <f t="shared" ca="1" si="42"/>
        <v/>
      </c>
      <c r="AE363">
        <f t="shared" si="39"/>
        <v>6</v>
      </c>
      <c r="AF363" t="str">
        <f t="shared" si="40"/>
        <v>Delayed</v>
      </c>
    </row>
    <row r="364" spans="4:32">
      <c r="D364" s="4" t="s">
        <v>960</v>
      </c>
      <c r="E364" s="5" t="s">
        <v>266</v>
      </c>
      <c r="F364" s="5" t="s">
        <v>267</v>
      </c>
      <c r="G364" s="5" t="s">
        <v>118</v>
      </c>
      <c r="H364" s="5" t="s">
        <v>161</v>
      </c>
      <c r="I364" s="5" t="s">
        <v>268</v>
      </c>
      <c r="J364" s="5" t="s">
        <v>269</v>
      </c>
      <c r="K364" s="6">
        <v>30932</v>
      </c>
      <c r="L364" s="5" t="s">
        <v>252</v>
      </c>
      <c r="M364" s="5" t="s">
        <v>242</v>
      </c>
      <c r="N364" s="5" t="s">
        <v>243</v>
      </c>
      <c r="O364" s="5" t="s">
        <v>271</v>
      </c>
      <c r="P364" s="5">
        <v>7</v>
      </c>
      <c r="Q364" s="5">
        <v>1200</v>
      </c>
      <c r="R364" s="5">
        <v>20</v>
      </c>
      <c r="S364" s="5">
        <v>6720</v>
      </c>
      <c r="T364" s="5">
        <v>3</v>
      </c>
      <c r="U364" s="5" t="s">
        <v>272</v>
      </c>
      <c r="V364" s="5" t="s">
        <v>292</v>
      </c>
      <c r="W364" s="5" t="s">
        <v>273</v>
      </c>
      <c r="X364" s="5">
        <v>9362319457</v>
      </c>
      <c r="Y364" s="8" t="s">
        <v>265</v>
      </c>
      <c r="Z364" t="str">
        <f t="shared" si="36"/>
        <v>Blacklisted</v>
      </c>
      <c r="AA364" t="str">
        <f t="shared" si="37"/>
        <v>Mohit Verma</v>
      </c>
      <c r="AB364" t="str">
        <f t="shared" si="38"/>
        <v>Moh009Hy</v>
      </c>
      <c r="AC364" t="str">
        <f t="shared" si="41"/>
        <v>mohit.verma@company.com</v>
      </c>
      <c r="AD364">
        <f t="shared" ca="1" si="42"/>
        <v>42</v>
      </c>
      <c r="AE364">
        <f t="shared" si="39"/>
        <v>4</v>
      </c>
      <c r="AF364" t="str">
        <f t="shared" si="40"/>
        <v>On time</v>
      </c>
    </row>
    <row r="365" spans="4:32">
      <c r="D365" s="9" t="s">
        <v>961</v>
      </c>
      <c r="E365" s="10" t="s">
        <v>235</v>
      </c>
      <c r="F365" s="10" t="s">
        <v>347</v>
      </c>
      <c r="G365" s="10" t="s">
        <v>44</v>
      </c>
      <c r="H365" s="10" t="s">
        <v>100</v>
      </c>
      <c r="I365" s="10" t="s">
        <v>318</v>
      </c>
      <c r="J365" s="10" t="s">
        <v>239</v>
      </c>
      <c r="K365" s="11">
        <v>32784</v>
      </c>
      <c r="L365" s="10" t="s">
        <v>241</v>
      </c>
      <c r="M365" s="10" t="s">
        <v>242</v>
      </c>
      <c r="N365" s="10" t="s">
        <v>295</v>
      </c>
      <c r="O365" s="10" t="s">
        <v>349</v>
      </c>
      <c r="P365" s="10">
        <v>20</v>
      </c>
      <c r="Q365" s="10">
        <v>20</v>
      </c>
      <c r="R365" s="10">
        <v>20</v>
      </c>
      <c r="S365" s="10">
        <v>320</v>
      </c>
      <c r="T365" s="10">
        <v>5</v>
      </c>
      <c r="U365" s="10" t="s">
        <v>272</v>
      </c>
      <c r="V365" s="10" t="s">
        <v>292</v>
      </c>
      <c r="W365" s="10" t="s">
        <v>247</v>
      </c>
      <c r="X365" s="10">
        <v>9223945130</v>
      </c>
      <c r="Y365" s="12" t="s">
        <v>248</v>
      </c>
      <c r="Z365" t="str">
        <f t="shared" si="36"/>
        <v/>
      </c>
      <c r="AA365" t="str">
        <f t="shared" si="37"/>
        <v>Pooja Shah</v>
      </c>
      <c r="AB365" t="str">
        <f t="shared" si="38"/>
        <v>Poo010Be</v>
      </c>
      <c r="AC365" t="str">
        <f t="shared" si="41"/>
        <v>pooja.shah@company.com</v>
      </c>
      <c r="AD365">
        <f t="shared" ca="1" si="42"/>
        <v>42</v>
      </c>
      <c r="AE365">
        <f t="shared" si="39"/>
        <v>5</v>
      </c>
      <c r="AF365" t="str">
        <f t="shared" si="40"/>
        <v>On time</v>
      </c>
    </row>
    <row r="366" spans="4:32">
      <c r="D366" s="4" t="s">
        <v>962</v>
      </c>
      <c r="E366" s="5" t="s">
        <v>284</v>
      </c>
      <c r="F366" s="5" t="s">
        <v>267</v>
      </c>
      <c r="G366" s="5" t="s">
        <v>196</v>
      </c>
      <c r="H366" s="6">
        <v>45843</v>
      </c>
      <c r="I366" s="5" t="s">
        <v>285</v>
      </c>
      <c r="J366" s="5" t="s">
        <v>239</v>
      </c>
      <c r="K366" s="5" t="s">
        <v>963</v>
      </c>
      <c r="L366" s="5" t="s">
        <v>252</v>
      </c>
      <c r="M366" s="5" t="s">
        <v>242</v>
      </c>
      <c r="N366" s="5" t="s">
        <v>243</v>
      </c>
      <c r="O366" s="5" t="s">
        <v>271</v>
      </c>
      <c r="P366" s="5">
        <v>19</v>
      </c>
      <c r="Q366" s="5">
        <v>1200</v>
      </c>
      <c r="R366" s="5">
        <v>5</v>
      </c>
      <c r="S366" s="5">
        <v>21660</v>
      </c>
      <c r="T366" s="5">
        <v>3</v>
      </c>
      <c r="U366" s="5" t="s">
        <v>272</v>
      </c>
      <c r="V366" s="5" t="s">
        <v>255</v>
      </c>
      <c r="W366" s="5" t="s">
        <v>308</v>
      </c>
      <c r="X366" s="5">
        <v>9910804926</v>
      </c>
      <c r="Y366" s="8" t="s">
        <v>248</v>
      </c>
      <c r="Z366" t="str">
        <f t="shared" si="36"/>
        <v/>
      </c>
      <c r="AA366" t="str">
        <f t="shared" si="37"/>
        <v>Priya Patel</v>
      </c>
      <c r="AB366" t="str">
        <f t="shared" si="38"/>
        <v>Pri002Hy</v>
      </c>
      <c r="AC366" t="str">
        <f t="shared" si="41"/>
        <v>priya.patel@company.com</v>
      </c>
      <c r="AD366">
        <f t="shared" ca="1" si="42"/>
        <v>37</v>
      </c>
      <c r="AE366" t="str">
        <f t="shared" si="39"/>
        <v/>
      </c>
      <c r="AF366" t="str">
        <f t="shared" si="40"/>
        <v>Delayed</v>
      </c>
    </row>
    <row r="367" spans="4:32">
      <c r="D367" s="9" t="s">
        <v>964</v>
      </c>
      <c r="E367" s="10" t="s">
        <v>235</v>
      </c>
      <c r="F367" s="10" t="s">
        <v>347</v>
      </c>
      <c r="G367" s="11">
        <v>45718</v>
      </c>
      <c r="H367" s="10" t="s">
        <v>7</v>
      </c>
      <c r="I367" s="10" t="s">
        <v>318</v>
      </c>
      <c r="J367" s="10" t="s">
        <v>239</v>
      </c>
      <c r="K367" s="10" t="s">
        <v>965</v>
      </c>
      <c r="L367" s="10" t="s">
        <v>252</v>
      </c>
      <c r="M367" s="10" t="s">
        <v>242</v>
      </c>
      <c r="N367" s="10" t="s">
        <v>295</v>
      </c>
      <c r="O367" s="10" t="s">
        <v>349</v>
      </c>
      <c r="P367" s="10">
        <v>5</v>
      </c>
      <c r="Q367" s="10">
        <v>20</v>
      </c>
      <c r="R367" s="10">
        <v>0</v>
      </c>
      <c r="S367" s="10">
        <v>100</v>
      </c>
      <c r="T367" s="10">
        <v>2</v>
      </c>
      <c r="U367" s="10" t="s">
        <v>277</v>
      </c>
      <c r="V367" s="10" t="s">
        <v>263</v>
      </c>
      <c r="W367" s="10" t="s">
        <v>247</v>
      </c>
      <c r="X367" s="10">
        <v>9274269744</v>
      </c>
      <c r="Y367" s="12" t="s">
        <v>248</v>
      </c>
      <c r="Z367" t="str">
        <f t="shared" si="36"/>
        <v>Blacklisted</v>
      </c>
      <c r="AA367" t="str">
        <f t="shared" si="37"/>
        <v>Pooja Shah</v>
      </c>
      <c r="AB367" t="str">
        <f t="shared" si="38"/>
        <v>Poo010Hy</v>
      </c>
      <c r="AC367" t="str">
        <f t="shared" si="41"/>
        <v>pooja.shah@company.com</v>
      </c>
      <c r="AD367" t="str">
        <f t="shared" ca="1" si="42"/>
        <v/>
      </c>
      <c r="AE367" t="str">
        <f t="shared" si="39"/>
        <v/>
      </c>
      <c r="AF367" t="str">
        <f t="shared" si="40"/>
        <v>Delayed</v>
      </c>
    </row>
    <row r="368" spans="4:32">
      <c r="D368" s="4" t="s">
        <v>966</v>
      </c>
      <c r="E368" s="5" t="s">
        <v>284</v>
      </c>
      <c r="F368" s="5" t="s">
        <v>362</v>
      </c>
      <c r="G368" s="6">
        <v>46206</v>
      </c>
      <c r="H368" s="5" t="s">
        <v>44</v>
      </c>
      <c r="I368" s="5" t="s">
        <v>285</v>
      </c>
      <c r="J368" s="5" t="s">
        <v>239</v>
      </c>
      <c r="K368" s="6">
        <v>30629</v>
      </c>
      <c r="L368" s="5" t="s">
        <v>342</v>
      </c>
      <c r="M368" s="5" t="s">
        <v>261</v>
      </c>
      <c r="N368" s="5" t="s">
        <v>295</v>
      </c>
      <c r="O368" s="5" t="s">
        <v>363</v>
      </c>
      <c r="P368" s="5">
        <v>16</v>
      </c>
      <c r="Q368" s="5">
        <v>45</v>
      </c>
      <c r="R368" s="5">
        <v>15</v>
      </c>
      <c r="S368" s="5">
        <v>612</v>
      </c>
      <c r="T368" s="5">
        <v>5</v>
      </c>
      <c r="U368" s="5" t="s">
        <v>254</v>
      </c>
      <c r="V368" s="5" t="s">
        <v>246</v>
      </c>
      <c r="W368" s="5" t="s">
        <v>308</v>
      </c>
      <c r="X368" s="5">
        <v>9223196101</v>
      </c>
      <c r="Y368" s="8" t="s">
        <v>265</v>
      </c>
      <c r="Z368" t="str">
        <f t="shared" si="36"/>
        <v>Blacklisted</v>
      </c>
      <c r="AA368" t="str">
        <f t="shared" si="37"/>
        <v>Priya Patel</v>
      </c>
      <c r="AB368" t="str">
        <f t="shared" si="38"/>
        <v>Pri002Ja</v>
      </c>
      <c r="AC368" t="str">
        <f t="shared" si="41"/>
        <v>priya.patel@company.com</v>
      </c>
      <c r="AD368" t="str">
        <f t="shared" ca="1" si="42"/>
        <v/>
      </c>
      <c r="AE368" t="str">
        <f t="shared" si="39"/>
        <v/>
      </c>
      <c r="AF368" t="str">
        <f t="shared" si="40"/>
        <v>Delayed</v>
      </c>
    </row>
    <row r="369" spans="4:32">
      <c r="D369" s="9" t="s">
        <v>967</v>
      </c>
      <c r="E369" s="10" t="s">
        <v>249</v>
      </c>
      <c r="F369" s="10" t="s">
        <v>250</v>
      </c>
      <c r="G369" s="11">
        <v>45721</v>
      </c>
      <c r="H369" s="10" t="s">
        <v>34</v>
      </c>
      <c r="I369" s="10" t="s">
        <v>251</v>
      </c>
      <c r="J369" s="10" t="s">
        <v>239</v>
      </c>
      <c r="K369" s="11">
        <v>28070</v>
      </c>
      <c r="L369" s="10" t="s">
        <v>342</v>
      </c>
      <c r="M369" s="10" t="s">
        <v>261</v>
      </c>
      <c r="N369" s="10" t="s">
        <v>15</v>
      </c>
      <c r="O369" s="10" t="s">
        <v>253</v>
      </c>
      <c r="P369" s="10">
        <v>1</v>
      </c>
      <c r="Q369" s="10">
        <v>2200</v>
      </c>
      <c r="R369" s="10">
        <v>10</v>
      </c>
      <c r="S369" s="10">
        <v>1980</v>
      </c>
      <c r="T369" s="10">
        <v>5</v>
      </c>
      <c r="U369" s="10" t="s">
        <v>272</v>
      </c>
      <c r="V369" s="10" t="s">
        <v>263</v>
      </c>
      <c r="W369" s="10" t="s">
        <v>264</v>
      </c>
      <c r="X369" s="10">
        <v>9888477457</v>
      </c>
      <c r="Y369" s="12" t="s">
        <v>257</v>
      </c>
      <c r="Z369" t="str">
        <f t="shared" si="36"/>
        <v>Silver</v>
      </c>
      <c r="AA369" t="str">
        <f t="shared" si="37"/>
        <v>Kavya Nair</v>
      </c>
      <c r="AB369" t="str">
        <f t="shared" si="38"/>
        <v>Kav008Ja</v>
      </c>
      <c r="AC369" t="str">
        <f t="shared" si="41"/>
        <v>kavya.nair@company.com</v>
      </c>
      <c r="AD369">
        <f t="shared" ca="1" si="42"/>
        <v>42</v>
      </c>
      <c r="AE369" t="str">
        <f t="shared" si="39"/>
        <v/>
      </c>
      <c r="AF369" t="str">
        <f t="shared" si="40"/>
        <v>Delayed</v>
      </c>
    </row>
    <row r="370" spans="4:32">
      <c r="D370" s="4" t="s">
        <v>968</v>
      </c>
      <c r="E370" s="5" t="s">
        <v>235</v>
      </c>
      <c r="F370" s="5" t="s">
        <v>294</v>
      </c>
      <c r="G370" s="6">
        <v>46026</v>
      </c>
      <c r="H370" s="6">
        <v>46146</v>
      </c>
      <c r="I370" s="5" t="s">
        <v>318</v>
      </c>
      <c r="J370" s="5" t="s">
        <v>239</v>
      </c>
      <c r="K370" s="6">
        <v>31868</v>
      </c>
      <c r="L370" s="5" t="s">
        <v>252</v>
      </c>
      <c r="M370" s="5" t="s">
        <v>242</v>
      </c>
      <c r="N370" s="5" t="s">
        <v>295</v>
      </c>
      <c r="O370" s="5" t="s">
        <v>296</v>
      </c>
      <c r="P370" s="5">
        <v>19</v>
      </c>
      <c r="Q370" s="5">
        <v>60</v>
      </c>
      <c r="R370" s="5">
        <v>15</v>
      </c>
      <c r="S370" s="5">
        <v>969</v>
      </c>
      <c r="T370" s="5">
        <v>4</v>
      </c>
      <c r="U370" s="5" t="s">
        <v>245</v>
      </c>
      <c r="V370" s="5" t="s">
        <v>292</v>
      </c>
      <c r="W370" s="5" t="s">
        <v>247</v>
      </c>
      <c r="X370" s="5">
        <v>9435947486</v>
      </c>
      <c r="Y370" s="8" t="s">
        <v>265</v>
      </c>
      <c r="Z370" t="str">
        <f t="shared" si="36"/>
        <v>Blacklisted</v>
      </c>
      <c r="AA370" t="str">
        <f t="shared" si="37"/>
        <v>Pooja Shah</v>
      </c>
      <c r="AB370" t="str">
        <f t="shared" si="38"/>
        <v>Poo010Hy</v>
      </c>
      <c r="AC370" t="str">
        <f t="shared" si="41"/>
        <v>pooja.shah@company.com</v>
      </c>
      <c r="AD370">
        <f t="shared" ca="1" si="42"/>
        <v>49</v>
      </c>
      <c r="AE370" t="str">
        <f t="shared" si="39"/>
        <v/>
      </c>
      <c r="AF370" t="str">
        <f t="shared" si="40"/>
        <v>Delayed</v>
      </c>
    </row>
    <row r="371" spans="4:32">
      <c r="D371" s="9" t="s">
        <v>969</v>
      </c>
      <c r="E371" s="10" t="s">
        <v>392</v>
      </c>
      <c r="F371" s="10" t="s">
        <v>236</v>
      </c>
      <c r="G371" s="10"/>
      <c r="H371" s="11">
        <v>45690</v>
      </c>
      <c r="I371" s="10" t="s">
        <v>323</v>
      </c>
      <c r="J371" s="10" t="s">
        <v>269</v>
      </c>
      <c r="K371" s="10" t="s">
        <v>970</v>
      </c>
      <c r="L371" s="10" t="s">
        <v>260</v>
      </c>
      <c r="M371" s="10" t="s">
        <v>261</v>
      </c>
      <c r="N371" s="10" t="s">
        <v>243</v>
      </c>
      <c r="O371" s="10" t="s">
        <v>244</v>
      </c>
      <c r="P371" s="10">
        <v>15</v>
      </c>
      <c r="Q371" s="10">
        <v>55000</v>
      </c>
      <c r="R371" s="10">
        <v>0</v>
      </c>
      <c r="S371" s="10">
        <v>825000</v>
      </c>
      <c r="T371" s="10">
        <v>5</v>
      </c>
      <c r="U371" s="10" t="s">
        <v>272</v>
      </c>
      <c r="V371" s="10" t="s">
        <v>292</v>
      </c>
      <c r="W371" s="10" t="s">
        <v>395</v>
      </c>
      <c r="X371" s="10">
        <v>9411668831</v>
      </c>
      <c r="Y371" s="12" t="s">
        <v>265</v>
      </c>
      <c r="Z371" t="str">
        <f t="shared" si="36"/>
        <v>Blacklisted</v>
      </c>
      <c r="AA371" t="str">
        <f t="shared" si="37"/>
        <v>Amit Sharma</v>
      </c>
      <c r="AB371" t="str">
        <f t="shared" si="38"/>
        <v>Ami001De</v>
      </c>
      <c r="AC371" t="str">
        <f t="shared" si="41"/>
        <v>amit.sharma@company.com</v>
      </c>
      <c r="AD371">
        <f t="shared" ca="1" si="42"/>
        <v>39</v>
      </c>
      <c r="AE371" t="str">
        <f t="shared" si="39"/>
        <v/>
      </c>
      <c r="AF371" t="str">
        <f t="shared" si="40"/>
        <v>Delayed</v>
      </c>
    </row>
    <row r="372" spans="4:32">
      <c r="D372" s="4" t="s">
        <v>971</v>
      </c>
      <c r="E372" s="5" t="s">
        <v>266</v>
      </c>
      <c r="F372" s="5" t="s">
        <v>362</v>
      </c>
      <c r="G372" s="6">
        <v>45818</v>
      </c>
      <c r="H372" s="6">
        <v>45879</v>
      </c>
      <c r="I372" s="5" t="s">
        <v>268</v>
      </c>
      <c r="J372" s="5" t="s">
        <v>269</v>
      </c>
      <c r="K372" s="6">
        <v>32572</v>
      </c>
      <c r="L372" s="5" t="s">
        <v>241</v>
      </c>
      <c r="M372" s="5" t="s">
        <v>242</v>
      </c>
      <c r="N372" s="5" t="s">
        <v>295</v>
      </c>
      <c r="O372" s="5" t="s">
        <v>363</v>
      </c>
      <c r="P372" s="5">
        <v>11</v>
      </c>
      <c r="Q372" s="5">
        <v>45</v>
      </c>
      <c r="R372" s="5">
        <v>5</v>
      </c>
      <c r="S372" s="5">
        <v>470.25</v>
      </c>
      <c r="T372" s="5">
        <v>5</v>
      </c>
      <c r="U372" s="5" t="s">
        <v>245</v>
      </c>
      <c r="V372" s="5" t="s">
        <v>312</v>
      </c>
      <c r="W372" s="5" t="s">
        <v>273</v>
      </c>
      <c r="X372" s="5">
        <v>9523682403</v>
      </c>
      <c r="Y372" s="8" t="s">
        <v>257</v>
      </c>
      <c r="Z372" t="str">
        <f t="shared" si="36"/>
        <v>Silver</v>
      </c>
      <c r="AA372" t="str">
        <f t="shared" si="37"/>
        <v>Mohit Verma</v>
      </c>
      <c r="AB372" t="str">
        <f t="shared" si="38"/>
        <v>Moh009Be</v>
      </c>
      <c r="AC372" t="str">
        <f t="shared" si="41"/>
        <v>mohit.verma@company.com</v>
      </c>
      <c r="AD372" t="str">
        <f t="shared" ca="1" si="42"/>
        <v/>
      </c>
      <c r="AE372" t="str">
        <f t="shared" si="39"/>
        <v/>
      </c>
      <c r="AF372" t="str">
        <f t="shared" si="40"/>
        <v>Delayed</v>
      </c>
    </row>
    <row r="373" spans="4:32">
      <c r="D373" s="9" t="s">
        <v>972</v>
      </c>
      <c r="E373" s="10" t="s">
        <v>358</v>
      </c>
      <c r="F373" s="10" t="s">
        <v>347</v>
      </c>
      <c r="G373" s="11">
        <v>45997</v>
      </c>
      <c r="H373" s="10" t="s">
        <v>973</v>
      </c>
      <c r="I373" s="10" t="s">
        <v>359</v>
      </c>
      <c r="J373" s="10" t="s">
        <v>239</v>
      </c>
      <c r="K373" s="10" t="s">
        <v>974</v>
      </c>
      <c r="L373" s="10" t="s">
        <v>342</v>
      </c>
      <c r="M373" s="10" t="s">
        <v>261</v>
      </c>
      <c r="N373" s="10" t="s">
        <v>295</v>
      </c>
      <c r="O373" s="10" t="s">
        <v>349</v>
      </c>
      <c r="P373" s="10">
        <v>9</v>
      </c>
      <c r="Q373" s="10">
        <v>20</v>
      </c>
      <c r="R373" s="10">
        <v>10</v>
      </c>
      <c r="S373" s="10">
        <v>162</v>
      </c>
      <c r="T373" s="10">
        <v>1</v>
      </c>
      <c r="U373" s="10" t="s">
        <v>272</v>
      </c>
      <c r="V373" s="10" t="s">
        <v>263</v>
      </c>
      <c r="W373" s="10" t="s">
        <v>360</v>
      </c>
      <c r="X373" s="10">
        <v>9652936744</v>
      </c>
      <c r="Y373" s="12" t="s">
        <v>265</v>
      </c>
      <c r="Z373" t="str">
        <f t="shared" si="36"/>
        <v>Blacklisted</v>
      </c>
      <c r="AA373" t="str">
        <f t="shared" si="37"/>
        <v>Sneha Joshi</v>
      </c>
      <c r="AB373" t="str">
        <f t="shared" si="38"/>
        <v>Sne006Ja</v>
      </c>
      <c r="AC373" t="str">
        <f t="shared" si="41"/>
        <v>sneha.joshi@company.com</v>
      </c>
      <c r="AD373">
        <f t="shared" ca="1" si="42"/>
        <v>37</v>
      </c>
      <c r="AE373" t="str">
        <f t="shared" si="39"/>
        <v/>
      </c>
      <c r="AF373" t="str">
        <f t="shared" si="40"/>
        <v>Delayed</v>
      </c>
    </row>
    <row r="374" spans="4:32">
      <c r="D374" s="4" t="s">
        <v>975</v>
      </c>
      <c r="E374" s="5" t="s">
        <v>321</v>
      </c>
      <c r="F374" s="5" t="s">
        <v>362</v>
      </c>
      <c r="G374" s="5" t="s">
        <v>72</v>
      </c>
      <c r="H374" s="5" t="s">
        <v>670</v>
      </c>
      <c r="I374" s="5" t="s">
        <v>408</v>
      </c>
      <c r="J374" s="5" t="s">
        <v>239</v>
      </c>
      <c r="K374" s="6">
        <v>34949</v>
      </c>
      <c r="L374" s="5" t="s">
        <v>241</v>
      </c>
      <c r="M374" s="5" t="s">
        <v>242</v>
      </c>
      <c r="N374" s="5" t="s">
        <v>295</v>
      </c>
      <c r="O374" s="5" t="s">
        <v>363</v>
      </c>
      <c r="P374" s="5">
        <v>5</v>
      </c>
      <c r="Q374" s="5">
        <v>45</v>
      </c>
      <c r="R374" s="5">
        <v>5</v>
      </c>
      <c r="S374" s="5">
        <v>213.75</v>
      </c>
      <c r="T374" s="5">
        <v>3</v>
      </c>
      <c r="U374" s="5" t="s">
        <v>272</v>
      </c>
      <c r="V374" s="5" t="s">
        <v>292</v>
      </c>
      <c r="W374" s="5" t="s">
        <v>326</v>
      </c>
      <c r="X374" s="5">
        <v>9726464733</v>
      </c>
      <c r="Y374" s="8" t="s">
        <v>248</v>
      </c>
      <c r="Z374" t="str">
        <f t="shared" si="36"/>
        <v/>
      </c>
      <c r="AA374" t="str">
        <f t="shared" si="37"/>
        <v>Anita Gupta</v>
      </c>
      <c r="AB374" t="str">
        <f t="shared" si="38"/>
        <v>Ani004Be</v>
      </c>
      <c r="AC374" t="str">
        <f t="shared" si="41"/>
        <v>anita.gupta@company.com</v>
      </c>
      <c r="AD374" t="str">
        <f t="shared" ca="1" si="42"/>
        <v/>
      </c>
      <c r="AE374">
        <f t="shared" si="39"/>
        <v>2</v>
      </c>
      <c r="AF374" t="str">
        <f t="shared" si="40"/>
        <v>On time</v>
      </c>
    </row>
    <row r="375" spans="4:32">
      <c r="D375" s="9" t="s">
        <v>976</v>
      </c>
      <c r="E375" s="10" t="s">
        <v>275</v>
      </c>
      <c r="F375" s="10" t="s">
        <v>330</v>
      </c>
      <c r="G375" s="11">
        <v>45668</v>
      </c>
      <c r="H375" s="11">
        <v>45699</v>
      </c>
      <c r="I375" s="10" t="s">
        <v>328</v>
      </c>
      <c r="J375" s="10" t="s">
        <v>269</v>
      </c>
      <c r="K375" s="10" t="s">
        <v>977</v>
      </c>
      <c r="L375" s="10" t="s">
        <v>252</v>
      </c>
      <c r="M375" s="10" t="s">
        <v>242</v>
      </c>
      <c r="N375" s="10" t="s">
        <v>243</v>
      </c>
      <c r="O375" s="10" t="s">
        <v>333</v>
      </c>
      <c r="P375" s="10">
        <v>5</v>
      </c>
      <c r="Q375" s="10">
        <v>700</v>
      </c>
      <c r="R375" s="10">
        <v>10</v>
      </c>
      <c r="S375" s="10">
        <v>3150</v>
      </c>
      <c r="T375" s="10">
        <v>2</v>
      </c>
      <c r="U375" s="10" t="s">
        <v>277</v>
      </c>
      <c r="V375" s="10" t="s">
        <v>263</v>
      </c>
      <c r="W375" s="10" t="s">
        <v>278</v>
      </c>
      <c r="X375" s="10">
        <v>9273520544</v>
      </c>
      <c r="Y375" s="12" t="s">
        <v>257</v>
      </c>
      <c r="Z375" t="str">
        <f t="shared" si="36"/>
        <v>Blacklisted</v>
      </c>
      <c r="AA375" t="str">
        <f t="shared" si="37"/>
        <v>Arjun Rao</v>
      </c>
      <c r="AB375" t="str">
        <f t="shared" si="38"/>
        <v>Arj007Hy</v>
      </c>
      <c r="AC375" t="str">
        <f t="shared" si="41"/>
        <v>arjun.rao@company.com</v>
      </c>
      <c r="AD375">
        <f t="shared" ca="1" si="42"/>
        <v>31</v>
      </c>
      <c r="AE375" t="str">
        <f t="shared" si="39"/>
        <v/>
      </c>
      <c r="AF375" t="str">
        <f t="shared" si="40"/>
        <v>Delayed</v>
      </c>
    </row>
    <row r="376" spans="4:32">
      <c r="D376" s="4" t="s">
        <v>978</v>
      </c>
      <c r="E376" s="5" t="s">
        <v>346</v>
      </c>
      <c r="F376" s="5" t="s">
        <v>330</v>
      </c>
      <c r="G376" s="5" t="s">
        <v>128</v>
      </c>
      <c r="H376" s="5" t="s">
        <v>201</v>
      </c>
      <c r="I376" s="5" t="s">
        <v>348</v>
      </c>
      <c r="J376" s="5" t="s">
        <v>269</v>
      </c>
      <c r="K376" s="5" t="s">
        <v>979</v>
      </c>
      <c r="L376" s="5" t="s">
        <v>379</v>
      </c>
      <c r="M376" s="5" t="s">
        <v>21</v>
      </c>
      <c r="N376" s="5" t="s">
        <v>243</v>
      </c>
      <c r="O376" s="5" t="s">
        <v>333</v>
      </c>
      <c r="P376" s="5">
        <v>1</v>
      </c>
      <c r="Q376" s="5">
        <v>700</v>
      </c>
      <c r="R376" s="5">
        <v>0</v>
      </c>
      <c r="S376" s="5">
        <v>700</v>
      </c>
      <c r="T376" s="5">
        <v>1</v>
      </c>
      <c r="U376" s="5" t="s">
        <v>277</v>
      </c>
      <c r="V376" s="5" t="s">
        <v>312</v>
      </c>
      <c r="W376" s="5" t="s">
        <v>350</v>
      </c>
      <c r="X376" s="5">
        <v>9374259988</v>
      </c>
      <c r="Y376" s="8" t="s">
        <v>257</v>
      </c>
      <c r="Z376" t="str">
        <f t="shared" si="36"/>
        <v>Blacklisted</v>
      </c>
      <c r="AA376" t="str">
        <f t="shared" si="37"/>
        <v>Vikas Mehta</v>
      </c>
      <c r="AB376" t="str">
        <f t="shared" si="38"/>
        <v>Vik005Ko</v>
      </c>
      <c r="AC376" t="str">
        <f t="shared" si="41"/>
        <v>vikas.mehta@company.com</v>
      </c>
      <c r="AD376" t="str">
        <f t="shared" ca="1" si="42"/>
        <v/>
      </c>
      <c r="AE376">
        <f t="shared" si="39"/>
        <v>7</v>
      </c>
      <c r="AF376" t="str">
        <f t="shared" si="40"/>
        <v>Delayed</v>
      </c>
    </row>
    <row r="377" spans="4:32">
      <c r="D377" s="9" t="s">
        <v>980</v>
      </c>
      <c r="E377" s="10" t="s">
        <v>249</v>
      </c>
      <c r="F377" s="10" t="s">
        <v>330</v>
      </c>
      <c r="G377" s="10" t="s">
        <v>9</v>
      </c>
      <c r="H377" s="10" t="s">
        <v>99</v>
      </c>
      <c r="I377" s="10" t="s">
        <v>251</v>
      </c>
      <c r="J377" s="10" t="s">
        <v>239</v>
      </c>
      <c r="K377" s="10" t="s">
        <v>981</v>
      </c>
      <c r="L377" s="10" t="s">
        <v>286</v>
      </c>
      <c r="M377" s="10" t="s">
        <v>287</v>
      </c>
      <c r="N377" s="10" t="s">
        <v>243</v>
      </c>
      <c r="O377" s="10" t="s">
        <v>333</v>
      </c>
      <c r="P377" s="10">
        <v>13</v>
      </c>
      <c r="Q377" s="10">
        <v>700</v>
      </c>
      <c r="R377" s="10">
        <v>20</v>
      </c>
      <c r="S377" s="10">
        <v>7280</v>
      </c>
      <c r="T377" s="10">
        <v>2</v>
      </c>
      <c r="U377" s="10" t="s">
        <v>272</v>
      </c>
      <c r="V377" s="10" t="s">
        <v>255</v>
      </c>
      <c r="W377" s="10" t="s">
        <v>264</v>
      </c>
      <c r="X377" s="10">
        <v>9538129419</v>
      </c>
      <c r="Y377" s="12" t="s">
        <v>257</v>
      </c>
      <c r="Z377" t="str">
        <f t="shared" si="36"/>
        <v>Blacklisted</v>
      </c>
      <c r="AA377" t="str">
        <f t="shared" si="37"/>
        <v>Kavya Nair</v>
      </c>
      <c r="AB377" t="str">
        <f t="shared" si="38"/>
        <v>Kav008Mu</v>
      </c>
      <c r="AC377" t="str">
        <f t="shared" si="41"/>
        <v>kavya.nair@company.com</v>
      </c>
      <c r="AD377" t="str">
        <f t="shared" ca="1" si="42"/>
        <v/>
      </c>
      <c r="AE377">
        <f t="shared" si="39"/>
        <v>8</v>
      </c>
      <c r="AF377" t="str">
        <f t="shared" si="40"/>
        <v>Delayed</v>
      </c>
    </row>
    <row r="378" spans="4:32">
      <c r="D378" s="4" t="s">
        <v>982</v>
      </c>
      <c r="E378" s="5" t="s">
        <v>266</v>
      </c>
      <c r="F378" s="5" t="s">
        <v>258</v>
      </c>
      <c r="G378" s="6">
        <v>45871</v>
      </c>
      <c r="H378" s="5" t="s">
        <v>75</v>
      </c>
      <c r="I378" s="5" t="s">
        <v>268</v>
      </c>
      <c r="J378" s="5" t="s">
        <v>269</v>
      </c>
      <c r="K378" s="5" t="s">
        <v>983</v>
      </c>
      <c r="L378" s="5" t="s">
        <v>291</v>
      </c>
      <c r="M378" s="5" t="s">
        <v>287</v>
      </c>
      <c r="N378" s="5" t="s">
        <v>243</v>
      </c>
      <c r="O378" s="5" t="s">
        <v>262</v>
      </c>
      <c r="P378" s="5">
        <v>20</v>
      </c>
      <c r="Q378" s="5">
        <v>12000</v>
      </c>
      <c r="R378" s="5">
        <v>0</v>
      </c>
      <c r="S378" s="5">
        <v>240000</v>
      </c>
      <c r="T378" s="5">
        <v>2</v>
      </c>
      <c r="U378" s="5" t="s">
        <v>272</v>
      </c>
      <c r="V378" s="5" t="s">
        <v>292</v>
      </c>
      <c r="W378" s="5" t="s">
        <v>273</v>
      </c>
      <c r="X378" s="5">
        <v>9382815686</v>
      </c>
      <c r="Y378" s="8" t="s">
        <v>257</v>
      </c>
      <c r="Z378" t="str">
        <f t="shared" si="36"/>
        <v>Blacklisted</v>
      </c>
      <c r="AA378" t="str">
        <f t="shared" si="37"/>
        <v>Mohit Verma</v>
      </c>
      <c r="AB378" t="str">
        <f t="shared" si="38"/>
        <v>Moh009Pu</v>
      </c>
      <c r="AC378" t="str">
        <f t="shared" si="41"/>
        <v>mohit.verma@company.com</v>
      </c>
      <c r="AD378" t="str">
        <f t="shared" ca="1" si="42"/>
        <v/>
      </c>
      <c r="AE378" t="str">
        <f t="shared" si="39"/>
        <v/>
      </c>
      <c r="AF378" t="str">
        <f t="shared" si="40"/>
        <v>Delayed</v>
      </c>
    </row>
    <row r="379" spans="4:32">
      <c r="D379" s="9" t="s">
        <v>984</v>
      </c>
      <c r="E379" s="10" t="s">
        <v>275</v>
      </c>
      <c r="F379" s="10" t="s">
        <v>267</v>
      </c>
      <c r="G379" s="10" t="s">
        <v>183</v>
      </c>
      <c r="H379" s="11">
        <v>46174</v>
      </c>
      <c r="I379" s="10" t="s">
        <v>328</v>
      </c>
      <c r="J379" s="10" t="s">
        <v>269</v>
      </c>
      <c r="K379" s="10" t="s">
        <v>985</v>
      </c>
      <c r="L379" s="10" t="s">
        <v>379</v>
      </c>
      <c r="M379" s="10" t="s">
        <v>21</v>
      </c>
      <c r="N379" s="10" t="s">
        <v>243</v>
      </c>
      <c r="O379" s="10" t="s">
        <v>271</v>
      </c>
      <c r="P379" s="10">
        <v>9</v>
      </c>
      <c r="Q379" s="10">
        <v>1200</v>
      </c>
      <c r="R379" s="10">
        <v>15</v>
      </c>
      <c r="S379" s="10">
        <v>9180</v>
      </c>
      <c r="T379" s="10">
        <v>1</v>
      </c>
      <c r="U379" s="10" t="s">
        <v>277</v>
      </c>
      <c r="V379" s="10" t="s">
        <v>255</v>
      </c>
      <c r="W379" s="10" t="s">
        <v>278</v>
      </c>
      <c r="X379" s="10">
        <v>9450746157</v>
      </c>
      <c r="Y379" s="12" t="s">
        <v>248</v>
      </c>
      <c r="Z379" t="str">
        <f t="shared" si="36"/>
        <v>Blacklisted</v>
      </c>
      <c r="AA379" t="str">
        <f t="shared" si="37"/>
        <v>Arjun Rao</v>
      </c>
      <c r="AB379" t="str">
        <f t="shared" si="38"/>
        <v>Arj007Ko</v>
      </c>
      <c r="AC379" t="str">
        <f t="shared" si="41"/>
        <v>arjun.rao@company.com</v>
      </c>
      <c r="AD379" t="str">
        <f t="shared" ca="1" si="42"/>
        <v/>
      </c>
      <c r="AE379" t="str">
        <f t="shared" si="39"/>
        <v/>
      </c>
      <c r="AF379" t="str">
        <f t="shared" si="40"/>
        <v>Delayed</v>
      </c>
    </row>
    <row r="380" spans="4:32">
      <c r="D380" s="4" t="s">
        <v>986</v>
      </c>
      <c r="E380" s="5" t="s">
        <v>275</v>
      </c>
      <c r="F380" s="5" t="s">
        <v>347</v>
      </c>
      <c r="G380" s="6">
        <v>45667</v>
      </c>
      <c r="H380" s="6">
        <v>45726</v>
      </c>
      <c r="I380" s="5" t="s">
        <v>328</v>
      </c>
      <c r="J380" s="5" t="s">
        <v>269</v>
      </c>
      <c r="K380" s="5" t="s">
        <v>987</v>
      </c>
      <c r="L380" s="5" t="s">
        <v>342</v>
      </c>
      <c r="M380" s="5" t="s">
        <v>261</v>
      </c>
      <c r="N380" s="5" t="s">
        <v>295</v>
      </c>
      <c r="O380" s="5" t="s">
        <v>349</v>
      </c>
      <c r="P380" s="5">
        <v>3</v>
      </c>
      <c r="Q380" s="5">
        <v>20</v>
      </c>
      <c r="R380" s="5">
        <v>15</v>
      </c>
      <c r="S380" s="5">
        <v>51</v>
      </c>
      <c r="T380" s="5">
        <v>3</v>
      </c>
      <c r="U380" s="5" t="s">
        <v>254</v>
      </c>
      <c r="V380" s="5" t="s">
        <v>292</v>
      </c>
      <c r="W380" s="5" t="s">
        <v>278</v>
      </c>
      <c r="X380" s="5">
        <v>9349012570</v>
      </c>
      <c r="Y380" s="8" t="s">
        <v>248</v>
      </c>
      <c r="Z380" t="str">
        <f t="shared" si="36"/>
        <v/>
      </c>
      <c r="AA380" t="str">
        <f t="shared" si="37"/>
        <v>Arjun Rao</v>
      </c>
      <c r="AB380" t="str">
        <f t="shared" si="38"/>
        <v>Arj007Ja</v>
      </c>
      <c r="AC380" t="str">
        <f t="shared" si="41"/>
        <v>arjun.rao@company.com</v>
      </c>
      <c r="AD380" t="str">
        <f t="shared" ca="1" si="42"/>
        <v/>
      </c>
      <c r="AE380" t="str">
        <f t="shared" si="39"/>
        <v/>
      </c>
      <c r="AF380" t="str">
        <f t="shared" si="40"/>
        <v>Delayed</v>
      </c>
    </row>
    <row r="381" spans="4:32">
      <c r="D381" s="9" t="s">
        <v>988</v>
      </c>
      <c r="E381" s="10" t="s">
        <v>358</v>
      </c>
      <c r="F381" s="10" t="s">
        <v>236</v>
      </c>
      <c r="G381" s="10" t="s">
        <v>73</v>
      </c>
      <c r="H381" s="10" t="s">
        <v>448</v>
      </c>
      <c r="I381" s="10" t="s">
        <v>359</v>
      </c>
      <c r="J381" s="10" t="s">
        <v>239</v>
      </c>
      <c r="K381" s="10" t="s">
        <v>989</v>
      </c>
      <c r="L381" s="10" t="s">
        <v>260</v>
      </c>
      <c r="M381" s="10" t="s">
        <v>261</v>
      </c>
      <c r="N381" s="10" t="s">
        <v>243</v>
      </c>
      <c r="O381" s="10" t="s">
        <v>244</v>
      </c>
      <c r="P381" s="10">
        <v>8</v>
      </c>
      <c r="Q381" s="10">
        <v>55000</v>
      </c>
      <c r="R381" s="10">
        <v>20</v>
      </c>
      <c r="S381" s="10">
        <v>352000</v>
      </c>
      <c r="T381" s="10">
        <v>5</v>
      </c>
      <c r="U381" s="10" t="s">
        <v>272</v>
      </c>
      <c r="V381" s="10" t="s">
        <v>312</v>
      </c>
      <c r="W381" s="10" t="s">
        <v>360</v>
      </c>
      <c r="X381" s="10">
        <v>9442163790</v>
      </c>
      <c r="Y381" s="12" t="s">
        <v>248</v>
      </c>
      <c r="Z381" t="str">
        <f t="shared" si="36"/>
        <v/>
      </c>
      <c r="AA381" t="str">
        <f t="shared" si="37"/>
        <v>Sneha Joshi</v>
      </c>
      <c r="AB381" t="str">
        <f t="shared" si="38"/>
        <v>Sne006De</v>
      </c>
      <c r="AC381" t="str">
        <f t="shared" si="41"/>
        <v>sneha.joshi@company.com</v>
      </c>
      <c r="AD381" t="str">
        <f t="shared" ca="1" si="42"/>
        <v/>
      </c>
      <c r="AE381">
        <f t="shared" si="39"/>
        <v>1</v>
      </c>
      <c r="AF381" t="str">
        <f t="shared" si="40"/>
        <v>On time</v>
      </c>
    </row>
    <row r="382" spans="4:32">
      <c r="D382" s="4" t="s">
        <v>990</v>
      </c>
      <c r="E382" s="5" t="s">
        <v>358</v>
      </c>
      <c r="F382" s="5" t="s">
        <v>294</v>
      </c>
      <c r="G382" s="5" t="s">
        <v>190</v>
      </c>
      <c r="H382" s="6">
        <v>45848</v>
      </c>
      <c r="I382" s="5" t="s">
        <v>359</v>
      </c>
      <c r="J382" s="5" t="s">
        <v>239</v>
      </c>
      <c r="K382" s="5" t="s">
        <v>991</v>
      </c>
      <c r="L382" s="5" t="s">
        <v>260</v>
      </c>
      <c r="M382" s="5" t="s">
        <v>261</v>
      </c>
      <c r="N382" s="5" t="s">
        <v>295</v>
      </c>
      <c r="O382" s="5" t="s">
        <v>296</v>
      </c>
      <c r="P382" s="5">
        <v>17</v>
      </c>
      <c r="Q382" s="5">
        <v>60</v>
      </c>
      <c r="R382" s="5">
        <v>20</v>
      </c>
      <c r="S382" s="5">
        <v>816</v>
      </c>
      <c r="T382" s="5">
        <v>1</v>
      </c>
      <c r="U382" s="5" t="s">
        <v>277</v>
      </c>
      <c r="V382" s="5" t="s">
        <v>255</v>
      </c>
      <c r="W382" s="5" t="s">
        <v>360</v>
      </c>
      <c r="X382" s="5">
        <v>9953329223</v>
      </c>
      <c r="Y382" s="8" t="s">
        <v>248</v>
      </c>
      <c r="Z382" t="str">
        <f t="shared" si="36"/>
        <v>Blacklisted</v>
      </c>
      <c r="AA382" t="str">
        <f t="shared" si="37"/>
        <v>Sneha Joshi</v>
      </c>
      <c r="AB382" t="str">
        <f t="shared" si="38"/>
        <v>Sne006De</v>
      </c>
      <c r="AC382" t="str">
        <f t="shared" si="41"/>
        <v>sneha.joshi@company.com</v>
      </c>
      <c r="AD382" t="str">
        <f t="shared" ca="1" si="42"/>
        <v/>
      </c>
      <c r="AE382" t="str">
        <f t="shared" si="39"/>
        <v/>
      </c>
      <c r="AF382" t="str">
        <f t="shared" si="40"/>
        <v>Delayed</v>
      </c>
    </row>
    <row r="383" spans="4:32">
      <c r="D383" s="9" t="s">
        <v>992</v>
      </c>
      <c r="E383" s="10" t="s">
        <v>299</v>
      </c>
      <c r="F383" s="10" t="s">
        <v>347</v>
      </c>
      <c r="G383" s="10" t="s">
        <v>27</v>
      </c>
      <c r="H383" s="10" t="s">
        <v>112</v>
      </c>
      <c r="I383" s="10" t="s">
        <v>301</v>
      </c>
      <c r="J383" s="10" t="s">
        <v>269</v>
      </c>
      <c r="K383" s="11">
        <v>30957</v>
      </c>
      <c r="L383" s="10" t="s">
        <v>241</v>
      </c>
      <c r="M383" s="10" t="s">
        <v>242</v>
      </c>
      <c r="N383" s="10" t="s">
        <v>295</v>
      </c>
      <c r="O383" s="10" t="s">
        <v>349</v>
      </c>
      <c r="P383" s="10">
        <v>4</v>
      </c>
      <c r="Q383" s="10">
        <v>20</v>
      </c>
      <c r="R383" s="10">
        <v>15</v>
      </c>
      <c r="S383" s="10">
        <v>68</v>
      </c>
      <c r="T383" s="10">
        <v>3</v>
      </c>
      <c r="U383" s="10" t="s">
        <v>245</v>
      </c>
      <c r="V383" s="10" t="s">
        <v>246</v>
      </c>
      <c r="W383" s="10" t="s">
        <v>302</v>
      </c>
      <c r="X383" s="10">
        <v>9202321359</v>
      </c>
      <c r="Y383" s="12" t="s">
        <v>248</v>
      </c>
      <c r="Z383" t="str">
        <f t="shared" si="36"/>
        <v/>
      </c>
      <c r="AA383" t="str">
        <f t="shared" si="37"/>
        <v>Rohit Singh</v>
      </c>
      <c r="AB383" t="str">
        <f t="shared" si="38"/>
        <v>Roh003Be</v>
      </c>
      <c r="AC383" t="str">
        <f t="shared" si="41"/>
        <v>rohit.singh@company.com</v>
      </c>
      <c r="AD383" t="str">
        <f t="shared" ca="1" si="42"/>
        <v/>
      </c>
      <c r="AE383">
        <f t="shared" si="39"/>
        <v>8</v>
      </c>
      <c r="AF383" t="str">
        <f t="shared" si="40"/>
        <v>Delayed</v>
      </c>
    </row>
    <row r="384" spans="4:32">
      <c r="D384" s="4" t="s">
        <v>993</v>
      </c>
      <c r="E384" s="5" t="s">
        <v>299</v>
      </c>
      <c r="F384" s="5" t="s">
        <v>250</v>
      </c>
      <c r="G384" s="6">
        <v>45661</v>
      </c>
      <c r="H384" s="6">
        <v>45965</v>
      </c>
      <c r="I384" s="5" t="s">
        <v>301</v>
      </c>
      <c r="J384" s="5" t="s">
        <v>269</v>
      </c>
      <c r="K384" s="6">
        <v>37291</v>
      </c>
      <c r="L384" s="5" t="s">
        <v>379</v>
      </c>
      <c r="M384" s="5" t="s">
        <v>21</v>
      </c>
      <c r="N384" s="5" t="s">
        <v>15</v>
      </c>
      <c r="O384" s="5" t="s">
        <v>253</v>
      </c>
      <c r="P384" s="5">
        <v>2</v>
      </c>
      <c r="Q384" s="5">
        <v>2200</v>
      </c>
      <c r="R384" s="5">
        <v>10</v>
      </c>
      <c r="S384" s="5">
        <v>3960</v>
      </c>
      <c r="T384" s="5">
        <v>2</v>
      </c>
      <c r="U384" s="5" t="s">
        <v>277</v>
      </c>
      <c r="V384" s="5" t="s">
        <v>263</v>
      </c>
      <c r="W384" s="5" t="s">
        <v>302</v>
      </c>
      <c r="X384" s="5">
        <v>9812564160</v>
      </c>
      <c r="Y384" s="8" t="s">
        <v>248</v>
      </c>
      <c r="Z384" t="str">
        <f t="shared" si="36"/>
        <v>Blacklisted</v>
      </c>
      <c r="AA384" t="str">
        <f t="shared" si="37"/>
        <v>Rohit Singh</v>
      </c>
      <c r="AB384" t="str">
        <f t="shared" si="38"/>
        <v>Roh003Ko</v>
      </c>
      <c r="AC384" t="str">
        <f t="shared" si="41"/>
        <v>rohit.singh@company.com</v>
      </c>
      <c r="AD384">
        <f t="shared" ca="1" si="42"/>
        <v>42</v>
      </c>
      <c r="AE384" t="str">
        <f t="shared" si="39"/>
        <v/>
      </c>
      <c r="AF384" t="str">
        <f t="shared" si="40"/>
        <v>Delayed</v>
      </c>
    </row>
    <row r="385" spans="4:32">
      <c r="D385" s="9" t="s">
        <v>994</v>
      </c>
      <c r="E385" s="10" t="s">
        <v>346</v>
      </c>
      <c r="F385" s="10" t="s">
        <v>294</v>
      </c>
      <c r="G385" s="11">
        <v>45842</v>
      </c>
      <c r="H385" s="10" t="s">
        <v>67</v>
      </c>
      <c r="I385" s="10" t="s">
        <v>348</v>
      </c>
      <c r="J385" s="10" t="s">
        <v>269</v>
      </c>
      <c r="K385" s="10" t="s">
        <v>995</v>
      </c>
      <c r="L385" s="10" t="s">
        <v>241</v>
      </c>
      <c r="M385" s="10" t="s">
        <v>242</v>
      </c>
      <c r="N385" s="10" t="s">
        <v>295</v>
      </c>
      <c r="O385" s="10" t="s">
        <v>296</v>
      </c>
      <c r="P385" s="10">
        <v>5</v>
      </c>
      <c r="Q385" s="10">
        <v>60</v>
      </c>
      <c r="R385" s="10">
        <v>5</v>
      </c>
      <c r="S385" s="10">
        <v>285</v>
      </c>
      <c r="T385" s="10">
        <v>1</v>
      </c>
      <c r="U385" s="10" t="s">
        <v>277</v>
      </c>
      <c r="V385" s="10" t="s">
        <v>255</v>
      </c>
      <c r="W385" s="10" t="s">
        <v>350</v>
      </c>
      <c r="X385" s="10">
        <v>9688458222</v>
      </c>
      <c r="Y385" s="12" t="s">
        <v>265</v>
      </c>
      <c r="Z385" t="str">
        <f t="shared" si="36"/>
        <v>Blacklisted</v>
      </c>
      <c r="AA385" t="str">
        <f t="shared" si="37"/>
        <v>Vikas Mehta</v>
      </c>
      <c r="AB385" t="str">
        <f t="shared" si="38"/>
        <v>Vik005Be</v>
      </c>
      <c r="AC385" t="str">
        <f t="shared" si="41"/>
        <v>vikas.mehta@company.com</v>
      </c>
      <c r="AD385">
        <f t="shared" ca="1" si="42"/>
        <v>24</v>
      </c>
      <c r="AE385" t="str">
        <f t="shared" si="39"/>
        <v/>
      </c>
      <c r="AF385" t="str">
        <f t="shared" si="40"/>
        <v>Delayed</v>
      </c>
    </row>
    <row r="386" spans="4:32">
      <c r="D386" s="4" t="s">
        <v>996</v>
      </c>
      <c r="E386" s="5" t="s">
        <v>299</v>
      </c>
      <c r="F386" s="5" t="s">
        <v>250</v>
      </c>
      <c r="G386" s="5" t="s">
        <v>76</v>
      </c>
      <c r="H386" s="5" t="s">
        <v>997</v>
      </c>
      <c r="I386" s="5" t="s">
        <v>301</v>
      </c>
      <c r="J386" s="5" t="s">
        <v>269</v>
      </c>
      <c r="K386" s="6">
        <v>33399</v>
      </c>
      <c r="L386" s="5" t="s">
        <v>260</v>
      </c>
      <c r="M386" s="5" t="s">
        <v>261</v>
      </c>
      <c r="N386" s="5" t="s">
        <v>15</v>
      </c>
      <c r="O386" s="5" t="s">
        <v>253</v>
      </c>
      <c r="P386" s="5">
        <v>17</v>
      </c>
      <c r="Q386" s="5">
        <v>2200</v>
      </c>
      <c r="R386" s="5">
        <v>0</v>
      </c>
      <c r="S386" s="5">
        <v>37400</v>
      </c>
      <c r="T386" s="5">
        <v>2</v>
      </c>
      <c r="U386" s="5" t="s">
        <v>277</v>
      </c>
      <c r="V386" s="5" t="s">
        <v>312</v>
      </c>
      <c r="W386" s="5" t="s">
        <v>302</v>
      </c>
      <c r="X386" s="5">
        <v>9634473337</v>
      </c>
      <c r="Y386" s="8" t="s">
        <v>265</v>
      </c>
      <c r="Z386" t="str">
        <f t="shared" si="36"/>
        <v>Blacklisted</v>
      </c>
      <c r="AA386" t="str">
        <f t="shared" si="37"/>
        <v>Rohit Singh</v>
      </c>
      <c r="AB386" t="str">
        <f t="shared" si="38"/>
        <v>Roh003De</v>
      </c>
      <c r="AC386" t="str">
        <f t="shared" si="41"/>
        <v>rohit.singh@company.com</v>
      </c>
      <c r="AD386" t="str">
        <f t="shared" ca="1" si="42"/>
        <v/>
      </c>
      <c r="AE386">
        <f t="shared" si="39"/>
        <v>4</v>
      </c>
      <c r="AF386" t="str">
        <f t="shared" si="40"/>
        <v>On time</v>
      </c>
    </row>
    <row r="387" spans="4:32">
      <c r="D387" s="9" t="s">
        <v>998</v>
      </c>
      <c r="E387" s="10" t="s">
        <v>321</v>
      </c>
      <c r="F387" s="10" t="s">
        <v>294</v>
      </c>
      <c r="G387" s="11">
        <v>45759</v>
      </c>
      <c r="H387" s="11">
        <v>45973</v>
      </c>
      <c r="I387" s="10" t="s">
        <v>408</v>
      </c>
      <c r="J387" s="10" t="s">
        <v>239</v>
      </c>
      <c r="K387" s="11">
        <v>30803</v>
      </c>
      <c r="L387" s="10" t="s">
        <v>306</v>
      </c>
      <c r="M387" s="10" t="s">
        <v>287</v>
      </c>
      <c r="N387" s="10" t="s">
        <v>295</v>
      </c>
      <c r="O387" s="10" t="s">
        <v>296</v>
      </c>
      <c r="P387" s="10">
        <v>7</v>
      </c>
      <c r="Q387" s="10">
        <v>60</v>
      </c>
      <c r="R387" s="10">
        <v>0</v>
      </c>
      <c r="S387" s="10">
        <v>420</v>
      </c>
      <c r="T387" s="10">
        <v>2</v>
      </c>
      <c r="U387" s="10" t="s">
        <v>277</v>
      </c>
      <c r="V387" s="10" t="s">
        <v>246</v>
      </c>
      <c r="W387" s="10" t="s">
        <v>326</v>
      </c>
      <c r="X387" s="10">
        <v>9608737026</v>
      </c>
      <c r="Y387" s="12" t="s">
        <v>248</v>
      </c>
      <c r="Z387" t="str">
        <f t="shared" ref="Z387:Z450" si="43">IF(OR(T387&lt;=2,Y387="Cancelled"),"Blacklisted",IF(AND(S387&gt;100000,T387&gt;=4,R387&lt;=10%,Y387="Completed"),"Platinum",IF(AND(S387&gt;=50000,T387&gt;=3,Y387="Completed"),"Gold",IF(AND(S387&lt;50000,Y387="Completed"),"Silver",""))))</f>
        <v>Blacklisted</v>
      </c>
      <c r="AA387" t="str">
        <f t="shared" ref="AA387:AA450" si="44">PROPER(TRIM(I387))</f>
        <v>Anita Gupta</v>
      </c>
      <c r="AB387" t="str">
        <f t="shared" ref="AB387:AB450" si="45">LEFT(I387,3)&amp;MID(E387,2,3)&amp;LEFT(L387,2)</f>
        <v>Ani004Ah</v>
      </c>
      <c r="AC387" t="str">
        <f t="shared" si="41"/>
        <v>anita.gupta@company.com</v>
      </c>
      <c r="AD387">
        <f t="shared" ca="1" si="42"/>
        <v>35</v>
      </c>
      <c r="AE387" t="str">
        <f t="shared" ref="AE387:AE450" si="46">IF(OR(G387="",H387=""),"",IFERROR(DATE(MID(H387,7,4),MID(H387,4,2),LEFT(H387,2))-DATE(MID(G387,7,4),MID(G387,4,2),LEFT(G387,2)),""))</f>
        <v/>
      </c>
      <c r="AF387" t="str">
        <f t="shared" ref="AF387:AF450" si="47">IF(H387="","Pending",IF(AE387&lt;=5,"On time","Delayed"))</f>
        <v>Delayed</v>
      </c>
    </row>
    <row r="388" spans="4:32">
      <c r="D388" s="4" t="s">
        <v>999</v>
      </c>
      <c r="E388" s="5" t="s">
        <v>346</v>
      </c>
      <c r="F388" s="5" t="s">
        <v>236</v>
      </c>
      <c r="G388" s="5" t="s">
        <v>95</v>
      </c>
      <c r="H388" s="5" t="s">
        <v>1000</v>
      </c>
      <c r="I388" s="5" t="s">
        <v>348</v>
      </c>
      <c r="J388" s="5" t="s">
        <v>269</v>
      </c>
      <c r="K388" s="6">
        <v>27731</v>
      </c>
      <c r="L388" s="5" t="s">
        <v>252</v>
      </c>
      <c r="M388" s="5" t="s">
        <v>242</v>
      </c>
      <c r="N388" s="5" t="s">
        <v>243</v>
      </c>
      <c r="O388" s="5" t="s">
        <v>244</v>
      </c>
      <c r="P388" s="5">
        <v>6</v>
      </c>
      <c r="Q388" s="5">
        <v>55000</v>
      </c>
      <c r="R388" s="5">
        <v>5</v>
      </c>
      <c r="S388" s="5">
        <v>313500</v>
      </c>
      <c r="T388" s="5">
        <v>4</v>
      </c>
      <c r="U388" s="5" t="s">
        <v>272</v>
      </c>
      <c r="V388" s="5" t="s">
        <v>246</v>
      </c>
      <c r="W388" s="5" t="s">
        <v>350</v>
      </c>
      <c r="X388" s="5">
        <v>9804498139</v>
      </c>
      <c r="Y388" s="8" t="s">
        <v>257</v>
      </c>
      <c r="Z388" t="str">
        <f t="shared" si="43"/>
        <v>Gold</v>
      </c>
      <c r="AA388" t="str">
        <f t="shared" si="44"/>
        <v>Vikas Mehta</v>
      </c>
      <c r="AB388" t="str">
        <f t="shared" si="45"/>
        <v>Vik005Hy</v>
      </c>
      <c r="AC388" t="str">
        <f t="shared" ref="AC388:AC451" si="48">IF(ISNUMBER(SEARCH("@",W388)),LOWER(TRIM(W388)),"invalid email")</f>
        <v>vikas.mehta@company.com</v>
      </c>
      <c r="AD388">
        <f t="shared" ca="1" si="42"/>
        <v>42</v>
      </c>
      <c r="AE388">
        <f t="shared" si="46"/>
        <v>4</v>
      </c>
      <c r="AF388" t="str">
        <f t="shared" si="47"/>
        <v>On time</v>
      </c>
    </row>
    <row r="389" spans="4:32">
      <c r="D389" s="9" t="s">
        <v>1001</v>
      </c>
      <c r="E389" s="10" t="s">
        <v>266</v>
      </c>
      <c r="F389" s="10" t="s">
        <v>347</v>
      </c>
      <c r="G389" s="10" t="s">
        <v>97</v>
      </c>
      <c r="H389" s="10" t="s">
        <v>1002</v>
      </c>
      <c r="I389" s="10" t="s">
        <v>268</v>
      </c>
      <c r="J389" s="10" t="s">
        <v>269</v>
      </c>
      <c r="K389" s="10" t="s">
        <v>1003</v>
      </c>
      <c r="L389" s="10" t="s">
        <v>252</v>
      </c>
      <c r="M389" s="10" t="s">
        <v>242</v>
      </c>
      <c r="N389" s="10" t="s">
        <v>295</v>
      </c>
      <c r="O389" s="10" t="s">
        <v>349</v>
      </c>
      <c r="P389" s="10">
        <v>16</v>
      </c>
      <c r="Q389" s="10">
        <v>20</v>
      </c>
      <c r="R389" s="10">
        <v>5</v>
      </c>
      <c r="S389" s="10">
        <v>304</v>
      </c>
      <c r="T389" s="10">
        <v>1</v>
      </c>
      <c r="U389" s="10" t="s">
        <v>272</v>
      </c>
      <c r="V389" s="10" t="s">
        <v>263</v>
      </c>
      <c r="W389" s="10" t="s">
        <v>273</v>
      </c>
      <c r="X389" s="10">
        <v>9798643580</v>
      </c>
      <c r="Y389" s="12" t="s">
        <v>257</v>
      </c>
      <c r="Z389" t="str">
        <f t="shared" si="43"/>
        <v>Blacklisted</v>
      </c>
      <c r="AA389" t="str">
        <f t="shared" si="44"/>
        <v>Mohit Verma</v>
      </c>
      <c r="AB389" t="str">
        <f t="shared" si="45"/>
        <v>Moh009Hy</v>
      </c>
      <c r="AC389" t="str">
        <f t="shared" si="48"/>
        <v>mohit.verma@company.com</v>
      </c>
      <c r="AD389">
        <f t="shared" ref="AD389:AD452" ca="1" si="49">IF(K388="","",IFERROR(DATEDIF(IF(ISNUMBER(K388),K388,DATE(VALUE(RIGHT(K388,4)),VALUE(MID(K388,3,2)),VALUE(LEFT(K388,2)))),TODAY(),"Y"),""))</f>
        <v>50</v>
      </c>
      <c r="AE389">
        <f t="shared" si="46"/>
        <v>4</v>
      </c>
      <c r="AF389" t="str">
        <f t="shared" si="47"/>
        <v>On time</v>
      </c>
    </row>
    <row r="390" spans="4:32">
      <c r="D390" s="4" t="s">
        <v>1004</v>
      </c>
      <c r="E390" s="5" t="s">
        <v>249</v>
      </c>
      <c r="F390" s="5" t="s">
        <v>250</v>
      </c>
      <c r="G390" s="5" t="s">
        <v>137</v>
      </c>
      <c r="H390" s="5" t="s">
        <v>173</v>
      </c>
      <c r="I390" s="5" t="s">
        <v>251</v>
      </c>
      <c r="J390" s="5" t="s">
        <v>239</v>
      </c>
      <c r="K390" s="5" t="s">
        <v>1005</v>
      </c>
      <c r="L390" s="5" t="s">
        <v>379</v>
      </c>
      <c r="M390" s="5" t="s">
        <v>21</v>
      </c>
      <c r="N390" s="5" t="s">
        <v>15</v>
      </c>
      <c r="O390" s="5" t="s">
        <v>253</v>
      </c>
      <c r="P390" s="5">
        <v>11</v>
      </c>
      <c r="Q390" s="5">
        <v>2200</v>
      </c>
      <c r="R390" s="5">
        <v>15</v>
      </c>
      <c r="S390" s="5">
        <v>20570</v>
      </c>
      <c r="T390" s="5">
        <v>1</v>
      </c>
      <c r="U390" s="5" t="s">
        <v>245</v>
      </c>
      <c r="V390" s="5" t="s">
        <v>292</v>
      </c>
      <c r="W390" s="5" t="s">
        <v>264</v>
      </c>
      <c r="X390" s="5">
        <v>9809823278</v>
      </c>
      <c r="Y390" s="8" t="s">
        <v>265</v>
      </c>
      <c r="Z390" t="str">
        <f t="shared" si="43"/>
        <v>Blacklisted</v>
      </c>
      <c r="AA390" t="str">
        <f t="shared" si="44"/>
        <v>Kavya Nair</v>
      </c>
      <c r="AB390" t="str">
        <f t="shared" si="45"/>
        <v>Kav008Ko</v>
      </c>
      <c r="AC390" t="str">
        <f t="shared" si="48"/>
        <v>kavya.nair@company.com</v>
      </c>
      <c r="AD390" t="str">
        <f t="shared" ca="1" si="49"/>
        <v/>
      </c>
      <c r="AE390">
        <f t="shared" si="46"/>
        <v>3</v>
      </c>
      <c r="AF390" t="str">
        <f t="shared" si="47"/>
        <v>On time</v>
      </c>
    </row>
    <row r="391" spans="4:32">
      <c r="D391" s="9" t="s">
        <v>1006</v>
      </c>
      <c r="E391" s="10" t="s">
        <v>284</v>
      </c>
      <c r="F391" s="10" t="s">
        <v>347</v>
      </c>
      <c r="G391" s="10" t="s">
        <v>175</v>
      </c>
      <c r="H391" s="11">
        <v>45691</v>
      </c>
      <c r="I391" s="10" t="s">
        <v>285</v>
      </c>
      <c r="J391" s="10" t="s">
        <v>239</v>
      </c>
      <c r="K391" s="11">
        <v>31718</v>
      </c>
      <c r="L391" s="10" t="s">
        <v>291</v>
      </c>
      <c r="M391" s="10" t="s">
        <v>287</v>
      </c>
      <c r="N391" s="10" t="s">
        <v>295</v>
      </c>
      <c r="O391" s="10" t="s">
        <v>349</v>
      </c>
      <c r="P391" s="10">
        <v>19</v>
      </c>
      <c r="Q391" s="10">
        <v>20</v>
      </c>
      <c r="R391" s="10">
        <v>5</v>
      </c>
      <c r="S391" s="10">
        <v>361</v>
      </c>
      <c r="T391" s="10">
        <v>4</v>
      </c>
      <c r="U391" s="10" t="s">
        <v>277</v>
      </c>
      <c r="V391" s="10" t="s">
        <v>255</v>
      </c>
      <c r="W391" s="10" t="s">
        <v>308</v>
      </c>
      <c r="X391" s="10">
        <v>9177767854</v>
      </c>
      <c r="Y391" s="12" t="s">
        <v>248</v>
      </c>
      <c r="Z391" t="str">
        <f>IF(OR(T391&lt;=2,Y391="Cancelled"),"Blacklisted",IF(AND(S391&gt;100000,T391&gt;=4,R391&lt;=10%,Y391="Completed"),"Platinum",IF(AND(S391&gt;=50000,T391&gt;=3,Y391="Completed"),"Gold",IF(AND(S391&lt;50000,Y391="Completed"),"Silver",""))))</f>
        <v/>
      </c>
      <c r="AA391" t="str">
        <f t="shared" si="44"/>
        <v>Priya Patel</v>
      </c>
      <c r="AB391" t="str">
        <f t="shared" si="45"/>
        <v>Pri002Pu</v>
      </c>
      <c r="AC391" t="str">
        <f t="shared" si="48"/>
        <v>priya.patel@company.com</v>
      </c>
      <c r="AD391" t="str">
        <f t="shared" ca="1" si="49"/>
        <v/>
      </c>
      <c r="AE391" t="str">
        <f t="shared" si="46"/>
        <v/>
      </c>
      <c r="AF391" t="str">
        <f t="shared" si="47"/>
        <v>Delayed</v>
      </c>
    </row>
    <row r="392" spans="4:32">
      <c r="D392" s="4" t="s">
        <v>1007</v>
      </c>
      <c r="E392" s="5" t="s">
        <v>284</v>
      </c>
      <c r="F392" s="5" t="s">
        <v>267</v>
      </c>
      <c r="G392" s="5" t="s">
        <v>92</v>
      </c>
      <c r="H392" s="5" t="s">
        <v>102</v>
      </c>
      <c r="I392" s="5" t="s">
        <v>285</v>
      </c>
      <c r="J392" s="5" t="s">
        <v>239</v>
      </c>
      <c r="K392" s="5" t="s">
        <v>1008</v>
      </c>
      <c r="L392" s="5" t="s">
        <v>291</v>
      </c>
      <c r="M392" s="5" t="s">
        <v>287</v>
      </c>
      <c r="N392" s="5" t="s">
        <v>243</v>
      </c>
      <c r="O392" s="5" t="s">
        <v>271</v>
      </c>
      <c r="P392" s="5">
        <v>20</v>
      </c>
      <c r="Q392" s="5">
        <v>1200</v>
      </c>
      <c r="R392" s="5">
        <v>15</v>
      </c>
      <c r="S392" s="5">
        <v>20400</v>
      </c>
      <c r="T392" s="5">
        <v>4</v>
      </c>
      <c r="U392" s="5" t="s">
        <v>272</v>
      </c>
      <c r="V392" s="5" t="s">
        <v>255</v>
      </c>
      <c r="W392" s="5" t="s">
        <v>308</v>
      </c>
      <c r="X392" s="5">
        <v>9643440006</v>
      </c>
      <c r="Y392" s="8" t="s">
        <v>248</v>
      </c>
      <c r="Z392" t="str">
        <f t="shared" si="43"/>
        <v/>
      </c>
      <c r="AA392" t="str">
        <f t="shared" si="44"/>
        <v>Priya Patel</v>
      </c>
      <c r="AB392" t="str">
        <f t="shared" si="45"/>
        <v>Pri002Pu</v>
      </c>
      <c r="AC392" t="str">
        <f t="shared" si="48"/>
        <v>priya.patel@company.com</v>
      </c>
      <c r="AD392">
        <f t="shared" ca="1" si="49"/>
        <v>39</v>
      </c>
      <c r="AE392">
        <f t="shared" si="46"/>
        <v>1</v>
      </c>
      <c r="AF392" t="str">
        <f t="shared" si="47"/>
        <v>On time</v>
      </c>
    </row>
    <row r="393" spans="4:32">
      <c r="D393" s="9" t="s">
        <v>1009</v>
      </c>
      <c r="E393" s="10" t="s">
        <v>235</v>
      </c>
      <c r="F393" s="10" t="s">
        <v>347</v>
      </c>
      <c r="G393" s="10" t="s">
        <v>179</v>
      </c>
      <c r="H393" s="11">
        <v>45814</v>
      </c>
      <c r="I393" s="10" t="s">
        <v>318</v>
      </c>
      <c r="J393" s="10" t="s">
        <v>239</v>
      </c>
      <c r="K393" s="11">
        <v>35406</v>
      </c>
      <c r="L393" s="10" t="s">
        <v>252</v>
      </c>
      <c r="M393" s="10" t="s">
        <v>242</v>
      </c>
      <c r="N393" s="10" t="s">
        <v>295</v>
      </c>
      <c r="O393" s="10" t="s">
        <v>349</v>
      </c>
      <c r="P393" s="10">
        <v>13</v>
      </c>
      <c r="Q393" s="10">
        <v>20</v>
      </c>
      <c r="R393" s="10">
        <v>15</v>
      </c>
      <c r="S393" s="10">
        <v>221</v>
      </c>
      <c r="T393" s="10">
        <v>4</v>
      </c>
      <c r="U393" s="10" t="s">
        <v>254</v>
      </c>
      <c r="V393" s="10" t="s">
        <v>255</v>
      </c>
      <c r="W393" s="10" t="s">
        <v>247</v>
      </c>
      <c r="X393" s="10">
        <v>9673698825</v>
      </c>
      <c r="Y393" s="12" t="s">
        <v>248</v>
      </c>
      <c r="Z393" t="str">
        <f t="shared" si="43"/>
        <v/>
      </c>
      <c r="AA393" t="str">
        <f t="shared" si="44"/>
        <v>Pooja Shah</v>
      </c>
      <c r="AB393" t="str">
        <f t="shared" si="45"/>
        <v>Poo010Hy</v>
      </c>
      <c r="AC393" t="str">
        <f t="shared" si="48"/>
        <v>pooja.shah@company.com</v>
      </c>
      <c r="AD393" t="str">
        <f t="shared" ca="1" si="49"/>
        <v/>
      </c>
      <c r="AE393" t="str">
        <f t="shared" si="46"/>
        <v/>
      </c>
      <c r="AF393" t="str">
        <f t="shared" si="47"/>
        <v>Delayed</v>
      </c>
    </row>
    <row r="394" spans="4:32">
      <c r="D394" s="4" t="s">
        <v>1010</v>
      </c>
      <c r="E394" s="5" t="s">
        <v>358</v>
      </c>
      <c r="F394" s="5" t="s">
        <v>267</v>
      </c>
      <c r="G394" s="6">
        <v>45717</v>
      </c>
      <c r="H394" s="6">
        <v>45870</v>
      </c>
      <c r="I394" s="5" t="s">
        <v>359</v>
      </c>
      <c r="J394" s="5" t="s">
        <v>239</v>
      </c>
      <c r="K394" s="6">
        <v>33646</v>
      </c>
      <c r="L394" s="5" t="s">
        <v>260</v>
      </c>
      <c r="M394" s="5" t="s">
        <v>261</v>
      </c>
      <c r="N394" s="5" t="s">
        <v>243</v>
      </c>
      <c r="O394" s="5" t="s">
        <v>271</v>
      </c>
      <c r="P394" s="5">
        <v>12</v>
      </c>
      <c r="Q394" s="5">
        <v>1200</v>
      </c>
      <c r="R394" s="5">
        <v>10</v>
      </c>
      <c r="S394" s="5">
        <v>12960</v>
      </c>
      <c r="T394" s="5">
        <v>3</v>
      </c>
      <c r="U394" s="5" t="s">
        <v>245</v>
      </c>
      <c r="V394" s="5" t="s">
        <v>255</v>
      </c>
      <c r="W394" s="5" t="s">
        <v>360</v>
      </c>
      <c r="X394" s="5">
        <v>9706238784</v>
      </c>
      <c r="Y394" s="8" t="s">
        <v>248</v>
      </c>
      <c r="Z394" t="str">
        <f t="shared" si="43"/>
        <v/>
      </c>
      <c r="AA394" t="str">
        <f t="shared" si="44"/>
        <v>Sneha Joshi</v>
      </c>
      <c r="AB394" t="str">
        <f t="shared" si="45"/>
        <v>Sne006De</v>
      </c>
      <c r="AC394" t="str">
        <f t="shared" si="48"/>
        <v>sneha.joshi@company.com</v>
      </c>
      <c r="AD394">
        <f t="shared" ca="1" si="49"/>
        <v>29</v>
      </c>
      <c r="AE394" t="str">
        <f t="shared" si="46"/>
        <v/>
      </c>
      <c r="AF394" t="str">
        <f t="shared" si="47"/>
        <v>Delayed</v>
      </c>
    </row>
    <row r="395" spans="4:32">
      <c r="D395" s="9" t="s">
        <v>1011</v>
      </c>
      <c r="E395" s="10" t="s">
        <v>284</v>
      </c>
      <c r="F395" s="10" t="s">
        <v>322</v>
      </c>
      <c r="G395" s="10" t="s">
        <v>173</v>
      </c>
      <c r="H395" s="10" t="s">
        <v>585</v>
      </c>
      <c r="I395" s="10" t="s">
        <v>285</v>
      </c>
      <c r="J395" s="10" t="s">
        <v>239</v>
      </c>
      <c r="K395" s="10" t="s">
        <v>1012</v>
      </c>
      <c r="L395" s="10" t="s">
        <v>379</v>
      </c>
      <c r="M395" s="10" t="s">
        <v>21</v>
      </c>
      <c r="N395" s="10" t="s">
        <v>15</v>
      </c>
      <c r="O395" s="10" t="s">
        <v>325</v>
      </c>
      <c r="P395" s="10">
        <v>6</v>
      </c>
      <c r="Q395" s="10">
        <v>8500</v>
      </c>
      <c r="R395" s="10">
        <v>5</v>
      </c>
      <c r="S395" s="10">
        <v>48450</v>
      </c>
      <c r="T395" s="10">
        <v>5</v>
      </c>
      <c r="U395" s="10" t="s">
        <v>254</v>
      </c>
      <c r="V395" s="10" t="s">
        <v>292</v>
      </c>
      <c r="W395" s="10" t="s">
        <v>308</v>
      </c>
      <c r="X395" s="10">
        <v>9132959877</v>
      </c>
      <c r="Y395" s="12" t="s">
        <v>265</v>
      </c>
      <c r="Z395" t="str">
        <f t="shared" si="43"/>
        <v>Blacklisted</v>
      </c>
      <c r="AA395" t="str">
        <f t="shared" si="44"/>
        <v>Priya Patel</v>
      </c>
      <c r="AB395" t="str">
        <f t="shared" si="45"/>
        <v>Pri002Ko</v>
      </c>
      <c r="AC395" t="str">
        <f t="shared" si="48"/>
        <v>priya.patel@company.com</v>
      </c>
      <c r="AD395">
        <f t="shared" ca="1" si="49"/>
        <v>34</v>
      </c>
      <c r="AE395">
        <f t="shared" si="46"/>
        <v>1</v>
      </c>
      <c r="AF395" t="str">
        <f t="shared" si="47"/>
        <v>On time</v>
      </c>
    </row>
    <row r="396" spans="4:32">
      <c r="D396" s="4" t="s">
        <v>1013</v>
      </c>
      <c r="E396" s="5" t="s">
        <v>249</v>
      </c>
      <c r="F396" s="5" t="s">
        <v>322</v>
      </c>
      <c r="G396" s="5" t="s">
        <v>65</v>
      </c>
      <c r="H396" s="5" t="s">
        <v>1014</v>
      </c>
      <c r="I396" s="5" t="s">
        <v>251</v>
      </c>
      <c r="J396" s="5" t="s">
        <v>239</v>
      </c>
      <c r="K396" s="5" t="s">
        <v>1015</v>
      </c>
      <c r="L396" s="5" t="s">
        <v>306</v>
      </c>
      <c r="M396" s="5" t="s">
        <v>287</v>
      </c>
      <c r="N396" s="5" t="s">
        <v>15</v>
      </c>
      <c r="O396" s="5" t="s">
        <v>325</v>
      </c>
      <c r="P396" s="5">
        <v>15</v>
      </c>
      <c r="Q396" s="5">
        <v>8500</v>
      </c>
      <c r="R396" s="5">
        <v>10</v>
      </c>
      <c r="S396" s="5">
        <v>114750</v>
      </c>
      <c r="T396" s="5">
        <v>1</v>
      </c>
      <c r="U396" s="5" t="s">
        <v>254</v>
      </c>
      <c r="V396" s="5" t="s">
        <v>292</v>
      </c>
      <c r="W396" s="5" t="s">
        <v>264</v>
      </c>
      <c r="X396" s="5">
        <v>9295011645</v>
      </c>
      <c r="Y396" s="8" t="s">
        <v>257</v>
      </c>
      <c r="Z396" t="str">
        <f t="shared" si="43"/>
        <v>Blacklisted</v>
      </c>
      <c r="AA396" t="str">
        <f t="shared" si="44"/>
        <v>Kavya Nair</v>
      </c>
      <c r="AB396" t="str">
        <f t="shared" si="45"/>
        <v>Kav008Ah</v>
      </c>
      <c r="AC396" t="str">
        <f t="shared" si="48"/>
        <v>kavya.nair@company.com</v>
      </c>
      <c r="AD396" t="str">
        <f t="shared" ca="1" si="49"/>
        <v/>
      </c>
      <c r="AE396">
        <f t="shared" si="46"/>
        <v>8</v>
      </c>
      <c r="AF396" t="str">
        <f t="shared" si="47"/>
        <v>Delayed</v>
      </c>
    </row>
    <row r="397" spans="4:32">
      <c r="D397" s="9" t="s">
        <v>1016</v>
      </c>
      <c r="E397" s="10" t="s">
        <v>299</v>
      </c>
      <c r="F397" s="10" t="s">
        <v>258</v>
      </c>
      <c r="G397" s="11">
        <v>45724</v>
      </c>
      <c r="H397" s="10" t="s">
        <v>1017</v>
      </c>
      <c r="I397" s="10" t="s">
        <v>301</v>
      </c>
      <c r="J397" s="10" t="s">
        <v>269</v>
      </c>
      <c r="K397" s="11">
        <v>29253</v>
      </c>
      <c r="L397" s="10" t="s">
        <v>252</v>
      </c>
      <c r="M397" s="10" t="s">
        <v>242</v>
      </c>
      <c r="N397" s="10" t="s">
        <v>243</v>
      </c>
      <c r="O397" s="10" t="s">
        <v>262</v>
      </c>
      <c r="P397" s="10">
        <v>19</v>
      </c>
      <c r="Q397" s="10">
        <v>12000</v>
      </c>
      <c r="R397" s="10">
        <v>20</v>
      </c>
      <c r="S397" s="10">
        <v>182400</v>
      </c>
      <c r="T397" s="10">
        <v>5</v>
      </c>
      <c r="U397" s="10" t="s">
        <v>254</v>
      </c>
      <c r="V397" s="10" t="s">
        <v>292</v>
      </c>
      <c r="W397" s="10" t="s">
        <v>302</v>
      </c>
      <c r="X397" s="10">
        <v>9677606427</v>
      </c>
      <c r="Y397" s="12" t="s">
        <v>257</v>
      </c>
      <c r="Z397" t="str">
        <f t="shared" si="43"/>
        <v>Gold</v>
      </c>
      <c r="AA397" t="str">
        <f t="shared" si="44"/>
        <v>Rohit Singh</v>
      </c>
      <c r="AB397" t="str">
        <f t="shared" si="45"/>
        <v>Roh003Hy</v>
      </c>
      <c r="AC397" t="str">
        <f t="shared" si="48"/>
        <v>rohit.singh@company.com</v>
      </c>
      <c r="AD397" t="str">
        <f t="shared" ca="1" si="49"/>
        <v/>
      </c>
      <c r="AE397" t="str">
        <f t="shared" si="46"/>
        <v/>
      </c>
      <c r="AF397" t="str">
        <f t="shared" si="47"/>
        <v>Delayed</v>
      </c>
    </row>
    <row r="398" spans="4:32">
      <c r="D398" s="4" t="s">
        <v>1018</v>
      </c>
      <c r="E398" s="5" t="s">
        <v>275</v>
      </c>
      <c r="F398" s="5" t="s">
        <v>330</v>
      </c>
      <c r="G398" s="5" t="s">
        <v>31</v>
      </c>
      <c r="H398" s="5" t="s">
        <v>1019</v>
      </c>
      <c r="I398" s="5" t="s">
        <v>328</v>
      </c>
      <c r="J398" s="5" t="s">
        <v>269</v>
      </c>
      <c r="K398" s="5" t="s">
        <v>1020</v>
      </c>
      <c r="L398" s="5" t="s">
        <v>260</v>
      </c>
      <c r="M398" s="5" t="s">
        <v>261</v>
      </c>
      <c r="N398" s="5" t="s">
        <v>243</v>
      </c>
      <c r="O398" s="5" t="s">
        <v>333</v>
      </c>
      <c r="P398" s="5">
        <v>5</v>
      </c>
      <c r="Q398" s="5">
        <v>700</v>
      </c>
      <c r="R398" s="5">
        <v>0</v>
      </c>
      <c r="S398" s="5">
        <v>3500</v>
      </c>
      <c r="T398" s="5">
        <v>2</v>
      </c>
      <c r="U398" s="5" t="s">
        <v>272</v>
      </c>
      <c r="V398" s="5" t="s">
        <v>246</v>
      </c>
      <c r="W398" s="5" t="s">
        <v>278</v>
      </c>
      <c r="X398" s="5">
        <v>9161631566</v>
      </c>
      <c r="Y398" s="8" t="s">
        <v>265</v>
      </c>
      <c r="Z398" t="str">
        <f t="shared" si="43"/>
        <v>Blacklisted</v>
      </c>
      <c r="AA398" t="str">
        <f t="shared" si="44"/>
        <v>Arjun Rao</v>
      </c>
      <c r="AB398" t="str">
        <f t="shared" si="45"/>
        <v>Arj007De</v>
      </c>
      <c r="AC398" t="str">
        <f t="shared" si="48"/>
        <v>arjun.rao@company.com</v>
      </c>
      <c r="AD398">
        <f t="shared" ca="1" si="49"/>
        <v>46</v>
      </c>
      <c r="AE398">
        <f t="shared" si="46"/>
        <v>3</v>
      </c>
      <c r="AF398" t="str">
        <f t="shared" si="47"/>
        <v>On time</v>
      </c>
    </row>
    <row r="399" spans="4:32">
      <c r="D399" s="9" t="s">
        <v>1021</v>
      </c>
      <c r="E399" s="10" t="s">
        <v>275</v>
      </c>
      <c r="F399" s="10" t="s">
        <v>258</v>
      </c>
      <c r="G399" s="10" t="s">
        <v>201</v>
      </c>
      <c r="H399" s="11">
        <v>45749</v>
      </c>
      <c r="I399" s="10" t="s">
        <v>328</v>
      </c>
      <c r="J399" s="10" t="s">
        <v>269</v>
      </c>
      <c r="K399" s="11">
        <v>28775</v>
      </c>
      <c r="L399" s="10" t="s">
        <v>379</v>
      </c>
      <c r="M399" s="10" t="s">
        <v>21</v>
      </c>
      <c r="N399" s="10" t="s">
        <v>243</v>
      </c>
      <c r="O399" s="10" t="s">
        <v>262</v>
      </c>
      <c r="P399" s="10">
        <v>19</v>
      </c>
      <c r="Q399" s="10">
        <v>12000</v>
      </c>
      <c r="R399" s="10">
        <v>0</v>
      </c>
      <c r="S399" s="10">
        <v>228000</v>
      </c>
      <c r="T399" s="10">
        <v>4</v>
      </c>
      <c r="U399" s="10" t="s">
        <v>277</v>
      </c>
      <c r="V399" s="10" t="s">
        <v>246</v>
      </c>
      <c r="W399" s="10" t="s">
        <v>278</v>
      </c>
      <c r="X399" s="10">
        <v>9136906750</v>
      </c>
      <c r="Y399" s="12" t="s">
        <v>248</v>
      </c>
      <c r="Z399" t="str">
        <f t="shared" si="43"/>
        <v/>
      </c>
      <c r="AA399" t="str">
        <f t="shared" si="44"/>
        <v>Arjun Rao</v>
      </c>
      <c r="AB399" t="str">
        <f t="shared" si="45"/>
        <v>Arj007Ko</v>
      </c>
      <c r="AC399" t="str">
        <f t="shared" si="48"/>
        <v>arjun.rao@company.com</v>
      </c>
      <c r="AD399" t="str">
        <f t="shared" ca="1" si="49"/>
        <v/>
      </c>
      <c r="AE399" t="str">
        <f t="shared" si="46"/>
        <v/>
      </c>
      <c r="AF399" t="str">
        <f t="shared" si="47"/>
        <v>Delayed</v>
      </c>
    </row>
    <row r="400" spans="4:32">
      <c r="D400" s="4" t="s">
        <v>1022</v>
      </c>
      <c r="E400" s="5" t="s">
        <v>392</v>
      </c>
      <c r="F400" s="5" t="s">
        <v>330</v>
      </c>
      <c r="G400" s="5"/>
      <c r="H400" s="6">
        <v>45727</v>
      </c>
      <c r="I400" s="5" t="s">
        <v>323</v>
      </c>
      <c r="J400" s="5" t="s">
        <v>269</v>
      </c>
      <c r="K400" s="6">
        <v>28864</v>
      </c>
      <c r="L400" s="5" t="s">
        <v>241</v>
      </c>
      <c r="M400" s="5" t="s">
        <v>242</v>
      </c>
      <c r="N400" s="5" t="s">
        <v>243</v>
      </c>
      <c r="O400" s="5" t="s">
        <v>333</v>
      </c>
      <c r="P400" s="5">
        <v>12</v>
      </c>
      <c r="Q400" s="5">
        <v>700</v>
      </c>
      <c r="R400" s="5">
        <v>15</v>
      </c>
      <c r="S400" s="5">
        <v>7140</v>
      </c>
      <c r="T400" s="5">
        <v>3</v>
      </c>
      <c r="U400" s="5" t="s">
        <v>272</v>
      </c>
      <c r="V400" s="5" t="s">
        <v>255</v>
      </c>
      <c r="W400" s="5" t="s">
        <v>395</v>
      </c>
      <c r="X400" s="5">
        <v>9485286324</v>
      </c>
      <c r="Y400" s="8" t="s">
        <v>257</v>
      </c>
      <c r="Z400" t="str">
        <f t="shared" si="43"/>
        <v>Silver</v>
      </c>
      <c r="AA400" t="str">
        <f t="shared" si="44"/>
        <v>Amit Sharma</v>
      </c>
      <c r="AB400" t="str">
        <f t="shared" si="45"/>
        <v>Ami001Be</v>
      </c>
      <c r="AC400" t="str">
        <f t="shared" si="48"/>
        <v>amit.sharma@company.com</v>
      </c>
      <c r="AD400">
        <f t="shared" ca="1" si="49"/>
        <v>48</v>
      </c>
      <c r="AE400" t="str">
        <f t="shared" si="46"/>
        <v/>
      </c>
      <c r="AF400" t="str">
        <f t="shared" si="47"/>
        <v>Delayed</v>
      </c>
    </row>
    <row r="401" spans="4:32">
      <c r="D401" s="9" t="s">
        <v>1023</v>
      </c>
      <c r="E401" s="10" t="s">
        <v>249</v>
      </c>
      <c r="F401" s="10" t="s">
        <v>267</v>
      </c>
      <c r="G401" s="10" t="s">
        <v>14</v>
      </c>
      <c r="H401" s="10" t="s">
        <v>553</v>
      </c>
      <c r="I401" s="10" t="s">
        <v>251</v>
      </c>
      <c r="J401" s="10" t="s">
        <v>239</v>
      </c>
      <c r="K401" s="11">
        <v>37107</v>
      </c>
      <c r="L401" s="10" t="s">
        <v>260</v>
      </c>
      <c r="M401" s="10" t="s">
        <v>261</v>
      </c>
      <c r="N401" s="10" t="s">
        <v>243</v>
      </c>
      <c r="O401" s="10" t="s">
        <v>271</v>
      </c>
      <c r="P401" s="10">
        <v>16</v>
      </c>
      <c r="Q401" s="10">
        <v>1200</v>
      </c>
      <c r="R401" s="10">
        <v>20</v>
      </c>
      <c r="S401" s="10">
        <v>15360</v>
      </c>
      <c r="T401" s="10">
        <v>1</v>
      </c>
      <c r="U401" s="10" t="s">
        <v>254</v>
      </c>
      <c r="V401" s="10" t="s">
        <v>263</v>
      </c>
      <c r="W401" s="10" t="s">
        <v>264</v>
      </c>
      <c r="X401" s="10">
        <v>9414633966</v>
      </c>
      <c r="Y401" s="12" t="s">
        <v>248</v>
      </c>
      <c r="Z401" t="str">
        <f t="shared" si="43"/>
        <v>Blacklisted</v>
      </c>
      <c r="AA401" t="str">
        <f t="shared" si="44"/>
        <v>Kavya Nair</v>
      </c>
      <c r="AB401" t="str">
        <f t="shared" si="45"/>
        <v>Kav008De</v>
      </c>
      <c r="AC401" t="str">
        <f t="shared" si="48"/>
        <v>kavya.nair@company.com</v>
      </c>
      <c r="AD401">
        <f t="shared" ca="1" si="49"/>
        <v>47</v>
      </c>
      <c r="AE401">
        <f t="shared" si="46"/>
        <v>8</v>
      </c>
      <c r="AF401" t="str">
        <f t="shared" si="47"/>
        <v>Delayed</v>
      </c>
    </row>
    <row r="402" spans="4:32">
      <c r="D402" s="4" t="s">
        <v>1024</v>
      </c>
      <c r="E402" s="5" t="s">
        <v>266</v>
      </c>
      <c r="F402" s="5" t="s">
        <v>322</v>
      </c>
      <c r="G402" s="5" t="s">
        <v>172</v>
      </c>
      <c r="H402" s="6">
        <v>46113</v>
      </c>
      <c r="I402" s="5" t="s">
        <v>268</v>
      </c>
      <c r="J402" s="5" t="s">
        <v>269</v>
      </c>
      <c r="K402" s="6">
        <v>30317</v>
      </c>
      <c r="L402" s="5" t="s">
        <v>252</v>
      </c>
      <c r="M402" s="5" t="s">
        <v>242</v>
      </c>
      <c r="N402" s="5" t="s">
        <v>15</v>
      </c>
      <c r="O402" s="5" t="s">
        <v>325</v>
      </c>
      <c r="P402" s="5">
        <v>10</v>
      </c>
      <c r="Q402" s="5">
        <v>8500</v>
      </c>
      <c r="R402" s="5">
        <v>5</v>
      </c>
      <c r="S402" s="5">
        <v>80750</v>
      </c>
      <c r="T402" s="5">
        <v>5</v>
      </c>
      <c r="U402" s="5" t="s">
        <v>245</v>
      </c>
      <c r="V402" s="5" t="s">
        <v>255</v>
      </c>
      <c r="W402" s="5" t="s">
        <v>273</v>
      </c>
      <c r="X402" s="5">
        <v>9833735234</v>
      </c>
      <c r="Y402" s="8" t="s">
        <v>257</v>
      </c>
      <c r="Z402" t="str">
        <f t="shared" si="43"/>
        <v>Gold</v>
      </c>
      <c r="AA402" t="str">
        <f t="shared" si="44"/>
        <v>Mohit Verma</v>
      </c>
      <c r="AB402" t="str">
        <f t="shared" si="45"/>
        <v>Moh009Hy</v>
      </c>
      <c r="AC402" t="str">
        <f t="shared" si="48"/>
        <v>mohit.verma@company.com</v>
      </c>
      <c r="AD402">
        <f t="shared" ca="1" si="49"/>
        <v>25</v>
      </c>
      <c r="AE402" t="str">
        <f t="shared" si="46"/>
        <v/>
      </c>
      <c r="AF402" t="str">
        <f t="shared" si="47"/>
        <v>Delayed</v>
      </c>
    </row>
    <row r="403" spans="4:32">
      <c r="D403" s="9" t="s">
        <v>1025</v>
      </c>
      <c r="E403" s="10" t="s">
        <v>249</v>
      </c>
      <c r="F403" s="10" t="s">
        <v>347</v>
      </c>
      <c r="G403" s="11">
        <v>45963</v>
      </c>
      <c r="H403" s="10" t="s">
        <v>98</v>
      </c>
      <c r="I403" s="10" t="s">
        <v>251</v>
      </c>
      <c r="J403" s="10" t="s">
        <v>239</v>
      </c>
      <c r="K403" s="11">
        <v>32759</v>
      </c>
      <c r="L403" s="10" t="s">
        <v>306</v>
      </c>
      <c r="M403" s="10" t="s">
        <v>287</v>
      </c>
      <c r="N403" s="10" t="s">
        <v>295</v>
      </c>
      <c r="O403" s="10" t="s">
        <v>349</v>
      </c>
      <c r="P403" s="10">
        <v>18</v>
      </c>
      <c r="Q403" s="10">
        <v>20</v>
      </c>
      <c r="R403" s="10">
        <v>20</v>
      </c>
      <c r="S403" s="10">
        <v>288</v>
      </c>
      <c r="T403" s="10">
        <v>1</v>
      </c>
      <c r="U403" s="10" t="s">
        <v>277</v>
      </c>
      <c r="V403" s="10" t="s">
        <v>255</v>
      </c>
      <c r="W403" s="10" t="s">
        <v>264</v>
      </c>
      <c r="X403" s="10">
        <v>9523689108</v>
      </c>
      <c r="Y403" s="12" t="s">
        <v>248</v>
      </c>
      <c r="Z403" t="str">
        <f t="shared" si="43"/>
        <v>Blacklisted</v>
      </c>
      <c r="AA403" t="str">
        <f t="shared" si="44"/>
        <v>Kavya Nair</v>
      </c>
      <c r="AB403" t="str">
        <f t="shared" si="45"/>
        <v>Kav008Ah</v>
      </c>
      <c r="AC403" t="str">
        <f t="shared" si="48"/>
        <v>kavya.nair@company.com</v>
      </c>
      <c r="AD403">
        <f t="shared" ca="1" si="49"/>
        <v>43</v>
      </c>
      <c r="AE403" t="str">
        <f t="shared" si="46"/>
        <v/>
      </c>
      <c r="AF403" t="str">
        <f t="shared" si="47"/>
        <v>Delayed</v>
      </c>
    </row>
    <row r="404" spans="4:32">
      <c r="D404" s="4" t="s">
        <v>1026</v>
      </c>
      <c r="E404" s="5" t="s">
        <v>266</v>
      </c>
      <c r="F404" s="5" t="s">
        <v>322</v>
      </c>
      <c r="G404" s="5" t="s">
        <v>11</v>
      </c>
      <c r="H404" s="5" t="s">
        <v>425</v>
      </c>
      <c r="I404" s="5" t="s">
        <v>268</v>
      </c>
      <c r="J404" s="5" t="s">
        <v>269</v>
      </c>
      <c r="K404" s="5" t="s">
        <v>1027</v>
      </c>
      <c r="L404" s="5" t="s">
        <v>286</v>
      </c>
      <c r="M404" s="5" t="s">
        <v>287</v>
      </c>
      <c r="N404" s="5" t="s">
        <v>15</v>
      </c>
      <c r="O404" s="5" t="s">
        <v>325</v>
      </c>
      <c r="P404" s="5">
        <v>9</v>
      </c>
      <c r="Q404" s="5">
        <v>8500</v>
      </c>
      <c r="R404" s="5">
        <v>0</v>
      </c>
      <c r="S404" s="5">
        <v>76500</v>
      </c>
      <c r="T404" s="5">
        <v>2</v>
      </c>
      <c r="U404" s="5" t="s">
        <v>272</v>
      </c>
      <c r="V404" s="5" t="s">
        <v>255</v>
      </c>
      <c r="W404" s="5" t="s">
        <v>273</v>
      </c>
      <c r="X404" s="5">
        <v>9812909831</v>
      </c>
      <c r="Y404" s="8" t="s">
        <v>248</v>
      </c>
      <c r="Z404" t="str">
        <f t="shared" si="43"/>
        <v>Blacklisted</v>
      </c>
      <c r="AA404" t="str">
        <f t="shared" si="44"/>
        <v>Mohit Verma</v>
      </c>
      <c r="AB404" t="str">
        <f t="shared" si="45"/>
        <v>Moh009Mu</v>
      </c>
      <c r="AC404" t="str">
        <f t="shared" si="48"/>
        <v>mohit.verma@company.com</v>
      </c>
      <c r="AD404">
        <f t="shared" ca="1" si="49"/>
        <v>37</v>
      </c>
      <c r="AE404">
        <f t="shared" si="46"/>
        <v>6</v>
      </c>
      <c r="AF404" t="str">
        <f t="shared" si="47"/>
        <v>Delayed</v>
      </c>
    </row>
    <row r="405" spans="4:32">
      <c r="D405" s="9" t="s">
        <v>1028</v>
      </c>
      <c r="E405" s="10" t="s">
        <v>249</v>
      </c>
      <c r="F405" s="10" t="s">
        <v>322</v>
      </c>
      <c r="G405" s="11">
        <v>45667</v>
      </c>
      <c r="H405" s="11">
        <v>46001</v>
      </c>
      <c r="I405" s="10" t="s">
        <v>251</v>
      </c>
      <c r="J405" s="10" t="s">
        <v>239</v>
      </c>
      <c r="K405" s="11">
        <v>36651</v>
      </c>
      <c r="L405" s="10" t="s">
        <v>286</v>
      </c>
      <c r="M405" s="10" t="s">
        <v>287</v>
      </c>
      <c r="N405" s="10" t="s">
        <v>15</v>
      </c>
      <c r="O405" s="10" t="s">
        <v>325</v>
      </c>
      <c r="P405" s="10">
        <v>8</v>
      </c>
      <c r="Q405" s="10">
        <v>8500</v>
      </c>
      <c r="R405" s="10">
        <v>10</v>
      </c>
      <c r="S405" s="10">
        <v>61200</v>
      </c>
      <c r="T405" s="10">
        <v>4</v>
      </c>
      <c r="U405" s="10" t="s">
        <v>254</v>
      </c>
      <c r="V405" s="10" t="s">
        <v>292</v>
      </c>
      <c r="W405" s="10" t="s">
        <v>264</v>
      </c>
      <c r="X405" s="10">
        <v>9106290987</v>
      </c>
      <c r="Y405" s="12" t="s">
        <v>265</v>
      </c>
      <c r="Z405" t="str">
        <f t="shared" si="43"/>
        <v>Blacklisted</v>
      </c>
      <c r="AA405" t="str">
        <f t="shared" si="44"/>
        <v>Kavya Nair</v>
      </c>
      <c r="AB405" t="str">
        <f t="shared" si="45"/>
        <v>Kav008Mu</v>
      </c>
      <c r="AC405" t="str">
        <f t="shared" si="48"/>
        <v>kavya.nair@company.com</v>
      </c>
      <c r="AD405" t="str">
        <f t="shared" ca="1" si="49"/>
        <v/>
      </c>
      <c r="AE405" t="str">
        <f t="shared" si="46"/>
        <v/>
      </c>
      <c r="AF405" t="str">
        <f t="shared" si="47"/>
        <v>Delayed</v>
      </c>
    </row>
    <row r="406" spans="4:32">
      <c r="D406" s="4" t="s">
        <v>1029</v>
      </c>
      <c r="E406" s="5" t="s">
        <v>235</v>
      </c>
      <c r="F406" s="5" t="s">
        <v>347</v>
      </c>
      <c r="G406" s="5" t="s">
        <v>149</v>
      </c>
      <c r="H406" s="6">
        <v>46024</v>
      </c>
      <c r="I406" s="5" t="s">
        <v>318</v>
      </c>
      <c r="J406" s="5" t="s">
        <v>239</v>
      </c>
      <c r="K406" s="5" t="s">
        <v>1030</v>
      </c>
      <c r="L406" s="5" t="s">
        <v>291</v>
      </c>
      <c r="M406" s="5" t="s">
        <v>287</v>
      </c>
      <c r="N406" s="5" t="s">
        <v>295</v>
      </c>
      <c r="O406" s="5" t="s">
        <v>349</v>
      </c>
      <c r="P406" s="5">
        <v>3</v>
      </c>
      <c r="Q406" s="5">
        <v>20</v>
      </c>
      <c r="R406" s="5">
        <v>10</v>
      </c>
      <c r="S406" s="5">
        <v>54</v>
      </c>
      <c r="T406" s="5">
        <v>3</v>
      </c>
      <c r="U406" s="5" t="s">
        <v>272</v>
      </c>
      <c r="V406" s="5" t="s">
        <v>312</v>
      </c>
      <c r="W406" s="5" t="s">
        <v>247</v>
      </c>
      <c r="X406" s="5">
        <v>9767727724</v>
      </c>
      <c r="Y406" s="8" t="s">
        <v>248</v>
      </c>
      <c r="Z406" t="str">
        <f t="shared" si="43"/>
        <v/>
      </c>
      <c r="AA406" t="str">
        <f t="shared" si="44"/>
        <v>Pooja Shah</v>
      </c>
      <c r="AB406" t="str">
        <f t="shared" si="45"/>
        <v>Poo010Pu</v>
      </c>
      <c r="AC406" t="str">
        <f t="shared" si="48"/>
        <v>pooja.shah@company.com</v>
      </c>
      <c r="AD406">
        <f t="shared" ca="1" si="49"/>
        <v>26</v>
      </c>
      <c r="AE406" t="str">
        <f t="shared" si="46"/>
        <v/>
      </c>
      <c r="AF406" t="str">
        <f t="shared" si="47"/>
        <v>Delayed</v>
      </c>
    </row>
    <row r="407" spans="4:32">
      <c r="D407" s="9" t="s">
        <v>1031</v>
      </c>
      <c r="E407" s="10" t="s">
        <v>321</v>
      </c>
      <c r="F407" s="10" t="s">
        <v>322</v>
      </c>
      <c r="G407" s="11">
        <v>45695</v>
      </c>
      <c r="H407" s="11">
        <v>45998</v>
      </c>
      <c r="I407" s="10" t="s">
        <v>408</v>
      </c>
      <c r="J407" s="10" t="s">
        <v>239</v>
      </c>
      <c r="K407" s="10" t="s">
        <v>1032</v>
      </c>
      <c r="L407" s="10" t="s">
        <v>379</v>
      </c>
      <c r="M407" s="10" t="s">
        <v>21</v>
      </c>
      <c r="N407" s="10" t="s">
        <v>15</v>
      </c>
      <c r="O407" s="10" t="s">
        <v>325</v>
      </c>
      <c r="P407" s="10">
        <v>18</v>
      </c>
      <c r="Q407" s="10">
        <v>8500</v>
      </c>
      <c r="R407" s="10">
        <v>10</v>
      </c>
      <c r="S407" s="10">
        <v>137700</v>
      </c>
      <c r="T407" s="10">
        <v>4</v>
      </c>
      <c r="U407" s="10" t="s">
        <v>254</v>
      </c>
      <c r="V407" s="10" t="s">
        <v>263</v>
      </c>
      <c r="W407" s="10" t="s">
        <v>326</v>
      </c>
      <c r="X407" s="10">
        <v>9865401727</v>
      </c>
      <c r="Y407" s="12" t="s">
        <v>265</v>
      </c>
      <c r="Z407" t="str">
        <f t="shared" si="43"/>
        <v>Blacklisted</v>
      </c>
      <c r="AA407" t="str">
        <f t="shared" si="44"/>
        <v>Anita Gupta</v>
      </c>
      <c r="AB407" t="str">
        <f t="shared" si="45"/>
        <v>Ani004Ko</v>
      </c>
      <c r="AC407" t="str">
        <f t="shared" si="48"/>
        <v>anita.gupta@company.com</v>
      </c>
      <c r="AD407" t="str">
        <f t="shared" ca="1" si="49"/>
        <v/>
      </c>
      <c r="AE407" t="str">
        <f t="shared" si="46"/>
        <v/>
      </c>
      <c r="AF407" t="str">
        <f t="shared" si="47"/>
        <v>Delayed</v>
      </c>
    </row>
    <row r="408" spans="4:32">
      <c r="D408" s="4" t="s">
        <v>1033</v>
      </c>
      <c r="E408" s="5" t="s">
        <v>235</v>
      </c>
      <c r="F408" s="5" t="s">
        <v>362</v>
      </c>
      <c r="G408" s="6">
        <v>45787</v>
      </c>
      <c r="H408" s="6">
        <v>45910</v>
      </c>
      <c r="I408" s="5" t="s">
        <v>318</v>
      </c>
      <c r="J408" s="5" t="s">
        <v>239</v>
      </c>
      <c r="K408" s="5" t="s">
        <v>1034</v>
      </c>
      <c r="L408" s="5" t="s">
        <v>291</v>
      </c>
      <c r="M408" s="5" t="s">
        <v>287</v>
      </c>
      <c r="N408" s="5" t="s">
        <v>295</v>
      </c>
      <c r="O408" s="5" t="s">
        <v>363</v>
      </c>
      <c r="P408" s="5">
        <v>5</v>
      </c>
      <c r="Q408" s="5">
        <v>45</v>
      </c>
      <c r="R408" s="5">
        <v>10</v>
      </c>
      <c r="S408" s="5">
        <v>202.5</v>
      </c>
      <c r="T408" s="5">
        <v>3</v>
      </c>
      <c r="U408" s="5" t="s">
        <v>254</v>
      </c>
      <c r="V408" s="5" t="s">
        <v>292</v>
      </c>
      <c r="W408" s="5" t="s">
        <v>247</v>
      </c>
      <c r="X408" s="5">
        <v>9603848571</v>
      </c>
      <c r="Y408" s="8" t="s">
        <v>248</v>
      </c>
      <c r="Z408" t="str">
        <f t="shared" si="43"/>
        <v/>
      </c>
      <c r="AA408" t="str">
        <f t="shared" si="44"/>
        <v>Pooja Shah</v>
      </c>
      <c r="AB408" t="str">
        <f t="shared" si="45"/>
        <v>Poo010Pu</v>
      </c>
      <c r="AC408" t="str">
        <f t="shared" si="48"/>
        <v>pooja.shah@company.com</v>
      </c>
      <c r="AD408" t="str">
        <f t="shared" ca="1" si="49"/>
        <v/>
      </c>
      <c r="AE408" t="str">
        <f t="shared" si="46"/>
        <v/>
      </c>
      <c r="AF408" t="str">
        <f t="shared" si="47"/>
        <v>Delayed</v>
      </c>
    </row>
    <row r="409" spans="4:32">
      <c r="D409" s="9" t="s">
        <v>1035</v>
      </c>
      <c r="E409" s="10" t="s">
        <v>266</v>
      </c>
      <c r="F409" s="10" t="s">
        <v>362</v>
      </c>
      <c r="G409" s="10" t="s">
        <v>197</v>
      </c>
      <c r="H409" s="11">
        <v>45694</v>
      </c>
      <c r="I409" s="10" t="s">
        <v>268</v>
      </c>
      <c r="J409" s="10" t="s">
        <v>269</v>
      </c>
      <c r="K409" s="10" t="s">
        <v>1036</v>
      </c>
      <c r="L409" s="10" t="s">
        <v>286</v>
      </c>
      <c r="M409" s="10" t="s">
        <v>287</v>
      </c>
      <c r="N409" s="10" t="s">
        <v>295</v>
      </c>
      <c r="O409" s="10" t="s">
        <v>363</v>
      </c>
      <c r="P409" s="10">
        <v>2</v>
      </c>
      <c r="Q409" s="10">
        <v>45</v>
      </c>
      <c r="R409" s="10">
        <v>20</v>
      </c>
      <c r="S409" s="10">
        <v>72</v>
      </c>
      <c r="T409" s="10">
        <v>5</v>
      </c>
      <c r="U409" s="10" t="s">
        <v>277</v>
      </c>
      <c r="V409" s="10" t="s">
        <v>246</v>
      </c>
      <c r="W409" s="10" t="s">
        <v>273</v>
      </c>
      <c r="X409" s="10">
        <v>9101231789</v>
      </c>
      <c r="Y409" s="12" t="s">
        <v>265</v>
      </c>
      <c r="Z409" t="str">
        <f t="shared" si="43"/>
        <v>Blacklisted</v>
      </c>
      <c r="AA409" t="str">
        <f t="shared" si="44"/>
        <v>Mohit Verma</v>
      </c>
      <c r="AB409" t="str">
        <f t="shared" si="45"/>
        <v>Moh009Mu</v>
      </c>
      <c r="AC409" t="str">
        <f t="shared" si="48"/>
        <v>mohit.verma@company.com</v>
      </c>
      <c r="AD409" t="str">
        <f t="shared" ca="1" si="49"/>
        <v/>
      </c>
      <c r="AE409" t="str">
        <f t="shared" si="46"/>
        <v/>
      </c>
      <c r="AF409" t="str">
        <f t="shared" si="47"/>
        <v>Delayed</v>
      </c>
    </row>
    <row r="410" spans="4:32">
      <c r="D410" s="4" t="s">
        <v>1037</v>
      </c>
      <c r="E410" s="5" t="s">
        <v>284</v>
      </c>
      <c r="F410" s="5" t="s">
        <v>362</v>
      </c>
      <c r="G410" s="5" t="s">
        <v>160</v>
      </c>
      <c r="H410" s="6">
        <v>45810</v>
      </c>
      <c r="I410" s="5" t="s">
        <v>285</v>
      </c>
      <c r="J410" s="5" t="s">
        <v>239</v>
      </c>
      <c r="K410" s="5" t="s">
        <v>1038</v>
      </c>
      <c r="L410" s="5" t="s">
        <v>252</v>
      </c>
      <c r="M410" s="5" t="s">
        <v>242</v>
      </c>
      <c r="N410" s="5" t="s">
        <v>295</v>
      </c>
      <c r="O410" s="5" t="s">
        <v>363</v>
      </c>
      <c r="P410" s="5">
        <v>18</v>
      </c>
      <c r="Q410" s="5">
        <v>45</v>
      </c>
      <c r="R410" s="5">
        <v>10</v>
      </c>
      <c r="S410" s="5">
        <v>729</v>
      </c>
      <c r="T410" s="5">
        <v>2</v>
      </c>
      <c r="U410" s="5" t="s">
        <v>245</v>
      </c>
      <c r="V410" s="5" t="s">
        <v>292</v>
      </c>
      <c r="W410" s="5" t="s">
        <v>308</v>
      </c>
      <c r="X410" s="5">
        <v>9485017802</v>
      </c>
      <c r="Y410" s="8" t="s">
        <v>248</v>
      </c>
      <c r="Z410" t="str">
        <f t="shared" si="43"/>
        <v>Blacklisted</v>
      </c>
      <c r="AA410" t="str">
        <f t="shared" si="44"/>
        <v>Priya Patel</v>
      </c>
      <c r="AB410" t="str">
        <f t="shared" si="45"/>
        <v>Pri002Hy</v>
      </c>
      <c r="AC410" t="str">
        <f t="shared" si="48"/>
        <v>priya.patel@company.com</v>
      </c>
      <c r="AD410" t="str">
        <f t="shared" ca="1" si="49"/>
        <v/>
      </c>
      <c r="AE410" t="str">
        <f t="shared" si="46"/>
        <v/>
      </c>
      <c r="AF410" t="str">
        <f t="shared" si="47"/>
        <v>Delayed</v>
      </c>
    </row>
    <row r="411" spans="4:32">
      <c r="D411" s="9" t="s">
        <v>1039</v>
      </c>
      <c r="E411" s="10" t="s">
        <v>299</v>
      </c>
      <c r="F411" s="10" t="s">
        <v>267</v>
      </c>
      <c r="G411" s="10" t="s">
        <v>136</v>
      </c>
      <c r="H411" s="11">
        <v>46023</v>
      </c>
      <c r="I411" s="10" t="s">
        <v>301</v>
      </c>
      <c r="J411" s="10" t="s">
        <v>269</v>
      </c>
      <c r="K411" s="10" t="s">
        <v>1040</v>
      </c>
      <c r="L411" s="10" t="s">
        <v>379</v>
      </c>
      <c r="M411" s="10" t="s">
        <v>21</v>
      </c>
      <c r="N411" s="10" t="s">
        <v>243</v>
      </c>
      <c r="O411" s="10" t="s">
        <v>271</v>
      </c>
      <c r="P411" s="10">
        <v>13</v>
      </c>
      <c r="Q411" s="10">
        <v>1200</v>
      </c>
      <c r="R411" s="10">
        <v>5</v>
      </c>
      <c r="S411" s="10">
        <v>14820</v>
      </c>
      <c r="T411" s="10">
        <v>4</v>
      </c>
      <c r="U411" s="10" t="s">
        <v>272</v>
      </c>
      <c r="V411" s="10" t="s">
        <v>292</v>
      </c>
      <c r="W411" s="10" t="s">
        <v>302</v>
      </c>
      <c r="X411" s="10">
        <v>9815464650</v>
      </c>
      <c r="Y411" s="12" t="s">
        <v>257</v>
      </c>
      <c r="Z411" t="str">
        <f t="shared" si="43"/>
        <v>Silver</v>
      </c>
      <c r="AA411" t="str">
        <f t="shared" si="44"/>
        <v>Rohit Singh</v>
      </c>
      <c r="AB411" t="str">
        <f t="shared" si="45"/>
        <v>Roh003Ko</v>
      </c>
      <c r="AC411" t="str">
        <f t="shared" si="48"/>
        <v>rohit.singh@company.com</v>
      </c>
      <c r="AD411" t="str">
        <f t="shared" ca="1" si="49"/>
        <v/>
      </c>
      <c r="AE411" t="str">
        <f t="shared" si="46"/>
        <v/>
      </c>
      <c r="AF411" t="str">
        <f t="shared" si="47"/>
        <v>Delayed</v>
      </c>
    </row>
    <row r="412" spans="4:32">
      <c r="D412" s="4" t="s">
        <v>1041</v>
      </c>
      <c r="E412" s="5" t="s">
        <v>249</v>
      </c>
      <c r="F412" s="5" t="s">
        <v>347</v>
      </c>
      <c r="G412" s="6">
        <v>46331</v>
      </c>
      <c r="H412" s="5" t="s">
        <v>1042</v>
      </c>
      <c r="I412" s="5" t="s">
        <v>251</v>
      </c>
      <c r="J412" s="5" t="s">
        <v>239</v>
      </c>
      <c r="K412" s="6">
        <v>38048</v>
      </c>
      <c r="L412" s="5" t="s">
        <v>252</v>
      </c>
      <c r="M412" s="5" t="s">
        <v>242</v>
      </c>
      <c r="N412" s="5" t="s">
        <v>295</v>
      </c>
      <c r="O412" s="5" t="s">
        <v>349</v>
      </c>
      <c r="P412" s="5">
        <v>14</v>
      </c>
      <c r="Q412" s="5">
        <v>20</v>
      </c>
      <c r="R412" s="5">
        <v>20</v>
      </c>
      <c r="S412" s="5">
        <v>224</v>
      </c>
      <c r="T412" s="5">
        <v>5</v>
      </c>
      <c r="U412" s="5" t="s">
        <v>277</v>
      </c>
      <c r="V412" s="5" t="s">
        <v>263</v>
      </c>
      <c r="W412" s="5" t="s">
        <v>264</v>
      </c>
      <c r="X412" s="5">
        <v>9860715839</v>
      </c>
      <c r="Y412" s="8" t="s">
        <v>248</v>
      </c>
      <c r="Z412" t="str">
        <f t="shared" si="43"/>
        <v/>
      </c>
      <c r="AA412" t="str">
        <f t="shared" si="44"/>
        <v>Kavya Nair</v>
      </c>
      <c r="AB412" t="str">
        <f t="shared" si="45"/>
        <v>Kav008Hy</v>
      </c>
      <c r="AC412" t="str">
        <f t="shared" si="48"/>
        <v>kavya.nair@company.com</v>
      </c>
      <c r="AD412" t="str">
        <f t="shared" ca="1" si="49"/>
        <v/>
      </c>
      <c r="AE412" t="str">
        <f t="shared" si="46"/>
        <v/>
      </c>
      <c r="AF412" t="str">
        <f t="shared" si="47"/>
        <v>Delayed</v>
      </c>
    </row>
    <row r="413" spans="4:32">
      <c r="D413" s="9" t="s">
        <v>1043</v>
      </c>
      <c r="E413" s="10" t="s">
        <v>284</v>
      </c>
      <c r="F413" s="10" t="s">
        <v>280</v>
      </c>
      <c r="G413" s="11">
        <v>46328</v>
      </c>
      <c r="H413" s="10" t="s">
        <v>997</v>
      </c>
      <c r="I413" s="10" t="s">
        <v>285</v>
      </c>
      <c r="J413" s="10" t="s">
        <v>239</v>
      </c>
      <c r="K413" s="10" t="s">
        <v>1044</v>
      </c>
      <c r="L413" s="10" t="s">
        <v>252</v>
      </c>
      <c r="M413" s="10" t="s">
        <v>242</v>
      </c>
      <c r="N413" s="10" t="s">
        <v>15</v>
      </c>
      <c r="O413" s="10" t="s">
        <v>282</v>
      </c>
      <c r="P413" s="10">
        <v>16</v>
      </c>
      <c r="Q413" s="10">
        <v>3500</v>
      </c>
      <c r="R413" s="10">
        <v>15</v>
      </c>
      <c r="S413" s="10">
        <v>47600</v>
      </c>
      <c r="T413" s="10">
        <v>3</v>
      </c>
      <c r="U413" s="10" t="s">
        <v>277</v>
      </c>
      <c r="V413" s="10" t="s">
        <v>246</v>
      </c>
      <c r="W413" s="10" t="s">
        <v>308</v>
      </c>
      <c r="X413" s="10">
        <v>9207561051</v>
      </c>
      <c r="Y413" s="12" t="s">
        <v>265</v>
      </c>
      <c r="Z413" t="str">
        <f t="shared" si="43"/>
        <v>Blacklisted</v>
      </c>
      <c r="AA413" t="str">
        <f t="shared" si="44"/>
        <v>Priya Patel</v>
      </c>
      <c r="AB413" t="str">
        <f t="shared" si="45"/>
        <v>Pri002Hy</v>
      </c>
      <c r="AC413" t="str">
        <f t="shared" si="48"/>
        <v>priya.patel@company.com</v>
      </c>
      <c r="AD413">
        <f t="shared" ca="1" si="49"/>
        <v>22</v>
      </c>
      <c r="AE413" t="str">
        <f t="shared" si="46"/>
        <v/>
      </c>
      <c r="AF413" t="str">
        <f t="shared" si="47"/>
        <v>Delayed</v>
      </c>
    </row>
    <row r="414" spans="4:32">
      <c r="D414" s="4" t="s">
        <v>1045</v>
      </c>
      <c r="E414" s="5" t="s">
        <v>358</v>
      </c>
      <c r="F414" s="5" t="s">
        <v>347</v>
      </c>
      <c r="G414" s="5" t="s">
        <v>42</v>
      </c>
      <c r="H414" s="5" t="s">
        <v>728</v>
      </c>
      <c r="I414" s="5" t="s">
        <v>359</v>
      </c>
      <c r="J414" s="5" t="s">
        <v>239</v>
      </c>
      <c r="K414" s="5" t="s">
        <v>1046</v>
      </c>
      <c r="L414" s="5" t="s">
        <v>241</v>
      </c>
      <c r="M414" s="5" t="s">
        <v>242</v>
      </c>
      <c r="N414" s="5" t="s">
        <v>295</v>
      </c>
      <c r="O414" s="5" t="s">
        <v>349</v>
      </c>
      <c r="P414" s="5">
        <v>20</v>
      </c>
      <c r="Q414" s="5">
        <v>20</v>
      </c>
      <c r="R414" s="5">
        <v>15</v>
      </c>
      <c r="S414" s="5">
        <v>340</v>
      </c>
      <c r="T414" s="5">
        <v>1</v>
      </c>
      <c r="U414" s="5" t="s">
        <v>245</v>
      </c>
      <c r="V414" s="5" t="s">
        <v>246</v>
      </c>
      <c r="W414" s="5" t="s">
        <v>360</v>
      </c>
      <c r="X414" s="5">
        <v>9159894508</v>
      </c>
      <c r="Y414" s="8" t="s">
        <v>265</v>
      </c>
      <c r="Z414" t="str">
        <f t="shared" si="43"/>
        <v>Blacklisted</v>
      </c>
      <c r="AA414" t="str">
        <f t="shared" si="44"/>
        <v>Sneha Joshi</v>
      </c>
      <c r="AB414" t="str">
        <f t="shared" si="45"/>
        <v>Sne006Be</v>
      </c>
      <c r="AC414" t="str">
        <f t="shared" si="48"/>
        <v>sneha.joshi@company.com</v>
      </c>
      <c r="AD414" t="str">
        <f t="shared" ca="1" si="49"/>
        <v/>
      </c>
      <c r="AE414">
        <f t="shared" si="46"/>
        <v>8</v>
      </c>
      <c r="AF414" t="str">
        <f t="shared" si="47"/>
        <v>Delayed</v>
      </c>
    </row>
    <row r="415" spans="4:32">
      <c r="D415" s="9" t="s">
        <v>1047</v>
      </c>
      <c r="E415" s="10" t="s">
        <v>321</v>
      </c>
      <c r="F415" s="10" t="s">
        <v>236</v>
      </c>
      <c r="G415" s="11">
        <v>45904</v>
      </c>
      <c r="H415" s="10" t="s">
        <v>536</v>
      </c>
      <c r="I415" s="10" t="s">
        <v>408</v>
      </c>
      <c r="J415" s="10" t="s">
        <v>239</v>
      </c>
      <c r="K415" s="11">
        <v>29201</v>
      </c>
      <c r="L415" s="10" t="s">
        <v>306</v>
      </c>
      <c r="M415" s="10" t="s">
        <v>287</v>
      </c>
      <c r="N415" s="10" t="s">
        <v>243</v>
      </c>
      <c r="O415" s="10" t="s">
        <v>244</v>
      </c>
      <c r="P415" s="10">
        <v>1</v>
      </c>
      <c r="Q415" s="10">
        <v>55000</v>
      </c>
      <c r="R415" s="10">
        <v>15</v>
      </c>
      <c r="S415" s="10">
        <v>46750</v>
      </c>
      <c r="T415" s="10">
        <v>2</v>
      </c>
      <c r="U415" s="10" t="s">
        <v>277</v>
      </c>
      <c r="V415" s="10" t="s">
        <v>292</v>
      </c>
      <c r="W415" s="10" t="s">
        <v>326</v>
      </c>
      <c r="X415" s="10">
        <v>9531465024</v>
      </c>
      <c r="Y415" s="12" t="s">
        <v>265</v>
      </c>
      <c r="Z415" t="str">
        <f t="shared" si="43"/>
        <v>Blacklisted</v>
      </c>
      <c r="AA415" t="str">
        <f t="shared" si="44"/>
        <v>Anita Gupta</v>
      </c>
      <c r="AB415" t="str">
        <f t="shared" si="45"/>
        <v>Ani004Ah</v>
      </c>
      <c r="AC415" t="str">
        <f t="shared" si="48"/>
        <v>anita.gupta@company.com</v>
      </c>
      <c r="AD415" t="str">
        <f t="shared" ca="1" si="49"/>
        <v/>
      </c>
      <c r="AE415" t="str">
        <f t="shared" si="46"/>
        <v/>
      </c>
      <c r="AF415" t="str">
        <f t="shared" si="47"/>
        <v>Delayed</v>
      </c>
    </row>
    <row r="416" spans="4:32">
      <c r="D416" s="4" t="s">
        <v>1048</v>
      </c>
      <c r="E416" s="5" t="s">
        <v>284</v>
      </c>
      <c r="F416" s="5" t="s">
        <v>294</v>
      </c>
      <c r="G416" s="5" t="s">
        <v>31</v>
      </c>
      <c r="H416" s="5" t="s">
        <v>519</v>
      </c>
      <c r="I416" s="5" t="s">
        <v>285</v>
      </c>
      <c r="J416" s="5" t="s">
        <v>239</v>
      </c>
      <c r="K416" s="5" t="s">
        <v>1049</v>
      </c>
      <c r="L416" s="5" t="s">
        <v>306</v>
      </c>
      <c r="M416" s="5" t="s">
        <v>287</v>
      </c>
      <c r="N416" s="5" t="s">
        <v>295</v>
      </c>
      <c r="O416" s="5" t="s">
        <v>296</v>
      </c>
      <c r="P416" s="5">
        <v>15</v>
      </c>
      <c r="Q416" s="5">
        <v>60</v>
      </c>
      <c r="R416" s="5">
        <v>5</v>
      </c>
      <c r="S416" s="5">
        <v>855</v>
      </c>
      <c r="T416" s="5">
        <v>4</v>
      </c>
      <c r="U416" s="5" t="s">
        <v>245</v>
      </c>
      <c r="V416" s="5" t="s">
        <v>246</v>
      </c>
      <c r="W416" s="5" t="s">
        <v>308</v>
      </c>
      <c r="X416" s="5">
        <v>9158813608</v>
      </c>
      <c r="Y416" s="8" t="s">
        <v>257</v>
      </c>
      <c r="Z416" t="str">
        <f t="shared" si="43"/>
        <v>Silver</v>
      </c>
      <c r="AA416" t="str">
        <f t="shared" si="44"/>
        <v>Priya Patel</v>
      </c>
      <c r="AB416" t="str">
        <f t="shared" si="45"/>
        <v>Pri002Ah</v>
      </c>
      <c r="AC416" t="str">
        <f t="shared" si="48"/>
        <v>priya.patel@company.com</v>
      </c>
      <c r="AD416">
        <f t="shared" ca="1" si="49"/>
        <v>46</v>
      </c>
      <c r="AE416">
        <f t="shared" si="46"/>
        <v>5</v>
      </c>
      <c r="AF416" t="str">
        <f t="shared" si="47"/>
        <v>On time</v>
      </c>
    </row>
    <row r="417" spans="4:32">
      <c r="D417" s="9" t="s">
        <v>1050</v>
      </c>
      <c r="E417" s="10" t="s">
        <v>275</v>
      </c>
      <c r="F417" s="10" t="s">
        <v>330</v>
      </c>
      <c r="G417" s="10" t="s">
        <v>164</v>
      </c>
      <c r="H417" s="11">
        <v>46057</v>
      </c>
      <c r="I417" s="10" t="s">
        <v>328</v>
      </c>
      <c r="J417" s="10" t="s">
        <v>269</v>
      </c>
      <c r="K417" s="11">
        <v>28006</v>
      </c>
      <c r="L417" s="10" t="s">
        <v>286</v>
      </c>
      <c r="M417" s="10" t="s">
        <v>287</v>
      </c>
      <c r="N417" s="10" t="s">
        <v>243</v>
      </c>
      <c r="O417" s="10" t="s">
        <v>333</v>
      </c>
      <c r="P417" s="10">
        <v>15</v>
      </c>
      <c r="Q417" s="10">
        <v>700</v>
      </c>
      <c r="R417" s="10">
        <v>0</v>
      </c>
      <c r="S417" s="10">
        <v>10500</v>
      </c>
      <c r="T417" s="10">
        <v>5</v>
      </c>
      <c r="U417" s="10" t="s">
        <v>245</v>
      </c>
      <c r="V417" s="10" t="s">
        <v>292</v>
      </c>
      <c r="W417" s="10" t="s">
        <v>278</v>
      </c>
      <c r="X417" s="10">
        <v>9308461700</v>
      </c>
      <c r="Y417" s="12" t="s">
        <v>257</v>
      </c>
      <c r="Z417" t="str">
        <f t="shared" si="43"/>
        <v>Silver</v>
      </c>
      <c r="AA417" t="str">
        <f t="shared" si="44"/>
        <v>Arjun Rao</v>
      </c>
      <c r="AB417" t="str">
        <f t="shared" si="45"/>
        <v>Arj007Mu</v>
      </c>
      <c r="AC417" t="str">
        <f t="shared" si="48"/>
        <v>arjun.rao@company.com</v>
      </c>
      <c r="AD417" t="str">
        <f t="shared" ca="1" si="49"/>
        <v/>
      </c>
      <c r="AE417" t="str">
        <f t="shared" si="46"/>
        <v/>
      </c>
      <c r="AF417" t="str">
        <f t="shared" si="47"/>
        <v>Delayed</v>
      </c>
    </row>
    <row r="418" spans="4:32">
      <c r="D418" s="4" t="s">
        <v>1051</v>
      </c>
      <c r="E418" s="5" t="s">
        <v>346</v>
      </c>
      <c r="F418" s="5" t="s">
        <v>258</v>
      </c>
      <c r="G418" s="6">
        <v>46143</v>
      </c>
      <c r="H418" s="6">
        <v>46266</v>
      </c>
      <c r="I418" s="5" t="s">
        <v>348</v>
      </c>
      <c r="J418" s="5" t="s">
        <v>269</v>
      </c>
      <c r="K418" s="5" t="s">
        <v>1052</v>
      </c>
      <c r="L418" s="5" t="s">
        <v>379</v>
      </c>
      <c r="M418" s="5" t="s">
        <v>21</v>
      </c>
      <c r="N418" s="5" t="s">
        <v>243</v>
      </c>
      <c r="O418" s="5" t="s">
        <v>262</v>
      </c>
      <c r="P418" s="5">
        <v>13</v>
      </c>
      <c r="Q418" s="5">
        <v>12000</v>
      </c>
      <c r="R418" s="5">
        <v>10</v>
      </c>
      <c r="S418" s="5">
        <v>140400</v>
      </c>
      <c r="T418" s="5">
        <v>1</v>
      </c>
      <c r="U418" s="5" t="s">
        <v>254</v>
      </c>
      <c r="V418" s="5" t="s">
        <v>312</v>
      </c>
      <c r="W418" s="5" t="s">
        <v>350</v>
      </c>
      <c r="X418" s="5">
        <v>9882279049</v>
      </c>
      <c r="Y418" s="8" t="s">
        <v>265</v>
      </c>
      <c r="Z418" t="str">
        <f t="shared" si="43"/>
        <v>Blacklisted</v>
      </c>
      <c r="AA418" t="str">
        <f t="shared" si="44"/>
        <v>Vikas Mehta</v>
      </c>
      <c r="AB418" t="str">
        <f t="shared" si="45"/>
        <v>Vik005Ko</v>
      </c>
      <c r="AC418" t="str">
        <f t="shared" si="48"/>
        <v>vikas.mehta@company.com</v>
      </c>
      <c r="AD418">
        <f t="shared" ca="1" si="49"/>
        <v>50</v>
      </c>
      <c r="AE418" t="str">
        <f t="shared" si="46"/>
        <v/>
      </c>
      <c r="AF418" t="str">
        <f t="shared" si="47"/>
        <v>Delayed</v>
      </c>
    </row>
    <row r="419" spans="4:32">
      <c r="D419" s="9" t="s">
        <v>1053</v>
      </c>
      <c r="E419" s="10" t="s">
        <v>275</v>
      </c>
      <c r="F419" s="10" t="s">
        <v>258</v>
      </c>
      <c r="G419" s="10" t="s">
        <v>60</v>
      </c>
      <c r="H419" s="10" t="s">
        <v>186</v>
      </c>
      <c r="I419" s="10" t="s">
        <v>328</v>
      </c>
      <c r="J419" s="10" t="s">
        <v>269</v>
      </c>
      <c r="K419" s="10" t="s">
        <v>1054</v>
      </c>
      <c r="L419" s="10" t="s">
        <v>252</v>
      </c>
      <c r="M419" s="10" t="s">
        <v>242</v>
      </c>
      <c r="N419" s="10" t="s">
        <v>243</v>
      </c>
      <c r="O419" s="10" t="s">
        <v>262</v>
      </c>
      <c r="P419" s="10">
        <v>12</v>
      </c>
      <c r="Q419" s="10">
        <v>12000</v>
      </c>
      <c r="R419" s="10">
        <v>20</v>
      </c>
      <c r="S419" s="10">
        <v>115200</v>
      </c>
      <c r="T419" s="10">
        <v>2</v>
      </c>
      <c r="U419" s="10" t="s">
        <v>254</v>
      </c>
      <c r="V419" s="10" t="s">
        <v>255</v>
      </c>
      <c r="W419" s="10" t="s">
        <v>278</v>
      </c>
      <c r="X419" s="10">
        <v>9961801338</v>
      </c>
      <c r="Y419" s="12" t="s">
        <v>257</v>
      </c>
      <c r="Z419" t="str">
        <f t="shared" si="43"/>
        <v>Blacklisted</v>
      </c>
      <c r="AA419" t="str">
        <f t="shared" si="44"/>
        <v>Arjun Rao</v>
      </c>
      <c r="AB419" t="str">
        <f t="shared" si="45"/>
        <v>Arj007Hy</v>
      </c>
      <c r="AC419" t="str">
        <f t="shared" si="48"/>
        <v>arjun.rao@company.com</v>
      </c>
      <c r="AD419" t="str">
        <f t="shared" ca="1" si="49"/>
        <v/>
      </c>
      <c r="AE419">
        <f t="shared" si="46"/>
        <v>12</v>
      </c>
      <c r="AF419" t="str">
        <f t="shared" si="47"/>
        <v>Delayed</v>
      </c>
    </row>
    <row r="420" spans="4:32">
      <c r="D420" s="4" t="s">
        <v>1055</v>
      </c>
      <c r="E420" s="5" t="s">
        <v>275</v>
      </c>
      <c r="F420" s="5" t="s">
        <v>362</v>
      </c>
      <c r="G420" s="5" t="s">
        <v>140</v>
      </c>
      <c r="H420" s="5" t="s">
        <v>184</v>
      </c>
      <c r="I420" s="5" t="s">
        <v>328</v>
      </c>
      <c r="J420" s="5" t="s">
        <v>269</v>
      </c>
      <c r="K420" s="6">
        <v>37931</v>
      </c>
      <c r="L420" s="5" t="s">
        <v>286</v>
      </c>
      <c r="M420" s="5" t="s">
        <v>287</v>
      </c>
      <c r="N420" s="5" t="s">
        <v>295</v>
      </c>
      <c r="O420" s="5" t="s">
        <v>363</v>
      </c>
      <c r="P420" s="5">
        <v>10</v>
      </c>
      <c r="Q420" s="5">
        <v>45</v>
      </c>
      <c r="R420" s="5">
        <v>0</v>
      </c>
      <c r="S420" s="5">
        <v>450</v>
      </c>
      <c r="T420" s="5">
        <v>5</v>
      </c>
      <c r="U420" s="5" t="s">
        <v>272</v>
      </c>
      <c r="V420" s="5" t="s">
        <v>292</v>
      </c>
      <c r="W420" s="5" t="s">
        <v>278</v>
      </c>
      <c r="X420" s="5">
        <v>9853525026</v>
      </c>
      <c r="Y420" s="8" t="s">
        <v>265</v>
      </c>
      <c r="Z420" t="str">
        <f t="shared" si="43"/>
        <v>Blacklisted</v>
      </c>
      <c r="AA420" t="str">
        <f t="shared" si="44"/>
        <v>Arjun Rao</v>
      </c>
      <c r="AB420" t="str">
        <f t="shared" si="45"/>
        <v>Arj007Mu</v>
      </c>
      <c r="AC420" t="str">
        <f t="shared" si="48"/>
        <v>arjun.rao@company.com</v>
      </c>
      <c r="AD420" t="str">
        <f t="shared" ca="1" si="49"/>
        <v/>
      </c>
      <c r="AE420">
        <f t="shared" si="46"/>
        <v>4</v>
      </c>
      <c r="AF420" t="str">
        <f t="shared" si="47"/>
        <v>On time</v>
      </c>
    </row>
    <row r="421" spans="4:32">
      <c r="D421" s="9" t="s">
        <v>1056</v>
      </c>
      <c r="E421" s="10" t="s">
        <v>299</v>
      </c>
      <c r="F421" s="10" t="s">
        <v>267</v>
      </c>
      <c r="G421" s="10" t="s">
        <v>165</v>
      </c>
      <c r="H421" s="11">
        <v>45905</v>
      </c>
      <c r="I421" s="10" t="s">
        <v>301</v>
      </c>
      <c r="J421" s="10" t="s">
        <v>269</v>
      </c>
      <c r="K421" s="11">
        <v>29871</v>
      </c>
      <c r="L421" s="10" t="s">
        <v>286</v>
      </c>
      <c r="M421" s="10" t="s">
        <v>287</v>
      </c>
      <c r="N421" s="10" t="s">
        <v>243</v>
      </c>
      <c r="O421" s="10" t="s">
        <v>271</v>
      </c>
      <c r="P421" s="10">
        <v>20</v>
      </c>
      <c r="Q421" s="10">
        <v>1200</v>
      </c>
      <c r="R421" s="10">
        <v>20</v>
      </c>
      <c r="S421" s="10">
        <v>19200</v>
      </c>
      <c r="T421" s="10">
        <v>5</v>
      </c>
      <c r="U421" s="10" t="s">
        <v>245</v>
      </c>
      <c r="V421" s="10" t="s">
        <v>246</v>
      </c>
      <c r="W421" s="10" t="s">
        <v>302</v>
      </c>
      <c r="X421" s="10">
        <v>9209649485</v>
      </c>
      <c r="Y421" s="12" t="s">
        <v>265</v>
      </c>
      <c r="Z421" t="str">
        <f t="shared" si="43"/>
        <v>Blacklisted</v>
      </c>
      <c r="AA421" t="str">
        <f t="shared" si="44"/>
        <v>Rohit Singh</v>
      </c>
      <c r="AB421" t="str">
        <f t="shared" si="45"/>
        <v>Roh003Mu</v>
      </c>
      <c r="AC421" t="str">
        <f t="shared" si="48"/>
        <v>rohit.singh@company.com</v>
      </c>
      <c r="AD421">
        <f t="shared" ca="1" si="49"/>
        <v>22</v>
      </c>
      <c r="AE421" t="str">
        <f t="shared" si="46"/>
        <v/>
      </c>
      <c r="AF421" t="str">
        <f t="shared" si="47"/>
        <v>Delayed</v>
      </c>
    </row>
    <row r="422" spans="4:32">
      <c r="D422" s="4" t="s">
        <v>1057</v>
      </c>
      <c r="E422" s="5" t="s">
        <v>266</v>
      </c>
      <c r="F422" s="5" t="s">
        <v>267</v>
      </c>
      <c r="G422" s="5" t="s">
        <v>83</v>
      </c>
      <c r="H422" s="5" t="s">
        <v>1058</v>
      </c>
      <c r="I422" s="5" t="s">
        <v>268</v>
      </c>
      <c r="J422" s="5" t="s">
        <v>269</v>
      </c>
      <c r="K422" s="5" t="s">
        <v>1059</v>
      </c>
      <c r="L422" s="5" t="s">
        <v>291</v>
      </c>
      <c r="M422" s="5" t="s">
        <v>287</v>
      </c>
      <c r="N422" s="5" t="s">
        <v>243</v>
      </c>
      <c r="O422" s="5" t="s">
        <v>271</v>
      </c>
      <c r="P422" s="5">
        <v>8</v>
      </c>
      <c r="Q422" s="5">
        <v>1200</v>
      </c>
      <c r="R422" s="5">
        <v>10</v>
      </c>
      <c r="S422" s="5">
        <v>8640</v>
      </c>
      <c r="T422" s="5">
        <v>4</v>
      </c>
      <c r="U422" s="5" t="s">
        <v>245</v>
      </c>
      <c r="V422" s="5" t="s">
        <v>246</v>
      </c>
      <c r="W422" s="5" t="s">
        <v>273</v>
      </c>
      <c r="X422" s="5">
        <v>9712905525</v>
      </c>
      <c r="Y422" s="8" t="s">
        <v>257</v>
      </c>
      <c r="Z422" t="str">
        <f t="shared" si="43"/>
        <v>Silver</v>
      </c>
      <c r="AA422" t="str">
        <f t="shared" si="44"/>
        <v>Mohit Verma</v>
      </c>
      <c r="AB422" t="str">
        <f t="shared" si="45"/>
        <v>Moh009Pu</v>
      </c>
      <c r="AC422" t="str">
        <f t="shared" si="48"/>
        <v>mohit.verma@company.com</v>
      </c>
      <c r="AD422">
        <f t="shared" ca="1" si="49"/>
        <v>45</v>
      </c>
      <c r="AE422">
        <f t="shared" si="46"/>
        <v>7</v>
      </c>
      <c r="AF422" t="str">
        <f t="shared" si="47"/>
        <v>Delayed</v>
      </c>
    </row>
    <row r="423" spans="4:32">
      <c r="D423" s="9" t="s">
        <v>1060</v>
      </c>
      <c r="E423" s="10" t="s">
        <v>299</v>
      </c>
      <c r="F423" s="10" t="s">
        <v>267</v>
      </c>
      <c r="G423" s="10" t="s">
        <v>68</v>
      </c>
      <c r="H423" s="10" t="s">
        <v>91</v>
      </c>
      <c r="I423" s="10" t="s">
        <v>301</v>
      </c>
      <c r="J423" s="10" t="s">
        <v>269</v>
      </c>
      <c r="K423" s="10" t="s">
        <v>1061</v>
      </c>
      <c r="L423" s="10" t="s">
        <v>342</v>
      </c>
      <c r="M423" s="10" t="s">
        <v>261</v>
      </c>
      <c r="N423" s="10" t="s">
        <v>243</v>
      </c>
      <c r="O423" s="10" t="s">
        <v>271</v>
      </c>
      <c r="P423" s="10">
        <v>8</v>
      </c>
      <c r="Q423" s="10">
        <v>1200</v>
      </c>
      <c r="R423" s="10">
        <v>10</v>
      </c>
      <c r="S423" s="10">
        <v>8640</v>
      </c>
      <c r="T423" s="10">
        <v>5</v>
      </c>
      <c r="U423" s="10" t="s">
        <v>272</v>
      </c>
      <c r="V423" s="10" t="s">
        <v>263</v>
      </c>
      <c r="W423" s="10" t="s">
        <v>302</v>
      </c>
      <c r="X423" s="10">
        <v>9812472447</v>
      </c>
      <c r="Y423" s="12" t="s">
        <v>265</v>
      </c>
      <c r="Z423" t="str">
        <f t="shared" si="43"/>
        <v>Blacklisted</v>
      </c>
      <c r="AA423" t="str">
        <f t="shared" si="44"/>
        <v>Rohit Singh</v>
      </c>
      <c r="AB423" t="str">
        <f t="shared" si="45"/>
        <v>Roh003Ja</v>
      </c>
      <c r="AC423" t="str">
        <f t="shared" si="48"/>
        <v>rohit.singh@company.com</v>
      </c>
      <c r="AD423" t="str">
        <f t="shared" ca="1" si="49"/>
        <v/>
      </c>
      <c r="AE423">
        <f t="shared" si="46"/>
        <v>2</v>
      </c>
      <c r="AF423" t="str">
        <f t="shared" si="47"/>
        <v>On time</v>
      </c>
    </row>
    <row r="424" spans="4:32">
      <c r="D424" s="4" t="s">
        <v>1062</v>
      </c>
      <c r="E424" s="5" t="s">
        <v>392</v>
      </c>
      <c r="F424" s="5" t="s">
        <v>250</v>
      </c>
      <c r="G424" s="5" t="s">
        <v>193</v>
      </c>
      <c r="H424" s="5" t="s">
        <v>882</v>
      </c>
      <c r="I424" s="5" t="s">
        <v>323</v>
      </c>
      <c r="J424" s="5" t="s">
        <v>269</v>
      </c>
      <c r="K424" s="5" t="s">
        <v>1063</v>
      </c>
      <c r="L424" s="5" t="s">
        <v>342</v>
      </c>
      <c r="M424" s="5" t="s">
        <v>261</v>
      </c>
      <c r="N424" s="5" t="s">
        <v>15</v>
      </c>
      <c r="O424" s="5" t="s">
        <v>253</v>
      </c>
      <c r="P424" s="5">
        <v>9</v>
      </c>
      <c r="Q424" s="5">
        <v>2200</v>
      </c>
      <c r="R424" s="5">
        <v>20</v>
      </c>
      <c r="S424" s="5">
        <v>15840</v>
      </c>
      <c r="T424" s="5">
        <v>1</v>
      </c>
      <c r="U424" s="5" t="s">
        <v>245</v>
      </c>
      <c r="V424" s="5" t="s">
        <v>292</v>
      </c>
      <c r="W424" s="5" t="s">
        <v>395</v>
      </c>
      <c r="X424" s="5">
        <v>9281127052</v>
      </c>
      <c r="Y424" s="8" t="s">
        <v>257</v>
      </c>
      <c r="Z424" t="str">
        <f t="shared" si="43"/>
        <v>Blacklisted</v>
      </c>
      <c r="AA424" t="str">
        <f t="shared" si="44"/>
        <v>Amit Sharma</v>
      </c>
      <c r="AB424" t="str">
        <f t="shared" si="45"/>
        <v>Ami001Ja</v>
      </c>
      <c r="AC424" t="str">
        <f t="shared" si="48"/>
        <v>amit.sharma@company.com</v>
      </c>
      <c r="AD424" t="str">
        <f t="shared" ca="1" si="49"/>
        <v/>
      </c>
      <c r="AE424">
        <f t="shared" si="46"/>
        <v>1</v>
      </c>
      <c r="AF424" t="str">
        <f t="shared" si="47"/>
        <v>On time</v>
      </c>
    </row>
    <row r="425" spans="4:32">
      <c r="D425" s="9" t="s">
        <v>1064</v>
      </c>
      <c r="E425" s="10" t="s">
        <v>299</v>
      </c>
      <c r="F425" s="10" t="s">
        <v>347</v>
      </c>
      <c r="G425" s="11">
        <v>45992</v>
      </c>
      <c r="H425" s="10" t="s">
        <v>40</v>
      </c>
      <c r="I425" s="10" t="s">
        <v>301</v>
      </c>
      <c r="J425" s="10" t="s">
        <v>269</v>
      </c>
      <c r="K425" s="10" t="s">
        <v>1065</v>
      </c>
      <c r="L425" s="10" t="s">
        <v>379</v>
      </c>
      <c r="M425" s="10" t="s">
        <v>21</v>
      </c>
      <c r="N425" s="10" t="s">
        <v>295</v>
      </c>
      <c r="O425" s="10" t="s">
        <v>349</v>
      </c>
      <c r="P425" s="10">
        <v>8</v>
      </c>
      <c r="Q425" s="10">
        <v>20</v>
      </c>
      <c r="R425" s="10">
        <v>20</v>
      </c>
      <c r="S425" s="10">
        <v>128</v>
      </c>
      <c r="T425" s="10">
        <v>4</v>
      </c>
      <c r="U425" s="10" t="s">
        <v>254</v>
      </c>
      <c r="V425" s="10" t="s">
        <v>255</v>
      </c>
      <c r="W425" s="10" t="s">
        <v>302</v>
      </c>
      <c r="X425" s="10">
        <v>9346312555</v>
      </c>
      <c r="Y425" s="12" t="s">
        <v>265</v>
      </c>
      <c r="Z425" t="str">
        <f t="shared" si="43"/>
        <v>Blacklisted</v>
      </c>
      <c r="AA425" t="str">
        <f t="shared" si="44"/>
        <v>Rohit Singh</v>
      </c>
      <c r="AB425" t="str">
        <f t="shared" si="45"/>
        <v>Roh003Ko</v>
      </c>
      <c r="AC425" t="str">
        <f t="shared" si="48"/>
        <v>rohit.singh@company.com</v>
      </c>
      <c r="AD425" t="str">
        <f t="shared" ca="1" si="49"/>
        <v/>
      </c>
      <c r="AE425" t="str">
        <f t="shared" si="46"/>
        <v/>
      </c>
      <c r="AF425" t="str">
        <f t="shared" si="47"/>
        <v>Delayed</v>
      </c>
    </row>
    <row r="426" spans="4:32">
      <c r="D426" s="4" t="s">
        <v>1066</v>
      </c>
      <c r="E426" s="5" t="s">
        <v>346</v>
      </c>
      <c r="F426" s="5" t="s">
        <v>236</v>
      </c>
      <c r="G426" s="5" t="s">
        <v>6</v>
      </c>
      <c r="H426" s="5" t="s">
        <v>1067</v>
      </c>
      <c r="I426" s="5" t="s">
        <v>348</v>
      </c>
      <c r="J426" s="5" t="s">
        <v>269</v>
      </c>
      <c r="K426" s="5" t="s">
        <v>683</v>
      </c>
      <c r="L426" s="5" t="s">
        <v>291</v>
      </c>
      <c r="M426" s="5" t="s">
        <v>287</v>
      </c>
      <c r="N426" s="5" t="s">
        <v>243</v>
      </c>
      <c r="O426" s="5" t="s">
        <v>244</v>
      </c>
      <c r="P426" s="5">
        <v>5</v>
      </c>
      <c r="Q426" s="5">
        <v>55000</v>
      </c>
      <c r="R426" s="5">
        <v>0</v>
      </c>
      <c r="S426" s="5">
        <v>275000</v>
      </c>
      <c r="T426" s="5">
        <v>1</v>
      </c>
      <c r="U426" s="5" t="s">
        <v>272</v>
      </c>
      <c r="V426" s="5" t="s">
        <v>292</v>
      </c>
      <c r="W426" s="5" t="s">
        <v>350</v>
      </c>
      <c r="X426" s="5">
        <v>9443786067</v>
      </c>
      <c r="Y426" s="8" t="s">
        <v>257</v>
      </c>
      <c r="Z426" t="str">
        <f t="shared" si="43"/>
        <v>Blacklisted</v>
      </c>
      <c r="AA426" t="str">
        <f t="shared" si="44"/>
        <v>Vikas Mehta</v>
      </c>
      <c r="AB426" t="str">
        <f t="shared" si="45"/>
        <v>Vik005Pu</v>
      </c>
      <c r="AC426" t="str">
        <f t="shared" si="48"/>
        <v>vikas.mehta@company.com</v>
      </c>
      <c r="AD426" t="str">
        <f t="shared" ca="1" si="49"/>
        <v/>
      </c>
      <c r="AE426">
        <f t="shared" si="46"/>
        <v>9</v>
      </c>
      <c r="AF426" t="str">
        <f t="shared" si="47"/>
        <v>Delayed</v>
      </c>
    </row>
    <row r="427" spans="4:32">
      <c r="D427" s="9" t="s">
        <v>1068</v>
      </c>
      <c r="E427" s="10" t="s">
        <v>284</v>
      </c>
      <c r="F427" s="10" t="s">
        <v>267</v>
      </c>
      <c r="G427" s="10" t="s">
        <v>32</v>
      </c>
      <c r="H427" s="10" t="s">
        <v>525</v>
      </c>
      <c r="I427" s="10" t="s">
        <v>285</v>
      </c>
      <c r="J427" s="10" t="s">
        <v>239</v>
      </c>
      <c r="K427" s="10" t="s">
        <v>1069</v>
      </c>
      <c r="L427" s="10" t="s">
        <v>286</v>
      </c>
      <c r="M427" s="10" t="s">
        <v>287</v>
      </c>
      <c r="N427" s="10" t="s">
        <v>243</v>
      </c>
      <c r="O427" s="10" t="s">
        <v>271</v>
      </c>
      <c r="P427" s="10">
        <v>13</v>
      </c>
      <c r="Q427" s="10">
        <v>1200</v>
      </c>
      <c r="R427" s="10">
        <v>5</v>
      </c>
      <c r="S427" s="10">
        <v>14820</v>
      </c>
      <c r="T427" s="10">
        <v>2</v>
      </c>
      <c r="U427" s="10" t="s">
        <v>272</v>
      </c>
      <c r="V427" s="10" t="s">
        <v>255</v>
      </c>
      <c r="W427" s="10" t="s">
        <v>308</v>
      </c>
      <c r="X427" s="10">
        <v>9452540528</v>
      </c>
      <c r="Y427" s="12" t="s">
        <v>265</v>
      </c>
      <c r="Z427" t="str">
        <f t="shared" si="43"/>
        <v>Blacklisted</v>
      </c>
      <c r="AA427" t="str">
        <f t="shared" si="44"/>
        <v>Priya Patel</v>
      </c>
      <c r="AB427" t="str">
        <f t="shared" si="45"/>
        <v>Pri002Mu</v>
      </c>
      <c r="AC427" t="str">
        <f t="shared" si="48"/>
        <v>priya.patel@company.com</v>
      </c>
      <c r="AD427" t="str">
        <f t="shared" ca="1" si="49"/>
        <v/>
      </c>
      <c r="AE427">
        <f t="shared" si="46"/>
        <v>3</v>
      </c>
      <c r="AF427" t="str">
        <f t="shared" si="47"/>
        <v>On time</v>
      </c>
    </row>
    <row r="428" spans="4:32">
      <c r="D428" s="4" t="s">
        <v>1070</v>
      </c>
      <c r="E428" s="5" t="s">
        <v>275</v>
      </c>
      <c r="F428" s="5" t="s">
        <v>322</v>
      </c>
      <c r="G428" s="5" t="s">
        <v>147</v>
      </c>
      <c r="H428" s="5" t="s">
        <v>1071</v>
      </c>
      <c r="I428" s="5" t="s">
        <v>328</v>
      </c>
      <c r="J428" s="5" t="s">
        <v>269</v>
      </c>
      <c r="K428" s="6">
        <v>37602</v>
      </c>
      <c r="L428" s="5" t="s">
        <v>342</v>
      </c>
      <c r="M428" s="5" t="s">
        <v>261</v>
      </c>
      <c r="N428" s="5" t="s">
        <v>15</v>
      </c>
      <c r="O428" s="5" t="s">
        <v>325</v>
      </c>
      <c r="P428" s="5">
        <v>13</v>
      </c>
      <c r="Q428" s="5">
        <v>8500</v>
      </c>
      <c r="R428" s="5">
        <v>20</v>
      </c>
      <c r="S428" s="5">
        <v>88400</v>
      </c>
      <c r="T428" s="5">
        <v>5</v>
      </c>
      <c r="U428" s="5" t="s">
        <v>254</v>
      </c>
      <c r="V428" s="5" t="s">
        <v>263</v>
      </c>
      <c r="W428" s="5" t="s">
        <v>278</v>
      </c>
      <c r="X428" s="5">
        <v>9750918728</v>
      </c>
      <c r="Y428" s="8" t="s">
        <v>248</v>
      </c>
      <c r="Z428" t="str">
        <f t="shared" si="43"/>
        <v/>
      </c>
      <c r="AA428" t="str">
        <f t="shared" si="44"/>
        <v>Arjun Rao</v>
      </c>
      <c r="AB428" t="str">
        <f t="shared" si="45"/>
        <v>Arj007Ja</v>
      </c>
      <c r="AC428" t="str">
        <f t="shared" si="48"/>
        <v>arjun.rao@company.com</v>
      </c>
      <c r="AD428" t="str">
        <f t="shared" ca="1" si="49"/>
        <v/>
      </c>
      <c r="AE428">
        <f t="shared" si="46"/>
        <v>5</v>
      </c>
      <c r="AF428" t="str">
        <f t="shared" si="47"/>
        <v>On time</v>
      </c>
    </row>
    <row r="429" spans="4:32">
      <c r="D429" s="9" t="s">
        <v>1072</v>
      </c>
      <c r="E429" s="10" t="s">
        <v>266</v>
      </c>
      <c r="F429" s="10" t="s">
        <v>294</v>
      </c>
      <c r="G429" s="11">
        <v>45749</v>
      </c>
      <c r="H429" s="10" t="s">
        <v>1073</v>
      </c>
      <c r="I429" s="10" t="s">
        <v>268</v>
      </c>
      <c r="J429" s="10" t="s">
        <v>269</v>
      </c>
      <c r="K429" s="10" t="s">
        <v>1074</v>
      </c>
      <c r="L429" s="10" t="s">
        <v>291</v>
      </c>
      <c r="M429" s="10" t="s">
        <v>287</v>
      </c>
      <c r="N429" s="10" t="s">
        <v>295</v>
      </c>
      <c r="O429" s="10" t="s">
        <v>296</v>
      </c>
      <c r="P429" s="10">
        <v>14</v>
      </c>
      <c r="Q429" s="10">
        <v>60</v>
      </c>
      <c r="R429" s="10">
        <v>10</v>
      </c>
      <c r="S429" s="10">
        <v>756</v>
      </c>
      <c r="T429" s="10">
        <v>1</v>
      </c>
      <c r="U429" s="10" t="s">
        <v>254</v>
      </c>
      <c r="V429" s="10" t="s">
        <v>246</v>
      </c>
      <c r="W429" s="10" t="s">
        <v>273</v>
      </c>
      <c r="X429" s="10">
        <v>9375975834</v>
      </c>
      <c r="Y429" s="12" t="s">
        <v>265</v>
      </c>
      <c r="Z429" t="str">
        <f t="shared" si="43"/>
        <v>Blacklisted</v>
      </c>
      <c r="AA429" t="str">
        <f t="shared" si="44"/>
        <v>Mohit Verma</v>
      </c>
      <c r="AB429" t="str">
        <f t="shared" si="45"/>
        <v>Moh009Pu</v>
      </c>
      <c r="AC429" t="str">
        <f t="shared" si="48"/>
        <v>mohit.verma@company.com</v>
      </c>
      <c r="AD429">
        <f t="shared" ca="1" si="49"/>
        <v>23</v>
      </c>
      <c r="AE429" t="str">
        <f t="shared" si="46"/>
        <v/>
      </c>
      <c r="AF429" t="str">
        <f t="shared" si="47"/>
        <v>Delayed</v>
      </c>
    </row>
    <row r="430" spans="4:32">
      <c r="D430" s="4" t="s">
        <v>1075</v>
      </c>
      <c r="E430" s="5" t="s">
        <v>358</v>
      </c>
      <c r="F430" s="5" t="s">
        <v>250</v>
      </c>
      <c r="G430" s="5" t="s">
        <v>178</v>
      </c>
      <c r="H430" s="5" t="s">
        <v>511</v>
      </c>
      <c r="I430" s="5" t="s">
        <v>359</v>
      </c>
      <c r="J430" s="5" t="s">
        <v>239</v>
      </c>
      <c r="K430" s="5" t="s">
        <v>1076</v>
      </c>
      <c r="L430" s="5" t="s">
        <v>241</v>
      </c>
      <c r="M430" s="5" t="s">
        <v>242</v>
      </c>
      <c r="N430" s="5" t="s">
        <v>15</v>
      </c>
      <c r="O430" s="5" t="s">
        <v>253</v>
      </c>
      <c r="P430" s="5">
        <v>15</v>
      </c>
      <c r="Q430" s="5">
        <v>2200</v>
      </c>
      <c r="R430" s="5">
        <v>0</v>
      </c>
      <c r="S430" s="5">
        <v>33000</v>
      </c>
      <c r="T430" s="5">
        <v>1</v>
      </c>
      <c r="U430" s="5" t="s">
        <v>254</v>
      </c>
      <c r="V430" s="5" t="s">
        <v>246</v>
      </c>
      <c r="W430" s="5" t="s">
        <v>360</v>
      </c>
      <c r="X430" s="5">
        <v>9497321112</v>
      </c>
      <c r="Y430" s="8" t="s">
        <v>257</v>
      </c>
      <c r="Z430" t="str">
        <f t="shared" si="43"/>
        <v>Blacklisted</v>
      </c>
      <c r="AA430" t="str">
        <f t="shared" si="44"/>
        <v>Sneha Joshi</v>
      </c>
      <c r="AB430" t="str">
        <f t="shared" si="45"/>
        <v>Sne006Be</v>
      </c>
      <c r="AC430" t="str">
        <f t="shared" si="48"/>
        <v>sneha.joshi@company.com</v>
      </c>
      <c r="AD430" t="str">
        <f t="shared" ca="1" si="49"/>
        <v/>
      </c>
      <c r="AE430">
        <f t="shared" si="46"/>
        <v>1</v>
      </c>
      <c r="AF430" t="str">
        <f t="shared" si="47"/>
        <v>On time</v>
      </c>
    </row>
    <row r="431" spans="4:32">
      <c r="D431" s="9" t="s">
        <v>1077</v>
      </c>
      <c r="E431" s="10" t="s">
        <v>275</v>
      </c>
      <c r="F431" s="10" t="s">
        <v>294</v>
      </c>
      <c r="G431" s="10" t="s">
        <v>169</v>
      </c>
      <c r="H431" s="10" t="s">
        <v>1078</v>
      </c>
      <c r="I431" s="10" t="s">
        <v>328</v>
      </c>
      <c r="J431" s="10" t="s">
        <v>269</v>
      </c>
      <c r="K431" s="10" t="s">
        <v>1079</v>
      </c>
      <c r="L431" s="10" t="s">
        <v>342</v>
      </c>
      <c r="M431" s="10" t="s">
        <v>261</v>
      </c>
      <c r="N431" s="10" t="s">
        <v>295</v>
      </c>
      <c r="O431" s="10" t="s">
        <v>296</v>
      </c>
      <c r="P431" s="10">
        <v>19</v>
      </c>
      <c r="Q431" s="10">
        <v>60</v>
      </c>
      <c r="R431" s="10">
        <v>20</v>
      </c>
      <c r="S431" s="10">
        <v>912</v>
      </c>
      <c r="T431" s="10">
        <v>3</v>
      </c>
      <c r="U431" s="10" t="s">
        <v>254</v>
      </c>
      <c r="V431" s="10" t="s">
        <v>312</v>
      </c>
      <c r="W431" s="10" t="s">
        <v>278</v>
      </c>
      <c r="X431" s="10">
        <v>9828749888</v>
      </c>
      <c r="Y431" s="12" t="s">
        <v>248</v>
      </c>
      <c r="Z431" t="str">
        <f t="shared" si="43"/>
        <v/>
      </c>
      <c r="AA431" t="str">
        <f t="shared" si="44"/>
        <v>Arjun Rao</v>
      </c>
      <c r="AB431" t="str">
        <f t="shared" si="45"/>
        <v>Arj007Ja</v>
      </c>
      <c r="AC431" t="str">
        <f t="shared" si="48"/>
        <v>arjun.rao@company.com</v>
      </c>
      <c r="AD431" t="str">
        <f t="shared" ca="1" si="49"/>
        <v/>
      </c>
      <c r="AE431">
        <f t="shared" si="46"/>
        <v>2</v>
      </c>
      <c r="AF431" t="str">
        <f t="shared" si="47"/>
        <v>On time</v>
      </c>
    </row>
    <row r="432" spans="4:32">
      <c r="D432" s="4" t="s">
        <v>1080</v>
      </c>
      <c r="E432" s="5" t="s">
        <v>235</v>
      </c>
      <c r="F432" s="5" t="s">
        <v>362</v>
      </c>
      <c r="G432" s="6">
        <v>46001</v>
      </c>
      <c r="H432" s="5" t="s">
        <v>126</v>
      </c>
      <c r="I432" s="5" t="s">
        <v>318</v>
      </c>
      <c r="J432" s="5" t="s">
        <v>239</v>
      </c>
      <c r="K432" s="5" t="s">
        <v>1081</v>
      </c>
      <c r="L432" s="5" t="s">
        <v>342</v>
      </c>
      <c r="M432" s="5" t="s">
        <v>261</v>
      </c>
      <c r="N432" s="5" t="s">
        <v>295</v>
      </c>
      <c r="O432" s="5" t="s">
        <v>363</v>
      </c>
      <c r="P432" s="5">
        <v>13</v>
      </c>
      <c r="Q432" s="5">
        <v>45</v>
      </c>
      <c r="R432" s="5">
        <v>15</v>
      </c>
      <c r="S432" s="5">
        <v>497.25</v>
      </c>
      <c r="T432" s="5">
        <v>2</v>
      </c>
      <c r="U432" s="5" t="s">
        <v>254</v>
      </c>
      <c r="V432" s="5" t="s">
        <v>263</v>
      </c>
      <c r="W432" s="5" t="s">
        <v>247</v>
      </c>
      <c r="X432" s="5">
        <v>9814267382</v>
      </c>
      <c r="Y432" s="8" t="s">
        <v>257</v>
      </c>
      <c r="Z432" t="str">
        <f t="shared" si="43"/>
        <v>Blacklisted</v>
      </c>
      <c r="AA432" t="str">
        <f t="shared" si="44"/>
        <v>Pooja Shah</v>
      </c>
      <c r="AB432" t="str">
        <f t="shared" si="45"/>
        <v>Poo010Ja</v>
      </c>
      <c r="AC432" t="str">
        <f t="shared" si="48"/>
        <v>pooja.shah@company.com</v>
      </c>
      <c r="AD432" t="str">
        <f t="shared" ca="1" si="49"/>
        <v/>
      </c>
      <c r="AE432" t="str">
        <f t="shared" si="46"/>
        <v/>
      </c>
      <c r="AF432" t="str">
        <f t="shared" si="47"/>
        <v>Delayed</v>
      </c>
    </row>
    <row r="433" spans="4:32">
      <c r="D433" s="9" t="s">
        <v>1082</v>
      </c>
      <c r="E433" s="10" t="s">
        <v>358</v>
      </c>
      <c r="F433" s="10" t="s">
        <v>258</v>
      </c>
      <c r="G433" s="10" t="s">
        <v>23</v>
      </c>
      <c r="H433" s="10" t="s">
        <v>129</v>
      </c>
      <c r="I433" s="10" t="s">
        <v>359</v>
      </c>
      <c r="J433" s="10" t="s">
        <v>239</v>
      </c>
      <c r="K433" s="11">
        <v>27520</v>
      </c>
      <c r="L433" s="10" t="s">
        <v>286</v>
      </c>
      <c r="M433" s="10" t="s">
        <v>287</v>
      </c>
      <c r="N433" s="10" t="s">
        <v>243</v>
      </c>
      <c r="O433" s="10" t="s">
        <v>262</v>
      </c>
      <c r="P433" s="10">
        <v>7</v>
      </c>
      <c r="Q433" s="10">
        <v>12000</v>
      </c>
      <c r="R433" s="10">
        <v>5</v>
      </c>
      <c r="S433" s="10">
        <v>79800</v>
      </c>
      <c r="T433" s="10">
        <v>4</v>
      </c>
      <c r="U433" s="10" t="s">
        <v>272</v>
      </c>
      <c r="V433" s="10" t="s">
        <v>312</v>
      </c>
      <c r="W433" s="10" t="s">
        <v>360</v>
      </c>
      <c r="X433" s="10">
        <v>9937007439</v>
      </c>
      <c r="Y433" s="12" t="s">
        <v>265</v>
      </c>
      <c r="Z433" t="str">
        <f t="shared" si="43"/>
        <v>Blacklisted</v>
      </c>
      <c r="AA433" t="str">
        <f t="shared" si="44"/>
        <v>Sneha Joshi</v>
      </c>
      <c r="AB433" t="str">
        <f t="shared" si="45"/>
        <v>Sne006Mu</v>
      </c>
      <c r="AC433" t="str">
        <f t="shared" si="48"/>
        <v>sneha.joshi@company.com</v>
      </c>
      <c r="AD433" t="str">
        <f t="shared" ca="1" si="49"/>
        <v/>
      </c>
      <c r="AE433">
        <f t="shared" si="46"/>
        <v>10</v>
      </c>
      <c r="AF433" t="str">
        <f t="shared" si="47"/>
        <v>Delayed</v>
      </c>
    </row>
    <row r="434" spans="4:32">
      <c r="D434" s="4" t="s">
        <v>1083</v>
      </c>
      <c r="E434" s="5" t="s">
        <v>392</v>
      </c>
      <c r="F434" s="5" t="s">
        <v>347</v>
      </c>
      <c r="G434" s="16">
        <v>46300</v>
      </c>
      <c r="H434" s="5"/>
      <c r="I434" s="5" t="s">
        <v>323</v>
      </c>
      <c r="J434" s="5" t="s">
        <v>269</v>
      </c>
      <c r="K434" s="5" t="s">
        <v>1084</v>
      </c>
      <c r="L434" s="5" t="s">
        <v>379</v>
      </c>
      <c r="M434" s="5" t="s">
        <v>21</v>
      </c>
      <c r="N434" s="5" t="s">
        <v>295</v>
      </c>
      <c r="O434" s="5" t="s">
        <v>349</v>
      </c>
      <c r="P434" s="5">
        <v>8</v>
      </c>
      <c r="Q434" s="5">
        <v>20</v>
      </c>
      <c r="R434" s="5">
        <v>0</v>
      </c>
      <c r="S434" s="5">
        <v>160</v>
      </c>
      <c r="T434" s="5">
        <v>4</v>
      </c>
      <c r="U434" s="5" t="s">
        <v>272</v>
      </c>
      <c r="V434" s="5" t="s">
        <v>246</v>
      </c>
      <c r="W434" s="5" t="s">
        <v>395</v>
      </c>
      <c r="X434" s="5">
        <v>9657513435</v>
      </c>
      <c r="Y434" s="8" t="s">
        <v>248</v>
      </c>
      <c r="Z434" t="str">
        <f t="shared" si="43"/>
        <v/>
      </c>
      <c r="AA434" t="str">
        <f t="shared" si="44"/>
        <v>Amit Sharma</v>
      </c>
      <c r="AB434" t="str">
        <f t="shared" si="45"/>
        <v>Ami001Ko</v>
      </c>
      <c r="AC434" t="str">
        <f t="shared" si="48"/>
        <v>amit.sharma@company.com</v>
      </c>
      <c r="AD434">
        <f t="shared" ca="1" si="49"/>
        <v>51</v>
      </c>
      <c r="AE434" t="str">
        <f t="shared" si="46"/>
        <v/>
      </c>
      <c r="AF434" t="str">
        <f t="shared" si="47"/>
        <v>Pending</v>
      </c>
    </row>
    <row r="435" spans="4:32">
      <c r="D435" s="9" t="s">
        <v>1085</v>
      </c>
      <c r="E435" s="10" t="s">
        <v>249</v>
      </c>
      <c r="F435" s="10" t="s">
        <v>280</v>
      </c>
      <c r="G435" s="11">
        <v>45659</v>
      </c>
      <c r="H435" s="11">
        <v>45810</v>
      </c>
      <c r="I435" s="10" t="s">
        <v>251</v>
      </c>
      <c r="J435" s="10" t="s">
        <v>239</v>
      </c>
      <c r="K435" s="10" t="s">
        <v>1086</v>
      </c>
      <c r="L435" s="10" t="s">
        <v>379</v>
      </c>
      <c r="M435" s="10" t="s">
        <v>21</v>
      </c>
      <c r="N435" s="10" t="s">
        <v>15</v>
      </c>
      <c r="O435" s="10" t="s">
        <v>282</v>
      </c>
      <c r="P435" s="10">
        <v>16</v>
      </c>
      <c r="Q435" s="10">
        <v>3500</v>
      </c>
      <c r="R435" s="10">
        <v>5</v>
      </c>
      <c r="S435" s="10">
        <v>53200</v>
      </c>
      <c r="T435" s="10">
        <v>1</v>
      </c>
      <c r="U435" s="10" t="s">
        <v>272</v>
      </c>
      <c r="V435" s="10" t="s">
        <v>246</v>
      </c>
      <c r="W435" s="10" t="s">
        <v>264</v>
      </c>
      <c r="X435" s="10">
        <v>9999406260</v>
      </c>
      <c r="Y435" s="12" t="s">
        <v>265</v>
      </c>
      <c r="Z435" t="str">
        <f t="shared" si="43"/>
        <v>Blacklisted</v>
      </c>
      <c r="AA435" t="str">
        <f t="shared" si="44"/>
        <v>Kavya Nair</v>
      </c>
      <c r="AB435" t="str">
        <f t="shared" si="45"/>
        <v>Kav008Ko</v>
      </c>
      <c r="AC435" t="str">
        <f t="shared" si="48"/>
        <v>kavya.nair@company.com</v>
      </c>
      <c r="AD435" t="str">
        <f t="shared" ca="1" si="49"/>
        <v/>
      </c>
      <c r="AE435" t="str">
        <f t="shared" si="46"/>
        <v/>
      </c>
      <c r="AF435" t="str">
        <f t="shared" si="47"/>
        <v>Delayed</v>
      </c>
    </row>
    <row r="436" spans="4:32">
      <c r="D436" s="4" t="s">
        <v>1087</v>
      </c>
      <c r="E436" s="5" t="s">
        <v>392</v>
      </c>
      <c r="F436" s="5" t="s">
        <v>322</v>
      </c>
      <c r="G436" s="5" t="s">
        <v>107</v>
      </c>
      <c r="H436" s="6">
        <v>45750</v>
      </c>
      <c r="I436" s="5" t="s">
        <v>323</v>
      </c>
      <c r="J436" s="5" t="s">
        <v>269</v>
      </c>
      <c r="K436" s="5" t="s">
        <v>1088</v>
      </c>
      <c r="L436" s="5" t="s">
        <v>286</v>
      </c>
      <c r="M436" s="5" t="s">
        <v>287</v>
      </c>
      <c r="N436" s="5" t="s">
        <v>15</v>
      </c>
      <c r="O436" s="5" t="s">
        <v>325</v>
      </c>
      <c r="P436" s="5">
        <v>12</v>
      </c>
      <c r="Q436" s="5">
        <v>8500</v>
      </c>
      <c r="R436" s="5">
        <v>10</v>
      </c>
      <c r="S436" s="5">
        <v>91800</v>
      </c>
      <c r="T436" s="5">
        <v>3</v>
      </c>
      <c r="U436" s="5" t="s">
        <v>272</v>
      </c>
      <c r="V436" s="5" t="s">
        <v>255</v>
      </c>
      <c r="W436" s="5" t="s">
        <v>395</v>
      </c>
      <c r="X436" s="5">
        <v>9233727886</v>
      </c>
      <c r="Y436" s="8" t="s">
        <v>257</v>
      </c>
      <c r="Z436" t="str">
        <f t="shared" si="43"/>
        <v>Gold</v>
      </c>
      <c r="AA436" t="str">
        <f t="shared" si="44"/>
        <v>Amit Sharma</v>
      </c>
      <c r="AB436" t="str">
        <f t="shared" si="45"/>
        <v>Ami001Mu</v>
      </c>
      <c r="AC436" t="str">
        <f t="shared" si="48"/>
        <v>amit.sharma@company.com</v>
      </c>
      <c r="AD436" t="str">
        <f t="shared" ca="1" si="49"/>
        <v/>
      </c>
      <c r="AE436" t="str">
        <f t="shared" si="46"/>
        <v/>
      </c>
      <c r="AF436" t="str">
        <f t="shared" si="47"/>
        <v>Delayed</v>
      </c>
    </row>
    <row r="437" spans="4:32">
      <c r="D437" s="9" t="s">
        <v>1089</v>
      </c>
      <c r="E437" s="10" t="s">
        <v>249</v>
      </c>
      <c r="F437" s="10" t="s">
        <v>294</v>
      </c>
      <c r="G437" s="10" t="s">
        <v>67</v>
      </c>
      <c r="H437" s="10" t="s">
        <v>89</v>
      </c>
      <c r="I437" s="10" t="s">
        <v>251</v>
      </c>
      <c r="J437" s="10" t="s">
        <v>239</v>
      </c>
      <c r="K437" s="10" t="s">
        <v>1090</v>
      </c>
      <c r="L437" s="10" t="s">
        <v>306</v>
      </c>
      <c r="M437" s="10" t="s">
        <v>287</v>
      </c>
      <c r="N437" s="10" t="s">
        <v>295</v>
      </c>
      <c r="O437" s="10" t="s">
        <v>296</v>
      </c>
      <c r="P437" s="10">
        <v>1</v>
      </c>
      <c r="Q437" s="10">
        <v>60</v>
      </c>
      <c r="R437" s="10">
        <v>20</v>
      </c>
      <c r="S437" s="10">
        <v>48</v>
      </c>
      <c r="T437" s="10">
        <v>2</v>
      </c>
      <c r="U437" s="10" t="s">
        <v>272</v>
      </c>
      <c r="V437" s="10" t="s">
        <v>312</v>
      </c>
      <c r="W437" s="10" t="s">
        <v>264</v>
      </c>
      <c r="X437" s="10">
        <v>9831688801</v>
      </c>
      <c r="Y437" s="12" t="s">
        <v>257</v>
      </c>
      <c r="Z437" t="str">
        <f t="shared" si="43"/>
        <v>Blacklisted</v>
      </c>
      <c r="AA437" t="str">
        <f t="shared" si="44"/>
        <v>Kavya Nair</v>
      </c>
      <c r="AB437" t="str">
        <f t="shared" si="45"/>
        <v>Kav008Ah</v>
      </c>
      <c r="AC437" t="str">
        <f t="shared" si="48"/>
        <v>kavya.nair@company.com</v>
      </c>
      <c r="AD437" t="str">
        <f t="shared" ca="1" si="49"/>
        <v/>
      </c>
      <c r="AE437">
        <f t="shared" si="46"/>
        <v>2</v>
      </c>
      <c r="AF437" t="str">
        <f t="shared" si="47"/>
        <v>On time</v>
      </c>
    </row>
    <row r="438" spans="4:32">
      <c r="D438" s="4" t="s">
        <v>1091</v>
      </c>
      <c r="E438" s="5" t="s">
        <v>299</v>
      </c>
      <c r="F438" s="5" t="s">
        <v>294</v>
      </c>
      <c r="G438" s="6">
        <v>45819</v>
      </c>
      <c r="H438" s="6">
        <v>45972</v>
      </c>
      <c r="I438" s="5" t="s">
        <v>301</v>
      </c>
      <c r="J438" s="5" t="s">
        <v>269</v>
      </c>
      <c r="K438" s="5" t="s">
        <v>1092</v>
      </c>
      <c r="L438" s="5" t="s">
        <v>252</v>
      </c>
      <c r="M438" s="5" t="s">
        <v>242</v>
      </c>
      <c r="N438" s="5" t="s">
        <v>295</v>
      </c>
      <c r="O438" s="5" t="s">
        <v>296</v>
      </c>
      <c r="P438" s="5">
        <v>3</v>
      </c>
      <c r="Q438" s="5">
        <v>60</v>
      </c>
      <c r="R438" s="5">
        <v>15</v>
      </c>
      <c r="S438" s="5">
        <v>153</v>
      </c>
      <c r="T438" s="5">
        <v>4</v>
      </c>
      <c r="U438" s="5" t="s">
        <v>272</v>
      </c>
      <c r="V438" s="5" t="s">
        <v>255</v>
      </c>
      <c r="W438" s="5" t="s">
        <v>302</v>
      </c>
      <c r="X438" s="5">
        <v>9982849508</v>
      </c>
      <c r="Y438" s="8" t="s">
        <v>257</v>
      </c>
      <c r="Z438" t="str">
        <f t="shared" si="43"/>
        <v>Silver</v>
      </c>
      <c r="AA438" t="str">
        <f t="shared" si="44"/>
        <v>Rohit Singh</v>
      </c>
      <c r="AB438" t="str">
        <f t="shared" si="45"/>
        <v>Roh003Hy</v>
      </c>
      <c r="AC438" t="str">
        <f t="shared" si="48"/>
        <v>rohit.singh@company.com</v>
      </c>
      <c r="AD438" t="str">
        <f t="shared" ca="1" si="49"/>
        <v/>
      </c>
      <c r="AE438" t="str">
        <f t="shared" si="46"/>
        <v/>
      </c>
      <c r="AF438" t="str">
        <f t="shared" si="47"/>
        <v>Delayed</v>
      </c>
    </row>
    <row r="439" spans="4:32">
      <c r="D439" s="9" t="s">
        <v>1093</v>
      </c>
      <c r="E439" s="10" t="s">
        <v>284</v>
      </c>
      <c r="F439" s="10" t="s">
        <v>330</v>
      </c>
      <c r="G439" s="10" t="s">
        <v>88</v>
      </c>
      <c r="H439" s="10" t="s">
        <v>140</v>
      </c>
      <c r="I439" s="10" t="s">
        <v>285</v>
      </c>
      <c r="J439" s="10" t="s">
        <v>239</v>
      </c>
      <c r="K439" s="11">
        <v>28917</v>
      </c>
      <c r="L439" s="10" t="s">
        <v>379</v>
      </c>
      <c r="M439" s="10" t="s">
        <v>21</v>
      </c>
      <c r="N439" s="10" t="s">
        <v>243</v>
      </c>
      <c r="O439" s="10" t="s">
        <v>333</v>
      </c>
      <c r="P439" s="10">
        <v>10</v>
      </c>
      <c r="Q439" s="10">
        <v>700</v>
      </c>
      <c r="R439" s="10">
        <v>15</v>
      </c>
      <c r="S439" s="10">
        <v>5950</v>
      </c>
      <c r="T439" s="10">
        <v>3</v>
      </c>
      <c r="U439" s="10" t="s">
        <v>245</v>
      </c>
      <c r="V439" s="10" t="s">
        <v>255</v>
      </c>
      <c r="W439" s="10" t="s">
        <v>308</v>
      </c>
      <c r="X439" s="10">
        <v>9288309246</v>
      </c>
      <c r="Y439" s="12" t="s">
        <v>248</v>
      </c>
      <c r="Z439" t="str">
        <f t="shared" si="43"/>
        <v/>
      </c>
      <c r="AA439" t="str">
        <f t="shared" si="44"/>
        <v>Priya Patel</v>
      </c>
      <c r="AB439" t="str">
        <f t="shared" si="45"/>
        <v>Pri002Ko</v>
      </c>
      <c r="AC439" t="str">
        <f t="shared" si="48"/>
        <v>priya.patel@company.com</v>
      </c>
      <c r="AD439" t="str">
        <f t="shared" ca="1" si="49"/>
        <v/>
      </c>
      <c r="AE439">
        <f t="shared" si="46"/>
        <v>5</v>
      </c>
      <c r="AF439" t="str">
        <f t="shared" si="47"/>
        <v>On time</v>
      </c>
    </row>
    <row r="440" spans="4:32">
      <c r="D440" s="4" t="s">
        <v>1094</v>
      </c>
      <c r="E440" s="5" t="s">
        <v>275</v>
      </c>
      <c r="F440" s="5" t="s">
        <v>347</v>
      </c>
      <c r="G440" s="5" t="s">
        <v>116</v>
      </c>
      <c r="H440" s="5" t="s">
        <v>1095</v>
      </c>
      <c r="I440" s="5" t="s">
        <v>328</v>
      </c>
      <c r="J440" s="5" t="s">
        <v>269</v>
      </c>
      <c r="K440" s="5" t="s">
        <v>1096</v>
      </c>
      <c r="L440" s="5" t="s">
        <v>306</v>
      </c>
      <c r="M440" s="5" t="s">
        <v>287</v>
      </c>
      <c r="N440" s="5" t="s">
        <v>295</v>
      </c>
      <c r="O440" s="5" t="s">
        <v>349</v>
      </c>
      <c r="P440" s="5">
        <v>2</v>
      </c>
      <c r="Q440" s="5">
        <v>20</v>
      </c>
      <c r="R440" s="5">
        <v>10</v>
      </c>
      <c r="S440" s="5">
        <v>36</v>
      </c>
      <c r="T440" s="5">
        <v>2</v>
      </c>
      <c r="U440" s="5" t="s">
        <v>277</v>
      </c>
      <c r="V440" s="5" t="s">
        <v>246</v>
      </c>
      <c r="W440" s="5" t="s">
        <v>278</v>
      </c>
      <c r="X440" s="5">
        <v>9808476235</v>
      </c>
      <c r="Y440" s="8" t="s">
        <v>257</v>
      </c>
      <c r="Z440" t="str">
        <f t="shared" si="43"/>
        <v>Blacklisted</v>
      </c>
      <c r="AA440" t="str">
        <f t="shared" si="44"/>
        <v>Arjun Rao</v>
      </c>
      <c r="AB440" t="str">
        <f t="shared" si="45"/>
        <v>Arj007Ah</v>
      </c>
      <c r="AC440" t="str">
        <f t="shared" si="48"/>
        <v>arjun.rao@company.com</v>
      </c>
      <c r="AD440">
        <f t="shared" ca="1" si="49"/>
        <v>47</v>
      </c>
      <c r="AE440">
        <f t="shared" si="46"/>
        <v>3</v>
      </c>
      <c r="AF440" t="str">
        <f t="shared" si="47"/>
        <v>On time</v>
      </c>
    </row>
    <row r="441" spans="4:32">
      <c r="D441" s="9" t="s">
        <v>1097</v>
      </c>
      <c r="E441" s="10" t="s">
        <v>275</v>
      </c>
      <c r="F441" s="10" t="s">
        <v>347</v>
      </c>
      <c r="G441" s="10" t="s">
        <v>206</v>
      </c>
      <c r="H441" s="11">
        <v>46143</v>
      </c>
      <c r="I441" s="10" t="s">
        <v>328</v>
      </c>
      <c r="J441" s="10" t="s">
        <v>269</v>
      </c>
      <c r="K441" s="10" t="s">
        <v>1098</v>
      </c>
      <c r="L441" s="10" t="s">
        <v>260</v>
      </c>
      <c r="M441" s="10" t="s">
        <v>261</v>
      </c>
      <c r="N441" s="10" t="s">
        <v>295</v>
      </c>
      <c r="O441" s="10" t="s">
        <v>349</v>
      </c>
      <c r="P441" s="10">
        <v>14</v>
      </c>
      <c r="Q441" s="10">
        <v>20</v>
      </c>
      <c r="R441" s="10">
        <v>20</v>
      </c>
      <c r="S441" s="10">
        <v>224</v>
      </c>
      <c r="T441" s="10">
        <v>5</v>
      </c>
      <c r="U441" s="10" t="s">
        <v>254</v>
      </c>
      <c r="V441" s="10" t="s">
        <v>312</v>
      </c>
      <c r="W441" s="10" t="s">
        <v>278</v>
      </c>
      <c r="X441" s="10">
        <v>9869056117</v>
      </c>
      <c r="Y441" s="12" t="s">
        <v>248</v>
      </c>
      <c r="Z441" t="str">
        <f t="shared" si="43"/>
        <v/>
      </c>
      <c r="AA441" t="str">
        <f t="shared" si="44"/>
        <v>Arjun Rao</v>
      </c>
      <c r="AB441" t="str">
        <f t="shared" si="45"/>
        <v>Arj007De</v>
      </c>
      <c r="AC441" t="str">
        <f t="shared" si="48"/>
        <v>arjun.rao@company.com</v>
      </c>
      <c r="AD441" t="str">
        <f t="shared" ca="1" si="49"/>
        <v/>
      </c>
      <c r="AE441" t="str">
        <f t="shared" si="46"/>
        <v/>
      </c>
      <c r="AF441" t="str">
        <f t="shared" si="47"/>
        <v>Delayed</v>
      </c>
    </row>
    <row r="442" spans="4:32">
      <c r="D442" s="4" t="s">
        <v>1099</v>
      </c>
      <c r="E442" s="5" t="s">
        <v>392</v>
      </c>
      <c r="F442" s="5" t="s">
        <v>280</v>
      </c>
      <c r="G442" s="5" t="s">
        <v>102</v>
      </c>
      <c r="H442" s="5" t="s">
        <v>144</v>
      </c>
      <c r="I442" s="5" t="s">
        <v>323</v>
      </c>
      <c r="J442" s="5" t="s">
        <v>269</v>
      </c>
      <c r="K442" s="5" t="s">
        <v>1100</v>
      </c>
      <c r="L442" s="5" t="s">
        <v>306</v>
      </c>
      <c r="M442" s="5" t="s">
        <v>287</v>
      </c>
      <c r="N442" s="5" t="s">
        <v>15</v>
      </c>
      <c r="O442" s="5" t="s">
        <v>282</v>
      </c>
      <c r="P442" s="5">
        <v>4</v>
      </c>
      <c r="Q442" s="5">
        <v>3500</v>
      </c>
      <c r="R442" s="5">
        <v>0</v>
      </c>
      <c r="S442" s="5">
        <v>14000</v>
      </c>
      <c r="T442" s="5">
        <v>2</v>
      </c>
      <c r="U442" s="5" t="s">
        <v>277</v>
      </c>
      <c r="V442" s="5" t="s">
        <v>255</v>
      </c>
      <c r="W442" s="5" t="s">
        <v>395</v>
      </c>
      <c r="X442" s="5">
        <v>9734229772</v>
      </c>
      <c r="Y442" s="8" t="s">
        <v>265</v>
      </c>
      <c r="Z442" t="str">
        <f t="shared" si="43"/>
        <v>Blacklisted</v>
      </c>
      <c r="AA442" t="str">
        <f t="shared" si="44"/>
        <v>Amit Sharma</v>
      </c>
      <c r="AB442" t="str">
        <f t="shared" si="45"/>
        <v>Ami001Ah</v>
      </c>
      <c r="AC442" t="str">
        <f t="shared" si="48"/>
        <v>amit.sharma@company.com</v>
      </c>
      <c r="AD442" t="str">
        <f t="shared" ca="1" si="49"/>
        <v/>
      </c>
      <c r="AE442">
        <f t="shared" si="46"/>
        <v>4</v>
      </c>
      <c r="AF442" t="str">
        <f t="shared" si="47"/>
        <v>On time</v>
      </c>
    </row>
    <row r="443" spans="4:32">
      <c r="D443" s="9" t="s">
        <v>1101</v>
      </c>
      <c r="E443" s="10" t="s">
        <v>275</v>
      </c>
      <c r="F443" s="10" t="s">
        <v>280</v>
      </c>
      <c r="G443" s="11">
        <v>45753</v>
      </c>
      <c r="H443" s="11">
        <v>45783</v>
      </c>
      <c r="I443" s="10" t="s">
        <v>328</v>
      </c>
      <c r="J443" s="10" t="s">
        <v>269</v>
      </c>
      <c r="K443" s="11">
        <v>30570</v>
      </c>
      <c r="L443" s="10" t="s">
        <v>342</v>
      </c>
      <c r="M443" s="10" t="s">
        <v>261</v>
      </c>
      <c r="N443" s="10" t="s">
        <v>15</v>
      </c>
      <c r="O443" s="10" t="s">
        <v>282</v>
      </c>
      <c r="P443" s="10">
        <v>9</v>
      </c>
      <c r="Q443" s="10">
        <v>3500</v>
      </c>
      <c r="R443" s="10">
        <v>5</v>
      </c>
      <c r="S443" s="10">
        <v>29925</v>
      </c>
      <c r="T443" s="10">
        <v>3</v>
      </c>
      <c r="U443" s="10" t="s">
        <v>272</v>
      </c>
      <c r="V443" s="10" t="s">
        <v>246</v>
      </c>
      <c r="W443" s="10" t="s">
        <v>278</v>
      </c>
      <c r="X443" s="10">
        <v>9791617906</v>
      </c>
      <c r="Y443" s="12" t="s">
        <v>257</v>
      </c>
      <c r="Z443" t="str">
        <f t="shared" si="43"/>
        <v>Silver</v>
      </c>
      <c r="AA443" t="str">
        <f t="shared" si="44"/>
        <v>Arjun Rao</v>
      </c>
      <c r="AB443" t="str">
        <f t="shared" si="45"/>
        <v>Arj007Ja</v>
      </c>
      <c r="AC443" t="str">
        <f t="shared" si="48"/>
        <v>arjun.rao@company.com</v>
      </c>
      <c r="AD443" t="str">
        <f t="shared" ca="1" si="49"/>
        <v/>
      </c>
      <c r="AE443" t="str">
        <f t="shared" si="46"/>
        <v/>
      </c>
      <c r="AF443" t="str">
        <f t="shared" si="47"/>
        <v>Delayed</v>
      </c>
    </row>
    <row r="444" spans="4:32">
      <c r="D444" s="4" t="s">
        <v>1102</v>
      </c>
      <c r="E444" s="5" t="s">
        <v>299</v>
      </c>
      <c r="F444" s="5" t="s">
        <v>294</v>
      </c>
      <c r="G444" s="5" t="s">
        <v>197</v>
      </c>
      <c r="H444" s="6">
        <v>45722</v>
      </c>
      <c r="I444" s="5" t="s">
        <v>301</v>
      </c>
      <c r="J444" s="5" t="s">
        <v>269</v>
      </c>
      <c r="K444" s="5" t="s">
        <v>1103</v>
      </c>
      <c r="L444" s="5" t="s">
        <v>286</v>
      </c>
      <c r="M444" s="5" t="s">
        <v>287</v>
      </c>
      <c r="N444" s="5" t="s">
        <v>295</v>
      </c>
      <c r="O444" s="5" t="s">
        <v>296</v>
      </c>
      <c r="P444" s="5">
        <v>9</v>
      </c>
      <c r="Q444" s="5">
        <v>60</v>
      </c>
      <c r="R444" s="5">
        <v>0</v>
      </c>
      <c r="S444" s="5">
        <v>540</v>
      </c>
      <c r="T444" s="5">
        <v>3</v>
      </c>
      <c r="U444" s="5" t="s">
        <v>277</v>
      </c>
      <c r="V444" s="5" t="s">
        <v>255</v>
      </c>
      <c r="W444" s="5" t="s">
        <v>302</v>
      </c>
      <c r="X444" s="5">
        <v>9286316823</v>
      </c>
      <c r="Y444" s="8" t="s">
        <v>248</v>
      </c>
      <c r="Z444" t="str">
        <f t="shared" si="43"/>
        <v/>
      </c>
      <c r="AA444" t="str">
        <f t="shared" si="44"/>
        <v>Rohit Singh</v>
      </c>
      <c r="AB444" t="str">
        <f t="shared" si="45"/>
        <v>Roh003Mu</v>
      </c>
      <c r="AC444" t="str">
        <f t="shared" si="48"/>
        <v>rohit.singh@company.com</v>
      </c>
      <c r="AD444">
        <f t="shared" ca="1" si="49"/>
        <v>43</v>
      </c>
      <c r="AE444" t="str">
        <f t="shared" si="46"/>
        <v/>
      </c>
      <c r="AF444" t="str">
        <f t="shared" si="47"/>
        <v>Delayed</v>
      </c>
    </row>
    <row r="445" spans="4:32">
      <c r="D445" s="9" t="s">
        <v>1104</v>
      </c>
      <c r="E445" s="10" t="s">
        <v>321</v>
      </c>
      <c r="F445" s="10" t="s">
        <v>267</v>
      </c>
      <c r="G445" s="11">
        <v>45693</v>
      </c>
      <c r="H445" s="11">
        <v>45721</v>
      </c>
      <c r="I445" s="10" t="s">
        <v>408</v>
      </c>
      <c r="J445" s="10" t="s">
        <v>239</v>
      </c>
      <c r="K445" s="10" t="s">
        <v>1105</v>
      </c>
      <c r="L445" s="10" t="s">
        <v>306</v>
      </c>
      <c r="M445" s="10" t="s">
        <v>287</v>
      </c>
      <c r="N445" s="10" t="s">
        <v>243</v>
      </c>
      <c r="O445" s="10" t="s">
        <v>271</v>
      </c>
      <c r="P445" s="10">
        <v>4</v>
      </c>
      <c r="Q445" s="10">
        <v>1200</v>
      </c>
      <c r="R445" s="10">
        <v>0</v>
      </c>
      <c r="S445" s="10">
        <v>4800</v>
      </c>
      <c r="T445" s="10">
        <v>1</v>
      </c>
      <c r="U445" s="10" t="s">
        <v>245</v>
      </c>
      <c r="V445" s="10" t="s">
        <v>246</v>
      </c>
      <c r="W445" s="10" t="s">
        <v>326</v>
      </c>
      <c r="X445" s="10">
        <v>9810569252</v>
      </c>
      <c r="Y445" s="12" t="s">
        <v>257</v>
      </c>
      <c r="Z445" t="str">
        <f t="shared" si="43"/>
        <v>Blacklisted</v>
      </c>
      <c r="AA445" t="str">
        <f t="shared" si="44"/>
        <v>Anita Gupta</v>
      </c>
      <c r="AB445" t="str">
        <f t="shared" si="45"/>
        <v>Ani004Ah</v>
      </c>
      <c r="AC445" t="str">
        <f t="shared" si="48"/>
        <v>anita.gupta@company.com</v>
      </c>
      <c r="AD445" t="str">
        <f t="shared" ca="1" si="49"/>
        <v/>
      </c>
      <c r="AE445" t="str">
        <f t="shared" si="46"/>
        <v/>
      </c>
      <c r="AF445" t="str">
        <f t="shared" si="47"/>
        <v>Delayed</v>
      </c>
    </row>
    <row r="446" spans="4:32">
      <c r="D446" s="4" t="s">
        <v>1106</v>
      </c>
      <c r="E446" s="5" t="s">
        <v>235</v>
      </c>
      <c r="F446" s="5" t="s">
        <v>236</v>
      </c>
      <c r="G446" s="6">
        <v>45718</v>
      </c>
      <c r="H446" s="5" t="s">
        <v>7</v>
      </c>
      <c r="I446" s="5" t="s">
        <v>318</v>
      </c>
      <c r="J446" s="5" t="s">
        <v>239</v>
      </c>
      <c r="K446" s="6">
        <v>36411</v>
      </c>
      <c r="L446" s="5" t="s">
        <v>252</v>
      </c>
      <c r="M446" s="5" t="s">
        <v>242</v>
      </c>
      <c r="N446" s="5" t="s">
        <v>243</v>
      </c>
      <c r="O446" s="5" t="s">
        <v>244</v>
      </c>
      <c r="P446" s="5">
        <v>10</v>
      </c>
      <c r="Q446" s="5">
        <v>55000</v>
      </c>
      <c r="R446" s="5">
        <v>5</v>
      </c>
      <c r="S446" s="5">
        <v>522500</v>
      </c>
      <c r="T446" s="5">
        <v>5</v>
      </c>
      <c r="U446" s="5" t="s">
        <v>277</v>
      </c>
      <c r="V446" s="5" t="s">
        <v>292</v>
      </c>
      <c r="W446" s="5" t="s">
        <v>247</v>
      </c>
      <c r="X446" s="5">
        <v>9771745925</v>
      </c>
      <c r="Y446" s="8" t="s">
        <v>257</v>
      </c>
      <c r="Z446" t="str">
        <f t="shared" si="43"/>
        <v>Gold</v>
      </c>
      <c r="AA446" t="str">
        <f t="shared" si="44"/>
        <v>Pooja Shah</v>
      </c>
      <c r="AB446" t="str">
        <f t="shared" si="45"/>
        <v>Poo010Hy</v>
      </c>
      <c r="AC446" t="str">
        <f t="shared" si="48"/>
        <v>pooja.shah@company.com</v>
      </c>
      <c r="AD446" t="str">
        <f t="shared" ca="1" si="49"/>
        <v/>
      </c>
      <c r="AE446" t="str">
        <f t="shared" si="46"/>
        <v/>
      </c>
      <c r="AF446" t="str">
        <f t="shared" si="47"/>
        <v>Delayed</v>
      </c>
    </row>
    <row r="447" spans="4:32">
      <c r="D447" s="9" t="s">
        <v>1107</v>
      </c>
      <c r="E447" s="10" t="s">
        <v>346</v>
      </c>
      <c r="F447" s="10" t="s">
        <v>362</v>
      </c>
      <c r="G447" s="10" t="s">
        <v>188</v>
      </c>
      <c r="H447" s="11">
        <v>45815</v>
      </c>
      <c r="I447" s="10" t="s">
        <v>348</v>
      </c>
      <c r="J447" s="10" t="s">
        <v>269</v>
      </c>
      <c r="K447" s="10" t="s">
        <v>1108</v>
      </c>
      <c r="L447" s="10" t="s">
        <v>252</v>
      </c>
      <c r="M447" s="10" t="s">
        <v>242</v>
      </c>
      <c r="N447" s="10" t="s">
        <v>295</v>
      </c>
      <c r="O447" s="10" t="s">
        <v>363</v>
      </c>
      <c r="P447" s="10">
        <v>20</v>
      </c>
      <c r="Q447" s="10">
        <v>45</v>
      </c>
      <c r="R447" s="10">
        <v>15</v>
      </c>
      <c r="S447" s="10">
        <v>765</v>
      </c>
      <c r="T447" s="10">
        <v>2</v>
      </c>
      <c r="U447" s="10" t="s">
        <v>272</v>
      </c>
      <c r="V447" s="10" t="s">
        <v>255</v>
      </c>
      <c r="W447" s="10" t="s">
        <v>350</v>
      </c>
      <c r="X447" s="10">
        <v>9820683063</v>
      </c>
      <c r="Y447" s="12" t="s">
        <v>265</v>
      </c>
      <c r="Z447" t="str">
        <f t="shared" si="43"/>
        <v>Blacklisted</v>
      </c>
      <c r="AA447" t="str">
        <f t="shared" si="44"/>
        <v>Vikas Mehta</v>
      </c>
      <c r="AB447" t="str">
        <f t="shared" si="45"/>
        <v>Vik005Hy</v>
      </c>
      <c r="AC447" t="str">
        <f t="shared" si="48"/>
        <v>vikas.mehta@company.com</v>
      </c>
      <c r="AD447">
        <f t="shared" ca="1" si="49"/>
        <v>27</v>
      </c>
      <c r="AE447" t="str">
        <f t="shared" si="46"/>
        <v/>
      </c>
      <c r="AF447" t="str">
        <f t="shared" si="47"/>
        <v>Delayed</v>
      </c>
    </row>
    <row r="448" spans="4:32">
      <c r="D448" s="4" t="s">
        <v>1109</v>
      </c>
      <c r="E448" s="5" t="s">
        <v>249</v>
      </c>
      <c r="F448" s="5" t="s">
        <v>347</v>
      </c>
      <c r="G448" s="6">
        <v>46358</v>
      </c>
      <c r="H448" s="5" t="s">
        <v>108</v>
      </c>
      <c r="I448" s="5" t="s">
        <v>251</v>
      </c>
      <c r="J448" s="5" t="s">
        <v>239</v>
      </c>
      <c r="K448" s="5" t="s">
        <v>1110</v>
      </c>
      <c r="L448" s="5" t="s">
        <v>286</v>
      </c>
      <c r="M448" s="5" t="s">
        <v>287</v>
      </c>
      <c r="N448" s="5" t="s">
        <v>295</v>
      </c>
      <c r="O448" s="5" t="s">
        <v>349</v>
      </c>
      <c r="P448" s="5">
        <v>9</v>
      </c>
      <c r="Q448" s="5">
        <v>20</v>
      </c>
      <c r="R448" s="5">
        <v>20</v>
      </c>
      <c r="S448" s="5">
        <v>144</v>
      </c>
      <c r="T448" s="5">
        <v>3</v>
      </c>
      <c r="U448" s="5" t="s">
        <v>272</v>
      </c>
      <c r="V448" s="5" t="s">
        <v>246</v>
      </c>
      <c r="W448" s="5" t="s">
        <v>264</v>
      </c>
      <c r="X448" s="5">
        <v>9292891941</v>
      </c>
      <c r="Y448" s="8" t="s">
        <v>257</v>
      </c>
      <c r="Z448" t="str">
        <f t="shared" si="43"/>
        <v>Silver</v>
      </c>
      <c r="AA448" t="str">
        <f t="shared" si="44"/>
        <v>Kavya Nair</v>
      </c>
      <c r="AB448" t="str">
        <f t="shared" si="45"/>
        <v>Kav008Mu</v>
      </c>
      <c r="AC448" t="str">
        <f t="shared" si="48"/>
        <v>kavya.nair@company.com</v>
      </c>
      <c r="AD448" t="str">
        <f t="shared" ca="1" si="49"/>
        <v/>
      </c>
      <c r="AE448" t="str">
        <f t="shared" si="46"/>
        <v/>
      </c>
      <c r="AF448" t="str">
        <f t="shared" si="47"/>
        <v>Delayed</v>
      </c>
    </row>
    <row r="449" spans="4:32">
      <c r="D449" s="9" t="s">
        <v>1111</v>
      </c>
      <c r="E449" s="10" t="s">
        <v>249</v>
      </c>
      <c r="F449" s="10" t="s">
        <v>236</v>
      </c>
      <c r="G449" s="11">
        <v>45719</v>
      </c>
      <c r="H449" s="10" t="s">
        <v>25</v>
      </c>
      <c r="I449" s="10" t="s">
        <v>251</v>
      </c>
      <c r="J449" s="10" t="s">
        <v>239</v>
      </c>
      <c r="K449" s="11">
        <v>29531</v>
      </c>
      <c r="L449" s="10" t="s">
        <v>291</v>
      </c>
      <c r="M449" s="10" t="s">
        <v>287</v>
      </c>
      <c r="N449" s="10" t="s">
        <v>243</v>
      </c>
      <c r="O449" s="10" t="s">
        <v>244</v>
      </c>
      <c r="P449" s="10">
        <v>8</v>
      </c>
      <c r="Q449" s="10">
        <v>55000</v>
      </c>
      <c r="R449" s="10">
        <v>0</v>
      </c>
      <c r="S449" s="10">
        <v>440000</v>
      </c>
      <c r="T449" s="10">
        <v>4</v>
      </c>
      <c r="U449" s="10" t="s">
        <v>254</v>
      </c>
      <c r="V449" s="10" t="s">
        <v>292</v>
      </c>
      <c r="W449" s="10" t="s">
        <v>264</v>
      </c>
      <c r="X449" s="10">
        <v>9413789556</v>
      </c>
      <c r="Y449" s="12" t="s">
        <v>257</v>
      </c>
      <c r="Z449" t="str">
        <f t="shared" si="43"/>
        <v>Platinum</v>
      </c>
      <c r="AA449" t="str">
        <f t="shared" si="44"/>
        <v>Kavya Nair</v>
      </c>
      <c r="AB449" t="str">
        <f t="shared" si="45"/>
        <v>Kav008Pu</v>
      </c>
      <c r="AC449" t="str">
        <f t="shared" si="48"/>
        <v>kavya.nair@company.com</v>
      </c>
      <c r="AD449" t="str">
        <f t="shared" ca="1" si="49"/>
        <v/>
      </c>
      <c r="AE449" t="str">
        <f t="shared" si="46"/>
        <v/>
      </c>
      <c r="AF449" t="str">
        <f t="shared" si="47"/>
        <v>Delayed</v>
      </c>
    </row>
    <row r="450" spans="4:32">
      <c r="D450" s="4" t="s">
        <v>1112</v>
      </c>
      <c r="E450" s="5" t="s">
        <v>392</v>
      </c>
      <c r="F450" s="5" t="s">
        <v>267</v>
      </c>
      <c r="G450" s="5" t="s">
        <v>132</v>
      </c>
      <c r="H450" s="5" t="s">
        <v>874</v>
      </c>
      <c r="I450" s="5" t="s">
        <v>323</v>
      </c>
      <c r="J450" s="5" t="s">
        <v>269</v>
      </c>
      <c r="K450" s="6">
        <v>36805</v>
      </c>
      <c r="L450" s="5" t="s">
        <v>306</v>
      </c>
      <c r="M450" s="5" t="s">
        <v>287</v>
      </c>
      <c r="N450" s="5" t="s">
        <v>243</v>
      </c>
      <c r="O450" s="5" t="s">
        <v>271</v>
      </c>
      <c r="P450" s="5">
        <v>4</v>
      </c>
      <c r="Q450" s="5">
        <v>1200</v>
      </c>
      <c r="R450" s="5">
        <v>10</v>
      </c>
      <c r="S450" s="5">
        <v>4320</v>
      </c>
      <c r="T450" s="5">
        <v>4</v>
      </c>
      <c r="U450" s="5" t="s">
        <v>277</v>
      </c>
      <c r="V450" s="5" t="s">
        <v>255</v>
      </c>
      <c r="W450" s="7" t="s">
        <v>1113</v>
      </c>
      <c r="X450" s="5">
        <v>98765</v>
      </c>
      <c r="Y450" s="8" t="s">
        <v>265</v>
      </c>
      <c r="Z450" t="str">
        <f t="shared" si="43"/>
        <v>Blacklisted</v>
      </c>
      <c r="AA450" t="str">
        <f t="shared" si="44"/>
        <v>Amit Sharma</v>
      </c>
      <c r="AB450" t="str">
        <f t="shared" si="45"/>
        <v>Ami001Ah</v>
      </c>
      <c r="AC450" t="str">
        <f t="shared" si="48"/>
        <v>amit.sharma@company.com</v>
      </c>
      <c r="AD450">
        <f t="shared" ca="1" si="49"/>
        <v>45</v>
      </c>
      <c r="AE450">
        <f t="shared" si="46"/>
        <v>4</v>
      </c>
      <c r="AF450" t="str">
        <f t="shared" si="47"/>
        <v>On time</v>
      </c>
    </row>
    <row r="451" spans="4:32">
      <c r="D451" s="9" t="s">
        <v>1114</v>
      </c>
      <c r="E451" s="10" t="s">
        <v>392</v>
      </c>
      <c r="F451" s="10" t="s">
        <v>322</v>
      </c>
      <c r="G451" s="11">
        <v>46086</v>
      </c>
      <c r="H451" s="10" t="s">
        <v>16</v>
      </c>
      <c r="I451" s="10" t="s">
        <v>323</v>
      </c>
      <c r="J451" s="10" t="s">
        <v>269</v>
      </c>
      <c r="K451" s="10" t="s">
        <v>1115</v>
      </c>
      <c r="L451" s="10" t="s">
        <v>379</v>
      </c>
      <c r="M451" s="10" t="s">
        <v>21</v>
      </c>
      <c r="N451" s="10" t="s">
        <v>15</v>
      </c>
      <c r="O451" s="10" t="s">
        <v>325</v>
      </c>
      <c r="P451" s="10">
        <v>14</v>
      </c>
      <c r="Q451" s="10">
        <v>8500</v>
      </c>
      <c r="R451" s="10">
        <v>10</v>
      </c>
      <c r="S451" s="10">
        <v>107100</v>
      </c>
      <c r="T451" s="10">
        <v>4</v>
      </c>
      <c r="U451" s="10" t="s">
        <v>254</v>
      </c>
      <c r="V451" s="10" t="s">
        <v>255</v>
      </c>
      <c r="W451" s="10" t="s">
        <v>395</v>
      </c>
      <c r="X451" s="10">
        <v>9211936331</v>
      </c>
      <c r="Y451" s="12" t="s">
        <v>257</v>
      </c>
      <c r="Z451" t="str">
        <f t="shared" ref="Z451:Z501" si="50">IF(OR(T451&lt;=2,Y451="Cancelled"),"Blacklisted",IF(AND(S451&gt;100000,T451&gt;=4,R451&lt;=10%,Y451="Completed"),"Platinum",IF(AND(S451&gt;=50000,T451&gt;=3,Y451="Completed"),"Gold",IF(AND(S451&lt;50000,Y451="Completed"),"Silver",""))))</f>
        <v>Gold</v>
      </c>
      <c r="AA451" t="str">
        <f t="shared" ref="AA451:AA501" si="51">PROPER(TRIM(I451))</f>
        <v>Amit Sharma</v>
      </c>
      <c r="AB451" t="str">
        <f t="shared" ref="AB451:AB501" si="52">LEFT(I451,3)&amp;MID(E451,2,3)&amp;LEFT(L451,2)</f>
        <v>Ami001Ko</v>
      </c>
      <c r="AC451" t="str">
        <f t="shared" si="48"/>
        <v>amit.sharma@company.com</v>
      </c>
      <c r="AD451">
        <f t="shared" ca="1" si="49"/>
        <v>26</v>
      </c>
      <c r="AE451" t="str">
        <f t="shared" ref="AE451:AE501" si="53">IF(OR(G451="",H451=""),"",IFERROR(DATE(MID(H451,7,4),MID(H451,4,2),LEFT(H451,2))-DATE(MID(G451,7,4),MID(G451,4,2),LEFT(G451,2)),""))</f>
        <v/>
      </c>
      <c r="AF451" t="str">
        <f t="shared" ref="AF451:AF501" si="54">IF(H451="","Pending",IF(AE451&lt;=5,"On time","Delayed"))</f>
        <v>Delayed</v>
      </c>
    </row>
    <row r="452" spans="4:32">
      <c r="D452" s="4" t="s">
        <v>1116</v>
      </c>
      <c r="E452" s="5" t="s">
        <v>266</v>
      </c>
      <c r="F452" s="5" t="s">
        <v>362</v>
      </c>
      <c r="G452" s="5" t="s">
        <v>197</v>
      </c>
      <c r="H452" s="6">
        <v>45844</v>
      </c>
      <c r="I452" s="5" t="s">
        <v>268</v>
      </c>
      <c r="J452" s="5" t="s">
        <v>269</v>
      </c>
      <c r="K452" s="6">
        <v>30960</v>
      </c>
      <c r="L452" s="5" t="s">
        <v>252</v>
      </c>
      <c r="M452" s="5" t="s">
        <v>242</v>
      </c>
      <c r="N452" s="5" t="s">
        <v>295</v>
      </c>
      <c r="O452" s="5" t="s">
        <v>363</v>
      </c>
      <c r="P452" s="5">
        <v>1</v>
      </c>
      <c r="Q452" s="5">
        <v>45</v>
      </c>
      <c r="R452" s="5">
        <v>0</v>
      </c>
      <c r="S452" s="5">
        <v>45</v>
      </c>
      <c r="T452" s="5">
        <v>3</v>
      </c>
      <c r="U452" s="5" t="s">
        <v>277</v>
      </c>
      <c r="V452" s="5" t="s">
        <v>312</v>
      </c>
      <c r="W452" s="5" t="s">
        <v>273</v>
      </c>
      <c r="X452" s="5">
        <v>9167291747</v>
      </c>
      <c r="Y452" s="8" t="s">
        <v>265</v>
      </c>
      <c r="Z452" t="str">
        <f t="shared" si="50"/>
        <v>Blacklisted</v>
      </c>
      <c r="AA452" t="str">
        <f t="shared" si="51"/>
        <v>Mohit Verma</v>
      </c>
      <c r="AB452" t="str">
        <f t="shared" si="52"/>
        <v>Moh009Hy</v>
      </c>
      <c r="AC452" t="str">
        <f t="shared" ref="AC452:AC501" si="55">IF(ISNUMBER(SEARCH("@",W452)),LOWER(TRIM(W452)),"invalid email")</f>
        <v>mohit.verma@company.com</v>
      </c>
      <c r="AD452" t="str">
        <f t="shared" ca="1" si="49"/>
        <v/>
      </c>
      <c r="AE452" t="str">
        <f t="shared" si="53"/>
        <v/>
      </c>
      <c r="AF452" t="str">
        <f t="shared" si="54"/>
        <v>Delayed</v>
      </c>
    </row>
    <row r="453" spans="4:32">
      <c r="D453" s="9" t="s">
        <v>1117</v>
      </c>
      <c r="E453" s="10" t="s">
        <v>266</v>
      </c>
      <c r="F453" s="10" t="s">
        <v>236</v>
      </c>
      <c r="G453" s="10" t="s">
        <v>55</v>
      </c>
      <c r="H453" s="10" t="s">
        <v>175</v>
      </c>
      <c r="I453" s="10" t="s">
        <v>268</v>
      </c>
      <c r="J453" s="10" t="s">
        <v>269</v>
      </c>
      <c r="K453" s="11">
        <v>31603</v>
      </c>
      <c r="L453" s="10" t="s">
        <v>260</v>
      </c>
      <c r="M453" s="10" t="s">
        <v>261</v>
      </c>
      <c r="N453" s="10" t="s">
        <v>243</v>
      </c>
      <c r="O453" s="10" t="s">
        <v>244</v>
      </c>
      <c r="P453" s="10">
        <v>16</v>
      </c>
      <c r="Q453" s="10">
        <v>55000</v>
      </c>
      <c r="R453" s="10">
        <v>15</v>
      </c>
      <c r="S453" s="10">
        <v>748000</v>
      </c>
      <c r="T453" s="10">
        <v>1</v>
      </c>
      <c r="U453" s="10" t="s">
        <v>272</v>
      </c>
      <c r="V453" s="10" t="s">
        <v>312</v>
      </c>
      <c r="W453" s="10" t="s">
        <v>273</v>
      </c>
      <c r="X453" s="10">
        <v>9637283597</v>
      </c>
      <c r="Y453" s="12" t="s">
        <v>265</v>
      </c>
      <c r="Z453" t="str">
        <f t="shared" si="50"/>
        <v>Blacklisted</v>
      </c>
      <c r="AA453" t="str">
        <f t="shared" si="51"/>
        <v>Mohit Verma</v>
      </c>
      <c r="AB453" t="str">
        <f t="shared" si="52"/>
        <v>Moh009De</v>
      </c>
      <c r="AC453" t="str">
        <f t="shared" si="55"/>
        <v>mohit.verma@company.com</v>
      </c>
      <c r="AD453">
        <f t="shared" ref="AD453:AD501" ca="1" si="56">IF(K452="","",IFERROR(DATEDIF(IF(ISNUMBER(K452),K452,DATE(VALUE(RIGHT(K452,4)),VALUE(MID(K452,3,2)),VALUE(LEFT(K452,2)))),TODAY(),"Y"),""))</f>
        <v>42</v>
      </c>
      <c r="AE453">
        <f t="shared" si="53"/>
        <v>11</v>
      </c>
      <c r="AF453" t="str">
        <f t="shared" si="54"/>
        <v>Delayed</v>
      </c>
    </row>
    <row r="454" spans="4:32">
      <c r="D454" s="4" t="s">
        <v>1118</v>
      </c>
      <c r="E454" s="5" t="s">
        <v>235</v>
      </c>
      <c r="F454" s="5" t="s">
        <v>330</v>
      </c>
      <c r="G454" s="5" t="s">
        <v>109</v>
      </c>
      <c r="H454" s="5" t="s">
        <v>185</v>
      </c>
      <c r="I454" s="5" t="s">
        <v>318</v>
      </c>
      <c r="J454" s="5" t="s">
        <v>239</v>
      </c>
      <c r="K454" s="6">
        <v>37632</v>
      </c>
      <c r="L454" s="5" t="s">
        <v>306</v>
      </c>
      <c r="M454" s="5" t="s">
        <v>287</v>
      </c>
      <c r="N454" s="5" t="s">
        <v>243</v>
      </c>
      <c r="O454" s="5" t="s">
        <v>333</v>
      </c>
      <c r="P454" s="5">
        <v>8</v>
      </c>
      <c r="Q454" s="5">
        <v>700</v>
      </c>
      <c r="R454" s="5">
        <v>0</v>
      </c>
      <c r="S454" s="5">
        <v>5600</v>
      </c>
      <c r="T454" s="5">
        <v>3</v>
      </c>
      <c r="U454" s="5" t="s">
        <v>254</v>
      </c>
      <c r="V454" s="5" t="s">
        <v>263</v>
      </c>
      <c r="W454" s="5" t="s">
        <v>247</v>
      </c>
      <c r="X454" s="5">
        <v>9514269002</v>
      </c>
      <c r="Y454" s="8" t="s">
        <v>257</v>
      </c>
      <c r="Z454" t="str">
        <f t="shared" si="50"/>
        <v>Silver</v>
      </c>
      <c r="AA454" t="str">
        <f t="shared" si="51"/>
        <v>Pooja Shah</v>
      </c>
      <c r="AB454" t="str">
        <f t="shared" si="52"/>
        <v>Poo010Ah</v>
      </c>
      <c r="AC454" t="str">
        <f t="shared" si="55"/>
        <v>pooja.shah@company.com</v>
      </c>
      <c r="AD454">
        <f t="shared" ca="1" si="56"/>
        <v>40</v>
      </c>
      <c r="AE454">
        <f t="shared" si="53"/>
        <v>7</v>
      </c>
      <c r="AF454" t="str">
        <f t="shared" si="54"/>
        <v>Delayed</v>
      </c>
    </row>
    <row r="455" spans="4:32">
      <c r="D455" s="9" t="s">
        <v>1119</v>
      </c>
      <c r="E455" s="10" t="s">
        <v>358</v>
      </c>
      <c r="F455" s="10" t="s">
        <v>267</v>
      </c>
      <c r="G455" s="11">
        <v>46057</v>
      </c>
      <c r="H455" s="10" t="s">
        <v>1120</v>
      </c>
      <c r="I455" s="10" t="s">
        <v>359</v>
      </c>
      <c r="J455" s="10" t="s">
        <v>239</v>
      </c>
      <c r="K455" s="11">
        <v>37900</v>
      </c>
      <c r="L455" s="10" t="s">
        <v>306</v>
      </c>
      <c r="M455" s="10" t="s">
        <v>287</v>
      </c>
      <c r="N455" s="10" t="s">
        <v>243</v>
      </c>
      <c r="O455" s="10" t="s">
        <v>271</v>
      </c>
      <c r="P455" s="10">
        <v>3</v>
      </c>
      <c r="Q455" s="10">
        <v>1200</v>
      </c>
      <c r="R455" s="10">
        <v>0</v>
      </c>
      <c r="S455" s="10">
        <v>3600</v>
      </c>
      <c r="T455" s="10">
        <v>1</v>
      </c>
      <c r="U455" s="10" t="s">
        <v>272</v>
      </c>
      <c r="V455" s="10" t="s">
        <v>263</v>
      </c>
      <c r="W455" s="10" t="s">
        <v>360</v>
      </c>
      <c r="X455" s="10">
        <v>9778908233</v>
      </c>
      <c r="Y455" s="12" t="s">
        <v>265</v>
      </c>
      <c r="Z455" t="str">
        <f t="shared" si="50"/>
        <v>Blacklisted</v>
      </c>
      <c r="AA455" t="str">
        <f t="shared" si="51"/>
        <v>Sneha Joshi</v>
      </c>
      <c r="AB455" t="str">
        <f t="shared" si="52"/>
        <v>Sne006Ah</v>
      </c>
      <c r="AC455" t="str">
        <f t="shared" si="55"/>
        <v>sneha.joshi@company.com</v>
      </c>
      <c r="AD455">
        <f t="shared" ca="1" si="56"/>
        <v>23</v>
      </c>
      <c r="AE455" t="str">
        <f t="shared" si="53"/>
        <v/>
      </c>
      <c r="AF455" t="str">
        <f t="shared" si="54"/>
        <v>Delayed</v>
      </c>
    </row>
    <row r="456" spans="4:32">
      <c r="D456" s="4" t="s">
        <v>1121</v>
      </c>
      <c r="E456" s="5" t="s">
        <v>266</v>
      </c>
      <c r="F456" s="5" t="s">
        <v>280</v>
      </c>
      <c r="G456" s="5" t="s">
        <v>64</v>
      </c>
      <c r="H456" s="5" t="s">
        <v>150</v>
      </c>
      <c r="I456" s="5" t="s">
        <v>268</v>
      </c>
      <c r="J456" s="5" t="s">
        <v>269</v>
      </c>
      <c r="K456" s="5" t="s">
        <v>1122</v>
      </c>
      <c r="L456" s="5" t="s">
        <v>379</v>
      </c>
      <c r="M456" s="5" t="s">
        <v>21</v>
      </c>
      <c r="N456" s="5" t="s">
        <v>15</v>
      </c>
      <c r="O456" s="5" t="s">
        <v>282</v>
      </c>
      <c r="P456" s="5">
        <v>7</v>
      </c>
      <c r="Q456" s="5">
        <v>3500</v>
      </c>
      <c r="R456" s="5">
        <v>15</v>
      </c>
      <c r="S456" s="5">
        <v>20825</v>
      </c>
      <c r="T456" s="5">
        <v>4</v>
      </c>
      <c r="U456" s="5" t="s">
        <v>272</v>
      </c>
      <c r="V456" s="5" t="s">
        <v>246</v>
      </c>
      <c r="W456" s="5" t="s">
        <v>273</v>
      </c>
      <c r="X456" s="5">
        <v>9981118755</v>
      </c>
      <c r="Y456" s="8" t="s">
        <v>248</v>
      </c>
      <c r="Z456" t="str">
        <f t="shared" si="50"/>
        <v/>
      </c>
      <c r="AA456" t="str">
        <f t="shared" si="51"/>
        <v>Mohit Verma</v>
      </c>
      <c r="AB456" t="str">
        <f t="shared" si="52"/>
        <v>Moh009Ko</v>
      </c>
      <c r="AC456" t="str">
        <f t="shared" si="55"/>
        <v>mohit.verma@company.com</v>
      </c>
      <c r="AD456">
        <f t="shared" ca="1" si="56"/>
        <v>23</v>
      </c>
      <c r="AE456">
        <f t="shared" si="53"/>
        <v>8</v>
      </c>
      <c r="AF456" t="str">
        <f t="shared" si="54"/>
        <v>Delayed</v>
      </c>
    </row>
    <row r="457" spans="4:32">
      <c r="D457" s="9" t="s">
        <v>1123</v>
      </c>
      <c r="E457" s="10" t="s">
        <v>235</v>
      </c>
      <c r="F457" s="10" t="s">
        <v>236</v>
      </c>
      <c r="G457" s="10" t="s">
        <v>185</v>
      </c>
      <c r="H457" s="11">
        <v>46116</v>
      </c>
      <c r="I457" s="10" t="s">
        <v>318</v>
      </c>
      <c r="J457" s="10" t="s">
        <v>239</v>
      </c>
      <c r="K457" s="10" t="s">
        <v>1124</v>
      </c>
      <c r="L457" s="10" t="s">
        <v>291</v>
      </c>
      <c r="M457" s="10" t="s">
        <v>287</v>
      </c>
      <c r="N457" s="10" t="s">
        <v>243</v>
      </c>
      <c r="O457" s="10" t="s">
        <v>244</v>
      </c>
      <c r="P457" s="10">
        <v>9</v>
      </c>
      <c r="Q457" s="10">
        <v>55000</v>
      </c>
      <c r="R457" s="10">
        <v>15</v>
      </c>
      <c r="S457" s="10">
        <v>420750</v>
      </c>
      <c r="T457" s="10">
        <v>3</v>
      </c>
      <c r="U457" s="10" t="s">
        <v>277</v>
      </c>
      <c r="V457" s="10" t="s">
        <v>255</v>
      </c>
      <c r="W457" s="10" t="s">
        <v>247</v>
      </c>
      <c r="X457" s="10">
        <v>9887896743</v>
      </c>
      <c r="Y457" s="12" t="s">
        <v>265</v>
      </c>
      <c r="Z457" t="str">
        <f t="shared" si="50"/>
        <v>Blacklisted</v>
      </c>
      <c r="AA457" t="str">
        <f t="shared" si="51"/>
        <v>Pooja Shah</v>
      </c>
      <c r="AB457" t="str">
        <f t="shared" si="52"/>
        <v>Poo010Pu</v>
      </c>
      <c r="AC457" t="str">
        <f t="shared" si="55"/>
        <v>pooja.shah@company.com</v>
      </c>
      <c r="AD457" t="str">
        <f t="shared" ca="1" si="56"/>
        <v/>
      </c>
      <c r="AE457" t="str">
        <f t="shared" si="53"/>
        <v/>
      </c>
      <c r="AF457" t="str">
        <f t="shared" si="54"/>
        <v>Delayed</v>
      </c>
    </row>
    <row r="458" spans="4:32">
      <c r="D458" s="4" t="s">
        <v>1125</v>
      </c>
      <c r="E458" s="5" t="s">
        <v>392</v>
      </c>
      <c r="F458" s="5" t="s">
        <v>258</v>
      </c>
      <c r="G458" s="6">
        <v>45669</v>
      </c>
      <c r="H458" s="6">
        <v>45700</v>
      </c>
      <c r="I458" s="5" t="s">
        <v>323</v>
      </c>
      <c r="J458" s="5" t="s">
        <v>269</v>
      </c>
      <c r="K458" s="6">
        <v>34122</v>
      </c>
      <c r="L458" s="5" t="s">
        <v>241</v>
      </c>
      <c r="M458" s="5" t="s">
        <v>242</v>
      </c>
      <c r="N458" s="5" t="s">
        <v>243</v>
      </c>
      <c r="O458" s="5" t="s">
        <v>262</v>
      </c>
      <c r="P458" s="5">
        <v>12</v>
      </c>
      <c r="Q458" s="5">
        <v>12000</v>
      </c>
      <c r="R458" s="5">
        <v>0</v>
      </c>
      <c r="S458" s="5">
        <v>144000</v>
      </c>
      <c r="T458" s="5">
        <v>3</v>
      </c>
      <c r="U458" s="5" t="s">
        <v>272</v>
      </c>
      <c r="V458" s="5" t="s">
        <v>312</v>
      </c>
      <c r="W458" s="5" t="s">
        <v>395</v>
      </c>
      <c r="X458" s="5">
        <v>9585330043</v>
      </c>
      <c r="Y458" s="8" t="s">
        <v>265</v>
      </c>
      <c r="Z458" t="str">
        <f t="shared" si="50"/>
        <v>Blacklisted</v>
      </c>
      <c r="AA458" t="str">
        <f t="shared" si="51"/>
        <v>Amit Sharma</v>
      </c>
      <c r="AB458" t="str">
        <f t="shared" si="52"/>
        <v>Ami001Be</v>
      </c>
      <c r="AC458" t="str">
        <f t="shared" si="55"/>
        <v>amit.sharma@company.com</v>
      </c>
      <c r="AD458" t="str">
        <f t="shared" ca="1" si="56"/>
        <v/>
      </c>
      <c r="AE458" t="str">
        <f t="shared" si="53"/>
        <v/>
      </c>
      <c r="AF458" t="str">
        <f t="shared" si="54"/>
        <v>Delayed</v>
      </c>
    </row>
    <row r="459" spans="4:32">
      <c r="D459" s="9" t="s">
        <v>1126</v>
      </c>
      <c r="E459" s="10" t="s">
        <v>284</v>
      </c>
      <c r="F459" s="10" t="s">
        <v>294</v>
      </c>
      <c r="G459" s="11">
        <v>45752</v>
      </c>
      <c r="H459" s="11">
        <v>45966</v>
      </c>
      <c r="I459" s="10" t="s">
        <v>285</v>
      </c>
      <c r="J459" s="10" t="s">
        <v>239</v>
      </c>
      <c r="K459" s="11">
        <v>27434</v>
      </c>
      <c r="L459" s="10" t="s">
        <v>306</v>
      </c>
      <c r="M459" s="10" t="s">
        <v>287</v>
      </c>
      <c r="N459" s="10" t="s">
        <v>295</v>
      </c>
      <c r="O459" s="10" t="s">
        <v>296</v>
      </c>
      <c r="P459" s="10">
        <v>7</v>
      </c>
      <c r="Q459" s="10">
        <v>60</v>
      </c>
      <c r="R459" s="10">
        <v>10</v>
      </c>
      <c r="S459" s="10">
        <v>378</v>
      </c>
      <c r="T459" s="10">
        <v>4</v>
      </c>
      <c r="U459" s="10" t="s">
        <v>254</v>
      </c>
      <c r="V459" s="10" t="s">
        <v>263</v>
      </c>
      <c r="W459" s="10" t="s">
        <v>308</v>
      </c>
      <c r="X459" s="10">
        <v>9423719975</v>
      </c>
      <c r="Y459" s="12" t="s">
        <v>265</v>
      </c>
      <c r="Z459" t="str">
        <f t="shared" si="50"/>
        <v>Blacklisted</v>
      </c>
      <c r="AA459" t="str">
        <f t="shared" si="51"/>
        <v>Priya Patel</v>
      </c>
      <c r="AB459" t="str">
        <f t="shared" si="52"/>
        <v>Pri002Ah</v>
      </c>
      <c r="AC459" t="str">
        <f t="shared" si="55"/>
        <v>priya.patel@company.com</v>
      </c>
      <c r="AD459">
        <f t="shared" ca="1" si="56"/>
        <v>33</v>
      </c>
      <c r="AE459" t="str">
        <f t="shared" si="53"/>
        <v/>
      </c>
      <c r="AF459" t="str">
        <f t="shared" si="54"/>
        <v>Delayed</v>
      </c>
    </row>
    <row r="460" spans="4:32">
      <c r="D460" s="4" t="s">
        <v>1127</v>
      </c>
      <c r="E460" s="5" t="s">
        <v>346</v>
      </c>
      <c r="F460" s="5" t="s">
        <v>250</v>
      </c>
      <c r="G460" s="5" t="s">
        <v>125</v>
      </c>
      <c r="H460" s="5" t="s">
        <v>539</v>
      </c>
      <c r="I460" s="5" t="s">
        <v>348</v>
      </c>
      <c r="J460" s="5" t="s">
        <v>269</v>
      </c>
      <c r="K460" s="6">
        <v>34586</v>
      </c>
      <c r="L460" s="5" t="s">
        <v>286</v>
      </c>
      <c r="M460" s="5" t="s">
        <v>287</v>
      </c>
      <c r="N460" s="5" t="s">
        <v>15</v>
      </c>
      <c r="O460" s="5" t="s">
        <v>253</v>
      </c>
      <c r="P460" s="5">
        <v>17</v>
      </c>
      <c r="Q460" s="5">
        <v>2200</v>
      </c>
      <c r="R460" s="5">
        <v>15</v>
      </c>
      <c r="S460" s="5">
        <v>31790</v>
      </c>
      <c r="T460" s="5">
        <v>3</v>
      </c>
      <c r="U460" s="5" t="s">
        <v>277</v>
      </c>
      <c r="V460" s="5" t="s">
        <v>312</v>
      </c>
      <c r="W460" s="5" t="s">
        <v>350</v>
      </c>
      <c r="X460" s="5">
        <v>9270746961</v>
      </c>
      <c r="Y460" s="8" t="s">
        <v>248</v>
      </c>
      <c r="Z460" t="str">
        <f t="shared" si="50"/>
        <v/>
      </c>
      <c r="AA460" t="str">
        <f t="shared" si="51"/>
        <v>Vikas Mehta</v>
      </c>
      <c r="AB460" t="str">
        <f t="shared" si="52"/>
        <v>Vik005Mu</v>
      </c>
      <c r="AC460" t="str">
        <f t="shared" si="55"/>
        <v>vikas.mehta@company.com</v>
      </c>
      <c r="AD460">
        <f t="shared" ca="1" si="56"/>
        <v>51</v>
      </c>
      <c r="AE460">
        <f t="shared" si="53"/>
        <v>8</v>
      </c>
      <c r="AF460" t="str">
        <f t="shared" si="54"/>
        <v>Delayed</v>
      </c>
    </row>
    <row r="461" spans="4:32">
      <c r="D461" s="9" t="s">
        <v>1128</v>
      </c>
      <c r="E461" s="10" t="s">
        <v>392</v>
      </c>
      <c r="F461" s="10" t="s">
        <v>330</v>
      </c>
      <c r="G461" s="10" t="s">
        <v>171</v>
      </c>
      <c r="H461" s="11">
        <v>45820</v>
      </c>
      <c r="I461" s="10" t="s">
        <v>323</v>
      </c>
      <c r="J461" s="10" t="s">
        <v>269</v>
      </c>
      <c r="K461" s="11">
        <v>33795</v>
      </c>
      <c r="L461" s="10" t="s">
        <v>241</v>
      </c>
      <c r="M461" s="10" t="s">
        <v>242</v>
      </c>
      <c r="N461" s="10" t="s">
        <v>243</v>
      </c>
      <c r="O461" s="10" t="s">
        <v>333</v>
      </c>
      <c r="P461" s="10">
        <v>17</v>
      </c>
      <c r="Q461" s="10">
        <v>700</v>
      </c>
      <c r="R461" s="10">
        <v>10</v>
      </c>
      <c r="S461" s="10">
        <v>10710</v>
      </c>
      <c r="T461" s="10">
        <v>2</v>
      </c>
      <c r="U461" s="10" t="s">
        <v>254</v>
      </c>
      <c r="V461" s="10" t="s">
        <v>246</v>
      </c>
      <c r="W461" s="10" t="s">
        <v>395</v>
      </c>
      <c r="X461" s="10">
        <v>9333162025</v>
      </c>
      <c r="Y461" s="12" t="s">
        <v>248</v>
      </c>
      <c r="Z461" t="str">
        <f t="shared" si="50"/>
        <v>Blacklisted</v>
      </c>
      <c r="AA461" t="str">
        <f t="shared" si="51"/>
        <v>Amit Sharma</v>
      </c>
      <c r="AB461" t="str">
        <f t="shared" si="52"/>
        <v>Ami001Be</v>
      </c>
      <c r="AC461" t="str">
        <f t="shared" si="55"/>
        <v>amit.sharma@company.com</v>
      </c>
      <c r="AD461">
        <f t="shared" ca="1" si="56"/>
        <v>32</v>
      </c>
      <c r="AE461" t="str">
        <f t="shared" si="53"/>
        <v/>
      </c>
      <c r="AF461" t="str">
        <f t="shared" si="54"/>
        <v>Delayed</v>
      </c>
    </row>
    <row r="462" spans="4:32">
      <c r="D462" s="4" t="s">
        <v>1129</v>
      </c>
      <c r="E462" s="5" t="s">
        <v>392</v>
      </c>
      <c r="F462" s="5" t="s">
        <v>236</v>
      </c>
      <c r="G462" s="5" t="s">
        <v>187</v>
      </c>
      <c r="H462" s="6">
        <v>45663</v>
      </c>
      <c r="I462" s="5" t="s">
        <v>323</v>
      </c>
      <c r="J462" s="5" t="s">
        <v>269</v>
      </c>
      <c r="K462" s="5" t="s">
        <v>1130</v>
      </c>
      <c r="L462" s="5" t="s">
        <v>260</v>
      </c>
      <c r="M462" s="5" t="s">
        <v>261</v>
      </c>
      <c r="N462" s="5" t="s">
        <v>243</v>
      </c>
      <c r="O462" s="5" t="s">
        <v>244</v>
      </c>
      <c r="P462" s="5">
        <v>19</v>
      </c>
      <c r="Q462" s="5">
        <v>55000</v>
      </c>
      <c r="R462" s="5">
        <v>20</v>
      </c>
      <c r="S462" s="5">
        <v>836000</v>
      </c>
      <c r="T462" s="5">
        <v>5</v>
      </c>
      <c r="U462" s="5" t="s">
        <v>245</v>
      </c>
      <c r="V462" s="5" t="s">
        <v>246</v>
      </c>
      <c r="W462" s="5" t="s">
        <v>395</v>
      </c>
      <c r="X462" s="5">
        <v>9247023285</v>
      </c>
      <c r="Y462" s="8" t="s">
        <v>257</v>
      </c>
      <c r="Z462" t="str">
        <f t="shared" si="50"/>
        <v>Gold</v>
      </c>
      <c r="AA462" t="str">
        <f t="shared" si="51"/>
        <v>Amit Sharma</v>
      </c>
      <c r="AB462" t="str">
        <f t="shared" si="52"/>
        <v>Ami001De</v>
      </c>
      <c r="AC462" t="str">
        <f t="shared" si="55"/>
        <v>amit.sharma@company.com</v>
      </c>
      <c r="AD462">
        <f t="shared" ca="1" si="56"/>
        <v>34</v>
      </c>
      <c r="AE462" t="str">
        <f t="shared" si="53"/>
        <v/>
      </c>
      <c r="AF462" t="str">
        <f t="shared" si="54"/>
        <v>Delayed</v>
      </c>
    </row>
    <row r="463" spans="4:32">
      <c r="D463" s="9" t="s">
        <v>1131</v>
      </c>
      <c r="E463" s="10" t="s">
        <v>299</v>
      </c>
      <c r="F463" s="10" t="s">
        <v>294</v>
      </c>
      <c r="G463" s="11">
        <v>46000</v>
      </c>
      <c r="H463" s="10" t="s">
        <v>83</v>
      </c>
      <c r="I463" s="10" t="s">
        <v>301</v>
      </c>
      <c r="J463" s="10" t="s">
        <v>269</v>
      </c>
      <c r="K463" s="11">
        <v>36952</v>
      </c>
      <c r="L463" s="10" t="s">
        <v>260</v>
      </c>
      <c r="M463" s="10" t="s">
        <v>261</v>
      </c>
      <c r="N463" s="10" t="s">
        <v>295</v>
      </c>
      <c r="O463" s="10" t="s">
        <v>296</v>
      </c>
      <c r="P463" s="10">
        <v>1</v>
      </c>
      <c r="Q463" s="10">
        <v>60</v>
      </c>
      <c r="R463" s="10">
        <v>10</v>
      </c>
      <c r="S463" s="10">
        <v>54</v>
      </c>
      <c r="T463" s="10">
        <v>4</v>
      </c>
      <c r="U463" s="15" t="s">
        <v>245</v>
      </c>
      <c r="V463" s="10"/>
      <c r="W463" s="13" t="s">
        <v>1132</v>
      </c>
      <c r="X463" s="10">
        <v>9448658297</v>
      </c>
      <c r="Y463" s="12" t="s">
        <v>265</v>
      </c>
      <c r="Z463" t="str">
        <f t="shared" si="50"/>
        <v>Blacklisted</v>
      </c>
      <c r="AA463" t="str">
        <f t="shared" si="51"/>
        <v>Rohit Singh</v>
      </c>
      <c r="AB463" t="str">
        <f t="shared" si="52"/>
        <v>Roh003De</v>
      </c>
      <c r="AC463" t="str">
        <f t="shared" si="55"/>
        <v>rohit.singh@company.com</v>
      </c>
      <c r="AD463" t="str">
        <f t="shared" ca="1" si="56"/>
        <v/>
      </c>
      <c r="AE463" t="str">
        <f t="shared" si="53"/>
        <v/>
      </c>
      <c r="AF463" t="str">
        <f t="shared" si="54"/>
        <v>Delayed</v>
      </c>
    </row>
    <row r="464" spans="4:32">
      <c r="D464" s="4" t="s">
        <v>1133</v>
      </c>
      <c r="E464" s="5" t="s">
        <v>266</v>
      </c>
      <c r="F464" s="5" t="s">
        <v>280</v>
      </c>
      <c r="G464" s="6">
        <v>46115</v>
      </c>
      <c r="H464" s="6">
        <v>46329</v>
      </c>
      <c r="I464" s="5" t="s">
        <v>268</v>
      </c>
      <c r="J464" s="5" t="s">
        <v>269</v>
      </c>
      <c r="K464" s="5" t="s">
        <v>1134</v>
      </c>
      <c r="L464" s="5" t="s">
        <v>252</v>
      </c>
      <c r="M464" s="5" t="s">
        <v>242</v>
      </c>
      <c r="N464" s="5" t="s">
        <v>15</v>
      </c>
      <c r="O464" s="5" t="s">
        <v>282</v>
      </c>
      <c r="P464" s="5">
        <v>16</v>
      </c>
      <c r="Q464" s="5">
        <v>3500</v>
      </c>
      <c r="R464" s="5">
        <v>0</v>
      </c>
      <c r="S464" s="5">
        <v>56000</v>
      </c>
      <c r="T464" s="5">
        <v>4</v>
      </c>
      <c r="U464" s="5" t="s">
        <v>245</v>
      </c>
      <c r="V464" s="5" t="s">
        <v>255</v>
      </c>
      <c r="W464" s="5" t="s">
        <v>273</v>
      </c>
      <c r="X464" s="5">
        <v>9906748486</v>
      </c>
      <c r="Y464" s="8" t="s">
        <v>248</v>
      </c>
      <c r="Z464" t="str">
        <f t="shared" si="50"/>
        <v/>
      </c>
      <c r="AA464" t="str">
        <f t="shared" si="51"/>
        <v>Mohit Verma</v>
      </c>
      <c r="AB464" t="str">
        <f t="shared" si="52"/>
        <v>Moh009Hy</v>
      </c>
      <c r="AC464" t="str">
        <f t="shared" si="55"/>
        <v>mohit.verma@company.com</v>
      </c>
      <c r="AD464">
        <f t="shared" ca="1" si="56"/>
        <v>25</v>
      </c>
      <c r="AE464" t="str">
        <f t="shared" si="53"/>
        <v/>
      </c>
      <c r="AF464" t="str">
        <f t="shared" si="54"/>
        <v>Delayed</v>
      </c>
    </row>
    <row r="465" spans="4:32">
      <c r="D465" s="9" t="s">
        <v>1135</v>
      </c>
      <c r="E465" s="10" t="s">
        <v>299</v>
      </c>
      <c r="F465" s="10" t="s">
        <v>347</v>
      </c>
      <c r="G465" s="10" t="s">
        <v>128</v>
      </c>
      <c r="H465" s="11">
        <v>45779</v>
      </c>
      <c r="I465" s="10" t="s">
        <v>301</v>
      </c>
      <c r="J465" s="10" t="s">
        <v>269</v>
      </c>
      <c r="K465" s="10" t="s">
        <v>810</v>
      </c>
      <c r="L465" s="10" t="s">
        <v>291</v>
      </c>
      <c r="M465" s="10" t="s">
        <v>287</v>
      </c>
      <c r="N465" s="10" t="s">
        <v>295</v>
      </c>
      <c r="O465" s="10" t="s">
        <v>349</v>
      </c>
      <c r="P465" s="10">
        <v>14</v>
      </c>
      <c r="Q465" s="10">
        <v>20</v>
      </c>
      <c r="R465" s="10">
        <v>10</v>
      </c>
      <c r="S465" s="10">
        <v>252</v>
      </c>
      <c r="T465" s="10">
        <v>1</v>
      </c>
      <c r="U465" s="10" t="s">
        <v>245</v>
      </c>
      <c r="V465" s="10" t="s">
        <v>246</v>
      </c>
      <c r="W465" s="10" t="s">
        <v>302</v>
      </c>
      <c r="X465" s="10">
        <v>9365182725</v>
      </c>
      <c r="Y465" s="12" t="s">
        <v>248</v>
      </c>
      <c r="Z465" t="str">
        <f t="shared" si="50"/>
        <v>Blacklisted</v>
      </c>
      <c r="AA465" t="str">
        <f t="shared" si="51"/>
        <v>Rohit Singh</v>
      </c>
      <c r="AB465" t="str">
        <f t="shared" si="52"/>
        <v>Roh003Pu</v>
      </c>
      <c r="AC465" t="str">
        <f t="shared" si="55"/>
        <v>rohit.singh@company.com</v>
      </c>
      <c r="AD465" t="str">
        <f t="shared" ca="1" si="56"/>
        <v/>
      </c>
      <c r="AE465" t="str">
        <f t="shared" si="53"/>
        <v/>
      </c>
      <c r="AF465" t="str">
        <f t="shared" si="54"/>
        <v>Delayed</v>
      </c>
    </row>
    <row r="466" spans="4:32">
      <c r="D466" s="4" t="s">
        <v>1136</v>
      </c>
      <c r="E466" s="5" t="s">
        <v>266</v>
      </c>
      <c r="F466" s="5" t="s">
        <v>250</v>
      </c>
      <c r="G466" s="5" t="s">
        <v>22</v>
      </c>
      <c r="H466" s="5" t="s">
        <v>30</v>
      </c>
      <c r="I466" s="5" t="s">
        <v>268</v>
      </c>
      <c r="J466" s="5" t="s">
        <v>269</v>
      </c>
      <c r="K466" s="5" t="s">
        <v>1137</v>
      </c>
      <c r="L466" s="5" t="s">
        <v>241</v>
      </c>
      <c r="M466" s="5" t="s">
        <v>242</v>
      </c>
      <c r="N466" s="5" t="s">
        <v>15</v>
      </c>
      <c r="O466" s="5" t="s">
        <v>253</v>
      </c>
      <c r="P466" s="5">
        <v>11</v>
      </c>
      <c r="Q466" s="5">
        <v>2200</v>
      </c>
      <c r="R466" s="5">
        <v>15</v>
      </c>
      <c r="S466" s="5">
        <v>20570</v>
      </c>
      <c r="T466" s="5">
        <v>4</v>
      </c>
      <c r="U466" s="5" t="s">
        <v>245</v>
      </c>
      <c r="V466" s="5" t="s">
        <v>263</v>
      </c>
      <c r="W466" s="5" t="s">
        <v>273</v>
      </c>
      <c r="X466" s="5">
        <v>9937119494</v>
      </c>
      <c r="Y466" s="8" t="s">
        <v>265</v>
      </c>
      <c r="Z466" t="str">
        <f t="shared" si="50"/>
        <v>Blacklisted</v>
      </c>
      <c r="AA466" t="str">
        <f t="shared" si="51"/>
        <v>Mohit Verma</v>
      </c>
      <c r="AB466" t="str">
        <f t="shared" si="52"/>
        <v>Moh009Be</v>
      </c>
      <c r="AC466" t="str">
        <f t="shared" si="55"/>
        <v>mohit.verma@company.com</v>
      </c>
      <c r="AD466" t="str">
        <f t="shared" ca="1" si="56"/>
        <v/>
      </c>
      <c r="AE466">
        <f t="shared" si="53"/>
        <v>1</v>
      </c>
      <c r="AF466" t="str">
        <f t="shared" si="54"/>
        <v>On time</v>
      </c>
    </row>
    <row r="467" spans="4:32">
      <c r="D467" s="9" t="s">
        <v>1138</v>
      </c>
      <c r="E467" s="10" t="s">
        <v>275</v>
      </c>
      <c r="F467" s="10" t="s">
        <v>236</v>
      </c>
      <c r="G467" s="11">
        <v>45665</v>
      </c>
      <c r="H467" s="11">
        <v>45908</v>
      </c>
      <c r="I467" s="10" t="s">
        <v>328</v>
      </c>
      <c r="J467" s="10" t="s">
        <v>269</v>
      </c>
      <c r="K467" s="10" t="s">
        <v>1139</v>
      </c>
      <c r="L467" s="10" t="s">
        <v>342</v>
      </c>
      <c r="M467" s="10" t="s">
        <v>261</v>
      </c>
      <c r="N467" s="10" t="s">
        <v>243</v>
      </c>
      <c r="O467" s="10" t="s">
        <v>244</v>
      </c>
      <c r="P467" s="10">
        <v>2</v>
      </c>
      <c r="Q467" s="10">
        <v>55000</v>
      </c>
      <c r="R467" s="10">
        <v>0</v>
      </c>
      <c r="S467" s="10">
        <v>110000</v>
      </c>
      <c r="T467" s="10">
        <v>4</v>
      </c>
      <c r="U467" s="10" t="s">
        <v>245</v>
      </c>
      <c r="V467" s="10" t="s">
        <v>263</v>
      </c>
      <c r="W467" s="10" t="s">
        <v>278</v>
      </c>
      <c r="X467" s="10">
        <v>9828015293</v>
      </c>
      <c r="Y467" s="12" t="s">
        <v>265</v>
      </c>
      <c r="Z467" t="str">
        <f t="shared" si="50"/>
        <v>Blacklisted</v>
      </c>
      <c r="AA467" t="str">
        <f t="shared" si="51"/>
        <v>Arjun Rao</v>
      </c>
      <c r="AB467" t="str">
        <f t="shared" si="52"/>
        <v>Arj007Ja</v>
      </c>
      <c r="AC467" t="str">
        <f t="shared" si="55"/>
        <v>arjun.rao@company.com</v>
      </c>
      <c r="AD467" t="str">
        <f t="shared" ca="1" si="56"/>
        <v/>
      </c>
      <c r="AE467" t="str">
        <f t="shared" si="53"/>
        <v/>
      </c>
      <c r="AF467" t="str">
        <f t="shared" si="54"/>
        <v>Delayed</v>
      </c>
    </row>
    <row r="468" spans="4:32">
      <c r="D468" s="4" t="s">
        <v>1140</v>
      </c>
      <c r="E468" s="5" t="s">
        <v>235</v>
      </c>
      <c r="F468" s="5" t="s">
        <v>250</v>
      </c>
      <c r="G468" s="6">
        <v>45658</v>
      </c>
      <c r="H468" s="6">
        <v>45839</v>
      </c>
      <c r="I468" s="5" t="s">
        <v>318</v>
      </c>
      <c r="J468" s="5" t="s">
        <v>239</v>
      </c>
      <c r="K468" s="6">
        <v>32357</v>
      </c>
      <c r="L468" s="5" t="s">
        <v>291</v>
      </c>
      <c r="M468" s="5" t="s">
        <v>287</v>
      </c>
      <c r="N468" s="5" t="s">
        <v>15</v>
      </c>
      <c r="O468" s="5" t="s">
        <v>253</v>
      </c>
      <c r="P468" s="5">
        <v>7</v>
      </c>
      <c r="Q468" s="5">
        <v>2200</v>
      </c>
      <c r="R468" s="5">
        <v>5</v>
      </c>
      <c r="S468" s="5">
        <v>14630</v>
      </c>
      <c r="T468" s="5">
        <v>4</v>
      </c>
      <c r="U468" s="5" t="s">
        <v>272</v>
      </c>
      <c r="V468" s="5" t="s">
        <v>292</v>
      </c>
      <c r="W468" s="5" t="s">
        <v>247</v>
      </c>
      <c r="X468" s="5">
        <v>9864206250</v>
      </c>
      <c r="Y468" s="8" t="s">
        <v>265</v>
      </c>
      <c r="Z468" t="str">
        <f t="shared" si="50"/>
        <v>Blacklisted</v>
      </c>
      <c r="AA468" t="str">
        <f t="shared" si="51"/>
        <v>Pooja Shah</v>
      </c>
      <c r="AB468" t="str">
        <f t="shared" si="52"/>
        <v>Poo010Pu</v>
      </c>
      <c r="AC468" t="str">
        <f t="shared" si="55"/>
        <v>pooja.shah@company.com</v>
      </c>
      <c r="AD468" t="str">
        <f t="shared" ca="1" si="56"/>
        <v/>
      </c>
      <c r="AE468" t="str">
        <f t="shared" si="53"/>
        <v/>
      </c>
      <c r="AF468" t="str">
        <f t="shared" si="54"/>
        <v>Delayed</v>
      </c>
    </row>
    <row r="469" spans="4:32">
      <c r="D469" s="9" t="s">
        <v>1141</v>
      </c>
      <c r="E469" s="10" t="s">
        <v>249</v>
      </c>
      <c r="F469" s="10" t="s">
        <v>362</v>
      </c>
      <c r="G469" s="11">
        <v>45873</v>
      </c>
      <c r="H469" s="11">
        <v>45995</v>
      </c>
      <c r="I469" s="10" t="s">
        <v>251</v>
      </c>
      <c r="J469" s="10" t="s">
        <v>239</v>
      </c>
      <c r="K469" s="10" t="s">
        <v>1142</v>
      </c>
      <c r="L469" s="10" t="s">
        <v>306</v>
      </c>
      <c r="M469" s="10" t="s">
        <v>287</v>
      </c>
      <c r="N469" s="10" t="s">
        <v>295</v>
      </c>
      <c r="O469" s="10" t="s">
        <v>363</v>
      </c>
      <c r="P469" s="10">
        <v>11</v>
      </c>
      <c r="Q469" s="10">
        <v>45</v>
      </c>
      <c r="R469" s="10">
        <v>15</v>
      </c>
      <c r="S469" s="10">
        <v>420.75</v>
      </c>
      <c r="T469" s="10">
        <v>4</v>
      </c>
      <c r="U469" s="10" t="s">
        <v>272</v>
      </c>
      <c r="V469" s="10" t="s">
        <v>246</v>
      </c>
      <c r="W469" s="10" t="s">
        <v>264</v>
      </c>
      <c r="X469" s="10">
        <v>9519293104</v>
      </c>
      <c r="Y469" s="12" t="s">
        <v>248</v>
      </c>
      <c r="Z469" t="str">
        <f t="shared" si="50"/>
        <v/>
      </c>
      <c r="AA469" t="str">
        <f t="shared" si="51"/>
        <v>Kavya Nair</v>
      </c>
      <c r="AB469" t="str">
        <f t="shared" si="52"/>
        <v>Kav008Ah</v>
      </c>
      <c r="AC469" t="str">
        <f t="shared" si="55"/>
        <v>kavya.nair@company.com</v>
      </c>
      <c r="AD469">
        <f t="shared" ca="1" si="56"/>
        <v>38</v>
      </c>
      <c r="AE469" t="str">
        <f t="shared" si="53"/>
        <v/>
      </c>
      <c r="AF469" t="str">
        <f t="shared" si="54"/>
        <v>Delayed</v>
      </c>
    </row>
    <row r="470" spans="4:32">
      <c r="D470" s="4" t="s">
        <v>1143</v>
      </c>
      <c r="E470" s="5" t="s">
        <v>284</v>
      </c>
      <c r="F470" s="5" t="s">
        <v>294</v>
      </c>
      <c r="G470" s="5" t="s">
        <v>89</v>
      </c>
      <c r="H470" s="5" t="s">
        <v>196</v>
      </c>
      <c r="I470" s="5" t="s">
        <v>285</v>
      </c>
      <c r="J470" s="5" t="s">
        <v>239</v>
      </c>
      <c r="K470" s="5" t="s">
        <v>1144</v>
      </c>
      <c r="L470" s="5" t="s">
        <v>286</v>
      </c>
      <c r="M470" s="5" t="s">
        <v>287</v>
      </c>
      <c r="N470" s="5" t="s">
        <v>295</v>
      </c>
      <c r="O470" s="5" t="s">
        <v>296</v>
      </c>
      <c r="P470" s="5">
        <v>16</v>
      </c>
      <c r="Q470" s="5">
        <v>60</v>
      </c>
      <c r="R470" s="5">
        <v>5</v>
      </c>
      <c r="S470" s="5">
        <v>912</v>
      </c>
      <c r="T470" s="5">
        <v>2</v>
      </c>
      <c r="U470" s="5" t="s">
        <v>254</v>
      </c>
      <c r="V470" s="5" t="s">
        <v>292</v>
      </c>
      <c r="W470" s="5" t="s">
        <v>308</v>
      </c>
      <c r="X470" s="5">
        <v>9296075245</v>
      </c>
      <c r="Y470" s="8" t="s">
        <v>265</v>
      </c>
      <c r="Z470" t="str">
        <f t="shared" si="50"/>
        <v>Blacklisted</v>
      </c>
      <c r="AA470" t="str">
        <f t="shared" si="51"/>
        <v>Priya Patel</v>
      </c>
      <c r="AB470" t="str">
        <f t="shared" si="52"/>
        <v>Pri002Mu</v>
      </c>
      <c r="AC470" t="str">
        <f t="shared" si="55"/>
        <v>priya.patel@company.com</v>
      </c>
      <c r="AD470" t="str">
        <f t="shared" ca="1" si="56"/>
        <v/>
      </c>
      <c r="AE470">
        <f t="shared" si="53"/>
        <v>10</v>
      </c>
      <c r="AF470" t="str">
        <f t="shared" si="54"/>
        <v>Delayed</v>
      </c>
    </row>
    <row r="471" spans="4:32">
      <c r="D471" s="9" t="s">
        <v>1145</v>
      </c>
      <c r="E471" s="10" t="s">
        <v>392</v>
      </c>
      <c r="F471" s="10" t="s">
        <v>236</v>
      </c>
      <c r="G471" s="11">
        <v>45699</v>
      </c>
      <c r="H471" s="11">
        <v>45758</v>
      </c>
      <c r="I471" s="10" t="s">
        <v>323</v>
      </c>
      <c r="J471" s="10" t="s">
        <v>269</v>
      </c>
      <c r="K471" s="10" t="s">
        <v>1146</v>
      </c>
      <c r="L471" s="10" t="s">
        <v>291</v>
      </c>
      <c r="M471" s="10" t="s">
        <v>287</v>
      </c>
      <c r="N471" s="10" t="s">
        <v>243</v>
      </c>
      <c r="O471" s="10" t="s">
        <v>244</v>
      </c>
      <c r="P471" s="10">
        <v>18</v>
      </c>
      <c r="Q471" s="10">
        <v>55000</v>
      </c>
      <c r="R471" s="10">
        <v>0</v>
      </c>
      <c r="S471" s="10">
        <v>990000</v>
      </c>
      <c r="T471" s="10">
        <v>5</v>
      </c>
      <c r="U471" s="10" t="s">
        <v>245</v>
      </c>
      <c r="V471" s="10" t="s">
        <v>263</v>
      </c>
      <c r="W471" s="10" t="s">
        <v>395</v>
      </c>
      <c r="X471" s="10">
        <v>9316770206</v>
      </c>
      <c r="Y471" s="12" t="s">
        <v>248</v>
      </c>
      <c r="Z471" t="str">
        <f t="shared" si="50"/>
        <v/>
      </c>
      <c r="AA471" t="str">
        <f t="shared" si="51"/>
        <v>Amit Sharma</v>
      </c>
      <c r="AB471" t="str">
        <f t="shared" si="52"/>
        <v>Ami001Pu</v>
      </c>
      <c r="AC471" t="str">
        <f t="shared" si="55"/>
        <v>amit.sharma@company.com</v>
      </c>
      <c r="AD471" t="str">
        <f t="shared" ca="1" si="56"/>
        <v/>
      </c>
      <c r="AE471" t="str">
        <f t="shared" si="53"/>
        <v/>
      </c>
      <c r="AF471" t="str">
        <f t="shared" si="54"/>
        <v>Delayed</v>
      </c>
    </row>
    <row r="472" spans="4:32">
      <c r="D472" s="4" t="s">
        <v>1147</v>
      </c>
      <c r="E472" s="5" t="s">
        <v>249</v>
      </c>
      <c r="F472" s="5" t="s">
        <v>267</v>
      </c>
      <c r="G472" s="5" t="s">
        <v>71</v>
      </c>
      <c r="H472" s="5" t="s">
        <v>116</v>
      </c>
      <c r="I472" s="5" t="s">
        <v>251</v>
      </c>
      <c r="J472" s="5" t="s">
        <v>239</v>
      </c>
      <c r="K472" s="5" t="s">
        <v>1148</v>
      </c>
      <c r="L472" s="5" t="s">
        <v>241</v>
      </c>
      <c r="M472" s="5" t="s">
        <v>242</v>
      </c>
      <c r="N472" s="5" t="s">
        <v>243</v>
      </c>
      <c r="O472" s="5" t="s">
        <v>271</v>
      </c>
      <c r="P472" s="5">
        <v>17</v>
      </c>
      <c r="Q472" s="5">
        <v>1200</v>
      </c>
      <c r="R472" s="5">
        <v>5</v>
      </c>
      <c r="S472" s="5">
        <v>19380</v>
      </c>
      <c r="T472" s="5">
        <v>1</v>
      </c>
      <c r="U472" s="5" t="s">
        <v>245</v>
      </c>
      <c r="V472" s="5" t="s">
        <v>255</v>
      </c>
      <c r="W472" s="5" t="s">
        <v>264</v>
      </c>
      <c r="X472" s="5">
        <v>9706553861</v>
      </c>
      <c r="Y472" s="8" t="s">
        <v>248</v>
      </c>
      <c r="Z472" t="str">
        <f t="shared" si="50"/>
        <v>Blacklisted</v>
      </c>
      <c r="AA472" t="str">
        <f t="shared" si="51"/>
        <v>Kavya Nair</v>
      </c>
      <c r="AB472" t="str">
        <f t="shared" si="52"/>
        <v>Kav008Be</v>
      </c>
      <c r="AC472" t="str">
        <f t="shared" si="55"/>
        <v>kavya.nair@company.com</v>
      </c>
      <c r="AD472" t="str">
        <f t="shared" ca="1" si="56"/>
        <v/>
      </c>
      <c r="AE472">
        <f t="shared" si="53"/>
        <v>4</v>
      </c>
      <c r="AF472" t="str">
        <f t="shared" si="54"/>
        <v>On time</v>
      </c>
    </row>
    <row r="473" spans="4:32">
      <c r="D473" s="9" t="s">
        <v>1149</v>
      </c>
      <c r="E473" s="10" t="s">
        <v>235</v>
      </c>
      <c r="F473" s="10" t="s">
        <v>236</v>
      </c>
      <c r="G473" s="10" t="s">
        <v>165</v>
      </c>
      <c r="H473" s="11">
        <v>45782</v>
      </c>
      <c r="I473" s="10" t="s">
        <v>318</v>
      </c>
      <c r="J473" s="10" t="s">
        <v>239</v>
      </c>
      <c r="K473" s="11">
        <v>36924</v>
      </c>
      <c r="L473" s="10" t="s">
        <v>291</v>
      </c>
      <c r="M473" s="10" t="s">
        <v>287</v>
      </c>
      <c r="N473" s="10" t="s">
        <v>243</v>
      </c>
      <c r="O473" s="10" t="s">
        <v>244</v>
      </c>
      <c r="P473" s="10">
        <v>11</v>
      </c>
      <c r="Q473" s="10">
        <v>55000</v>
      </c>
      <c r="R473" s="10">
        <v>0</v>
      </c>
      <c r="S473" s="10">
        <v>605000</v>
      </c>
      <c r="T473" s="10">
        <v>2</v>
      </c>
      <c r="U473" s="10" t="s">
        <v>254</v>
      </c>
      <c r="V473" s="10" t="s">
        <v>246</v>
      </c>
      <c r="W473" s="10" t="s">
        <v>247</v>
      </c>
      <c r="X473" s="10">
        <v>9524904662</v>
      </c>
      <c r="Y473" s="12" t="s">
        <v>248</v>
      </c>
      <c r="Z473" t="str">
        <f t="shared" si="50"/>
        <v>Blacklisted</v>
      </c>
      <c r="AA473" t="str">
        <f t="shared" si="51"/>
        <v>Pooja Shah</v>
      </c>
      <c r="AB473" t="str">
        <f t="shared" si="52"/>
        <v>Poo010Pu</v>
      </c>
      <c r="AC473" t="str">
        <f t="shared" si="55"/>
        <v>pooja.shah@company.com</v>
      </c>
      <c r="AD473" t="str">
        <f t="shared" ca="1" si="56"/>
        <v/>
      </c>
      <c r="AE473" t="str">
        <f t="shared" si="53"/>
        <v/>
      </c>
      <c r="AF473" t="str">
        <f t="shared" si="54"/>
        <v>Delayed</v>
      </c>
    </row>
    <row r="474" spans="4:32">
      <c r="D474" s="4" t="s">
        <v>1150</v>
      </c>
      <c r="E474" s="5" t="s">
        <v>358</v>
      </c>
      <c r="F474" s="5" t="s">
        <v>330</v>
      </c>
      <c r="G474" s="5" t="s">
        <v>112</v>
      </c>
      <c r="H474" s="5" t="s">
        <v>204</v>
      </c>
      <c r="I474" s="5" t="s">
        <v>359</v>
      </c>
      <c r="J474" s="5" t="s">
        <v>239</v>
      </c>
      <c r="K474" s="6">
        <v>36405</v>
      </c>
      <c r="L474" s="5" t="s">
        <v>260</v>
      </c>
      <c r="M474" s="5" t="s">
        <v>261</v>
      </c>
      <c r="N474" s="5" t="s">
        <v>243</v>
      </c>
      <c r="O474" s="5" t="s">
        <v>333</v>
      </c>
      <c r="P474" s="5">
        <v>20</v>
      </c>
      <c r="Q474" s="5">
        <v>700</v>
      </c>
      <c r="R474" s="5">
        <v>20</v>
      </c>
      <c r="S474" s="5">
        <v>11200</v>
      </c>
      <c r="T474" s="5">
        <v>5</v>
      </c>
      <c r="U474" s="5" t="s">
        <v>245</v>
      </c>
      <c r="V474" s="5" t="s">
        <v>246</v>
      </c>
      <c r="W474" s="5" t="s">
        <v>360</v>
      </c>
      <c r="X474" s="5">
        <v>9577624596</v>
      </c>
      <c r="Y474" s="8" t="s">
        <v>257</v>
      </c>
      <c r="Z474" t="str">
        <f t="shared" si="50"/>
        <v>Silver</v>
      </c>
      <c r="AA474" t="str">
        <f t="shared" si="51"/>
        <v>Sneha Joshi</v>
      </c>
      <c r="AB474" t="str">
        <f t="shared" si="52"/>
        <v>Sne006De</v>
      </c>
      <c r="AC474" t="str">
        <f t="shared" si="55"/>
        <v>sneha.joshi@company.com</v>
      </c>
      <c r="AD474">
        <f t="shared" ca="1" si="56"/>
        <v>25</v>
      </c>
      <c r="AE474">
        <f t="shared" si="53"/>
        <v>9</v>
      </c>
      <c r="AF474" t="str">
        <f t="shared" si="54"/>
        <v>Delayed</v>
      </c>
    </row>
    <row r="475" spans="4:32">
      <c r="D475" s="9" t="s">
        <v>1151</v>
      </c>
      <c r="E475" s="10" t="s">
        <v>266</v>
      </c>
      <c r="F475" s="10" t="s">
        <v>347</v>
      </c>
      <c r="G475" s="10" t="s">
        <v>174</v>
      </c>
      <c r="H475" s="11">
        <v>46236</v>
      </c>
      <c r="I475" s="10" t="s">
        <v>268</v>
      </c>
      <c r="J475" s="10" t="s">
        <v>269</v>
      </c>
      <c r="K475" s="11">
        <v>32299</v>
      </c>
      <c r="L475" s="10" t="s">
        <v>260</v>
      </c>
      <c r="M475" s="10" t="s">
        <v>261</v>
      </c>
      <c r="N475" s="10" t="s">
        <v>295</v>
      </c>
      <c r="O475" s="10" t="s">
        <v>349</v>
      </c>
      <c r="P475" s="10">
        <v>5</v>
      </c>
      <c r="Q475" s="10">
        <v>20</v>
      </c>
      <c r="R475" s="10">
        <v>5</v>
      </c>
      <c r="S475" s="10">
        <v>95</v>
      </c>
      <c r="T475" s="10">
        <v>4</v>
      </c>
      <c r="U475" s="10" t="s">
        <v>254</v>
      </c>
      <c r="V475" s="10" t="s">
        <v>263</v>
      </c>
      <c r="W475" s="10" t="s">
        <v>273</v>
      </c>
      <c r="X475" s="10">
        <v>9898452436</v>
      </c>
      <c r="Y475" s="12" t="s">
        <v>265</v>
      </c>
      <c r="Z475" t="str">
        <f t="shared" si="50"/>
        <v>Blacklisted</v>
      </c>
      <c r="AA475" t="str">
        <f t="shared" si="51"/>
        <v>Mohit Verma</v>
      </c>
      <c r="AB475" t="str">
        <f t="shared" si="52"/>
        <v>Moh009De</v>
      </c>
      <c r="AC475" t="str">
        <f t="shared" si="55"/>
        <v>mohit.verma@company.com</v>
      </c>
      <c r="AD475">
        <f t="shared" ca="1" si="56"/>
        <v>27</v>
      </c>
      <c r="AE475" t="str">
        <f t="shared" si="53"/>
        <v/>
      </c>
      <c r="AF475" t="str">
        <f t="shared" si="54"/>
        <v>Delayed</v>
      </c>
    </row>
    <row r="476" spans="4:32">
      <c r="D476" s="4" t="s">
        <v>1152</v>
      </c>
      <c r="E476" s="5" t="s">
        <v>392</v>
      </c>
      <c r="F476" s="5" t="s">
        <v>236</v>
      </c>
      <c r="G476" s="6">
        <v>45749</v>
      </c>
      <c r="H476" s="6">
        <v>45963</v>
      </c>
      <c r="I476" s="5" t="s">
        <v>323</v>
      </c>
      <c r="J476" s="5" t="s">
        <v>269</v>
      </c>
      <c r="K476" s="6">
        <v>27730</v>
      </c>
      <c r="L476" s="5" t="s">
        <v>286</v>
      </c>
      <c r="M476" s="5" t="s">
        <v>287</v>
      </c>
      <c r="N476" s="5" t="s">
        <v>243</v>
      </c>
      <c r="O476" s="5" t="s">
        <v>244</v>
      </c>
      <c r="P476" s="5">
        <v>13</v>
      </c>
      <c r="Q476" s="5">
        <v>55000</v>
      </c>
      <c r="R476" s="5">
        <v>5</v>
      </c>
      <c r="S476" s="5">
        <v>679250</v>
      </c>
      <c r="T476" s="5">
        <v>1</v>
      </c>
      <c r="U476" s="5" t="s">
        <v>245</v>
      </c>
      <c r="V476" s="5" t="s">
        <v>263</v>
      </c>
      <c r="W476" s="5" t="s">
        <v>395</v>
      </c>
      <c r="X476" s="5">
        <v>9960757012</v>
      </c>
      <c r="Y476" s="8" t="s">
        <v>248</v>
      </c>
      <c r="Z476" t="str">
        <f t="shared" si="50"/>
        <v>Blacklisted</v>
      </c>
      <c r="AA476" t="str">
        <f t="shared" si="51"/>
        <v>Amit Sharma</v>
      </c>
      <c r="AB476" t="str">
        <f t="shared" si="52"/>
        <v>Ami001Mu</v>
      </c>
      <c r="AC476" t="str">
        <f t="shared" si="55"/>
        <v>amit.sharma@company.com</v>
      </c>
      <c r="AD476">
        <f t="shared" ca="1" si="56"/>
        <v>38</v>
      </c>
      <c r="AE476" t="str">
        <f t="shared" si="53"/>
        <v/>
      </c>
      <c r="AF476" t="str">
        <f t="shared" si="54"/>
        <v>Delayed</v>
      </c>
    </row>
    <row r="477" spans="4:32">
      <c r="D477" s="9" t="s">
        <v>1153</v>
      </c>
      <c r="E477" s="10" t="s">
        <v>299</v>
      </c>
      <c r="F477" s="10" t="s">
        <v>236</v>
      </c>
      <c r="G477" s="10" t="s">
        <v>77</v>
      </c>
      <c r="H477" s="10" t="s">
        <v>89</v>
      </c>
      <c r="I477" s="10" t="s">
        <v>301</v>
      </c>
      <c r="J477" s="10" t="s">
        <v>269</v>
      </c>
      <c r="K477" s="11">
        <v>37987</v>
      </c>
      <c r="L477" s="10" t="s">
        <v>379</v>
      </c>
      <c r="M477" s="10" t="s">
        <v>21</v>
      </c>
      <c r="N477" s="10" t="s">
        <v>243</v>
      </c>
      <c r="O477" s="10" t="s">
        <v>244</v>
      </c>
      <c r="P477" s="10">
        <v>12</v>
      </c>
      <c r="Q477" s="10">
        <v>55000</v>
      </c>
      <c r="R477" s="10">
        <v>5</v>
      </c>
      <c r="S477" s="10">
        <v>627000</v>
      </c>
      <c r="T477" s="10">
        <v>1</v>
      </c>
      <c r="U477" s="10" t="s">
        <v>245</v>
      </c>
      <c r="V477" s="10" t="s">
        <v>292</v>
      </c>
      <c r="W477" s="10" t="s">
        <v>302</v>
      </c>
      <c r="X477" s="10">
        <v>9331268182</v>
      </c>
      <c r="Y477" s="12" t="s">
        <v>265</v>
      </c>
      <c r="Z477" t="str">
        <f t="shared" si="50"/>
        <v>Blacklisted</v>
      </c>
      <c r="AA477" t="str">
        <f t="shared" si="51"/>
        <v>Rohit Singh</v>
      </c>
      <c r="AB477" t="str">
        <f t="shared" si="52"/>
        <v>Roh003Ko</v>
      </c>
      <c r="AC477" t="str">
        <f t="shared" si="55"/>
        <v>rohit.singh@company.com</v>
      </c>
      <c r="AD477">
        <f t="shared" ca="1" si="56"/>
        <v>50</v>
      </c>
      <c r="AE477">
        <f t="shared" si="53"/>
        <v>1</v>
      </c>
      <c r="AF477" t="str">
        <f t="shared" si="54"/>
        <v>On time</v>
      </c>
    </row>
    <row r="478" spans="4:32">
      <c r="D478" s="4" t="s">
        <v>1154</v>
      </c>
      <c r="E478" s="5" t="s">
        <v>235</v>
      </c>
      <c r="F478" s="5" t="s">
        <v>362</v>
      </c>
      <c r="G478" s="5" t="s">
        <v>96</v>
      </c>
      <c r="H478" s="5" t="s">
        <v>173</v>
      </c>
      <c r="I478" s="5" t="s">
        <v>318</v>
      </c>
      <c r="J478" s="5" t="s">
        <v>239</v>
      </c>
      <c r="K478" s="5" t="s">
        <v>1155</v>
      </c>
      <c r="L478" s="5" t="s">
        <v>286</v>
      </c>
      <c r="M478" s="5" t="s">
        <v>287</v>
      </c>
      <c r="N478" s="5" t="s">
        <v>295</v>
      </c>
      <c r="O478" s="5" t="s">
        <v>363</v>
      </c>
      <c r="P478" s="5">
        <v>16</v>
      </c>
      <c r="Q478" s="5">
        <v>45</v>
      </c>
      <c r="R478" s="5">
        <v>20</v>
      </c>
      <c r="S478" s="5">
        <v>576</v>
      </c>
      <c r="T478" s="5">
        <v>2</v>
      </c>
      <c r="U478" s="5" t="s">
        <v>254</v>
      </c>
      <c r="V478" s="5" t="s">
        <v>263</v>
      </c>
      <c r="W478" s="5" t="s">
        <v>247</v>
      </c>
      <c r="X478" s="5">
        <v>9135996862</v>
      </c>
      <c r="Y478" s="8" t="s">
        <v>248</v>
      </c>
      <c r="Z478" t="str">
        <f t="shared" si="50"/>
        <v>Blacklisted</v>
      </c>
      <c r="AA478" t="str">
        <f t="shared" si="51"/>
        <v>Pooja Shah</v>
      </c>
      <c r="AB478" t="str">
        <f t="shared" si="52"/>
        <v>Poo010Mu</v>
      </c>
      <c r="AC478" t="str">
        <f t="shared" si="55"/>
        <v>pooja.shah@company.com</v>
      </c>
      <c r="AD478">
        <f t="shared" ca="1" si="56"/>
        <v>22</v>
      </c>
      <c r="AE478">
        <f t="shared" si="53"/>
        <v>7</v>
      </c>
      <c r="AF478" t="str">
        <f t="shared" si="54"/>
        <v>Delayed</v>
      </c>
    </row>
    <row r="479" spans="4:32">
      <c r="D479" s="9" t="s">
        <v>1156</v>
      </c>
      <c r="E479" s="10" t="s">
        <v>249</v>
      </c>
      <c r="F479" s="10" t="s">
        <v>267</v>
      </c>
      <c r="G479" s="10" t="s">
        <v>70</v>
      </c>
      <c r="H479" s="10" t="s">
        <v>170</v>
      </c>
      <c r="I479" s="10" t="s">
        <v>251</v>
      </c>
      <c r="J479" s="10" t="s">
        <v>239</v>
      </c>
      <c r="K479" s="10" t="s">
        <v>1157</v>
      </c>
      <c r="L479" s="10" t="s">
        <v>241</v>
      </c>
      <c r="M479" s="10" t="s">
        <v>242</v>
      </c>
      <c r="N479" s="10" t="s">
        <v>243</v>
      </c>
      <c r="O479" s="10" t="s">
        <v>271</v>
      </c>
      <c r="P479" s="10">
        <v>5</v>
      </c>
      <c r="Q479" s="10">
        <v>1200</v>
      </c>
      <c r="R479" s="10">
        <v>10</v>
      </c>
      <c r="S479" s="10">
        <v>5400</v>
      </c>
      <c r="T479" s="10">
        <v>1</v>
      </c>
      <c r="U479" s="10" t="s">
        <v>254</v>
      </c>
      <c r="V479" s="10"/>
      <c r="W479" s="13" t="s">
        <v>1158</v>
      </c>
      <c r="X479" s="10">
        <v>9540813143</v>
      </c>
      <c r="Y479" s="12" t="s">
        <v>257</v>
      </c>
      <c r="Z479" t="str">
        <f t="shared" si="50"/>
        <v>Blacklisted</v>
      </c>
      <c r="AA479" t="str">
        <f t="shared" si="51"/>
        <v>Kavya Nair</v>
      </c>
      <c r="AB479" t="str">
        <f t="shared" si="52"/>
        <v>Kav008Be</v>
      </c>
      <c r="AC479" t="str">
        <f t="shared" si="55"/>
        <v>kavya.nair@company.com</v>
      </c>
      <c r="AD479" t="str">
        <f t="shared" ca="1" si="56"/>
        <v/>
      </c>
      <c r="AE479">
        <f t="shared" si="53"/>
        <v>9</v>
      </c>
      <c r="AF479" t="str">
        <f t="shared" si="54"/>
        <v>Delayed</v>
      </c>
    </row>
    <row r="480" spans="4:32">
      <c r="D480" s="4" t="s">
        <v>1159</v>
      </c>
      <c r="E480" s="5" t="s">
        <v>321</v>
      </c>
      <c r="F480" s="5" t="s">
        <v>362</v>
      </c>
      <c r="G480" s="5" t="s">
        <v>84</v>
      </c>
      <c r="H480" s="5" t="s">
        <v>95</v>
      </c>
      <c r="I480" s="5" t="s">
        <v>408</v>
      </c>
      <c r="J480" s="5" t="s">
        <v>239</v>
      </c>
      <c r="K480" s="5" t="s">
        <v>1160</v>
      </c>
      <c r="L480" s="5" t="s">
        <v>379</v>
      </c>
      <c r="M480" s="5" t="s">
        <v>21</v>
      </c>
      <c r="N480" s="5" t="s">
        <v>295</v>
      </c>
      <c r="O480" s="5" t="s">
        <v>363</v>
      </c>
      <c r="P480" s="5">
        <v>2</v>
      </c>
      <c r="Q480" s="5">
        <v>45</v>
      </c>
      <c r="R480" s="5">
        <v>10</v>
      </c>
      <c r="S480" s="5">
        <v>81</v>
      </c>
      <c r="T480" s="5">
        <v>4</v>
      </c>
      <c r="U480" s="5" t="s">
        <v>277</v>
      </c>
      <c r="V480" s="5" t="s">
        <v>263</v>
      </c>
      <c r="W480" s="5" t="s">
        <v>326</v>
      </c>
      <c r="X480" s="5">
        <v>9910913552</v>
      </c>
      <c r="Y480" s="8" t="s">
        <v>248</v>
      </c>
      <c r="Z480" t="str">
        <f t="shared" si="50"/>
        <v/>
      </c>
      <c r="AA480" t="str">
        <f t="shared" si="51"/>
        <v>Anita Gupta</v>
      </c>
      <c r="AB480" t="str">
        <f t="shared" si="52"/>
        <v>Ani004Ko</v>
      </c>
      <c r="AC480" t="str">
        <f t="shared" si="55"/>
        <v>anita.gupta@company.com</v>
      </c>
      <c r="AD480" t="str">
        <f t="shared" ca="1" si="56"/>
        <v/>
      </c>
      <c r="AE480">
        <f t="shared" si="53"/>
        <v>1</v>
      </c>
      <c r="AF480" t="str">
        <f t="shared" si="54"/>
        <v>On time</v>
      </c>
    </row>
    <row r="481" spans="4:32">
      <c r="D481" s="9" t="s">
        <v>1161</v>
      </c>
      <c r="E481" s="10" t="s">
        <v>299</v>
      </c>
      <c r="F481" s="10" t="s">
        <v>258</v>
      </c>
      <c r="G481" s="11">
        <v>46357</v>
      </c>
      <c r="H481" s="10" t="s">
        <v>63</v>
      </c>
      <c r="I481" s="10" t="s">
        <v>301</v>
      </c>
      <c r="J481" s="10" t="s">
        <v>269</v>
      </c>
      <c r="K481" s="11">
        <v>31201</v>
      </c>
      <c r="L481" s="10" t="s">
        <v>306</v>
      </c>
      <c r="M481" s="10" t="s">
        <v>287</v>
      </c>
      <c r="N481" s="10" t="s">
        <v>243</v>
      </c>
      <c r="O481" s="10" t="s">
        <v>262</v>
      </c>
      <c r="P481" s="10">
        <v>3</v>
      </c>
      <c r="Q481" s="10">
        <v>12000</v>
      </c>
      <c r="R481" s="10">
        <v>0</v>
      </c>
      <c r="S481" s="10">
        <v>36000</v>
      </c>
      <c r="T481" s="10">
        <v>2</v>
      </c>
      <c r="U481" s="10" t="s">
        <v>277</v>
      </c>
      <c r="V481" s="10" t="s">
        <v>312</v>
      </c>
      <c r="W481" s="10" t="s">
        <v>302</v>
      </c>
      <c r="X481" s="10">
        <v>9282751683</v>
      </c>
      <c r="Y481" s="12" t="s">
        <v>248</v>
      </c>
      <c r="Z481" t="str">
        <f t="shared" si="50"/>
        <v>Blacklisted</v>
      </c>
      <c r="AA481" t="str">
        <f t="shared" si="51"/>
        <v>Rohit Singh</v>
      </c>
      <c r="AB481" t="str">
        <f t="shared" si="52"/>
        <v>Roh003Ah</v>
      </c>
      <c r="AC481" t="str">
        <f t="shared" si="55"/>
        <v>rohit.singh@company.com</v>
      </c>
      <c r="AD481" t="str">
        <f t="shared" ca="1" si="56"/>
        <v/>
      </c>
      <c r="AE481" t="str">
        <f t="shared" si="53"/>
        <v/>
      </c>
      <c r="AF481" t="str">
        <f t="shared" si="54"/>
        <v>Delayed</v>
      </c>
    </row>
    <row r="482" spans="4:32">
      <c r="D482" s="4" t="s">
        <v>1162</v>
      </c>
      <c r="E482" s="5" t="s">
        <v>249</v>
      </c>
      <c r="F482" s="5" t="s">
        <v>258</v>
      </c>
      <c r="G482" s="5" t="s">
        <v>148</v>
      </c>
      <c r="H482" s="6">
        <v>45659</v>
      </c>
      <c r="I482" s="5" t="s">
        <v>251</v>
      </c>
      <c r="J482" s="5" t="s">
        <v>239</v>
      </c>
      <c r="K482" s="6">
        <v>31572</v>
      </c>
      <c r="L482" s="5" t="s">
        <v>241</v>
      </c>
      <c r="M482" s="5" t="s">
        <v>242</v>
      </c>
      <c r="N482" s="5" t="s">
        <v>243</v>
      </c>
      <c r="O482" s="5" t="s">
        <v>262</v>
      </c>
      <c r="P482" s="5">
        <v>3</v>
      </c>
      <c r="Q482" s="5">
        <v>12000</v>
      </c>
      <c r="R482" s="5">
        <v>20</v>
      </c>
      <c r="S482" s="5">
        <v>28800</v>
      </c>
      <c r="T482" s="5">
        <v>3</v>
      </c>
      <c r="U482" s="5" t="s">
        <v>277</v>
      </c>
      <c r="V482" s="5" t="s">
        <v>292</v>
      </c>
      <c r="W482" s="5" t="s">
        <v>264</v>
      </c>
      <c r="X482" s="5">
        <v>9939332058</v>
      </c>
      <c r="Y482" s="8" t="s">
        <v>257</v>
      </c>
      <c r="Z482" t="str">
        <f t="shared" si="50"/>
        <v>Silver</v>
      </c>
      <c r="AA482" t="str">
        <f t="shared" si="51"/>
        <v>Kavya Nair</v>
      </c>
      <c r="AB482" t="str">
        <f t="shared" si="52"/>
        <v>Kav008Be</v>
      </c>
      <c r="AC482" t="str">
        <f t="shared" si="55"/>
        <v>kavya.nair@company.com</v>
      </c>
      <c r="AD482">
        <f t="shared" ca="1" si="56"/>
        <v>41</v>
      </c>
      <c r="AE482" t="str">
        <f t="shared" si="53"/>
        <v/>
      </c>
      <c r="AF482" t="str">
        <f t="shared" si="54"/>
        <v>Delayed</v>
      </c>
    </row>
    <row r="483" spans="4:32">
      <c r="D483" s="9" t="s">
        <v>1163</v>
      </c>
      <c r="E483" s="10" t="s">
        <v>299</v>
      </c>
      <c r="F483" s="10" t="s">
        <v>322</v>
      </c>
      <c r="G483" s="11">
        <v>46207</v>
      </c>
      <c r="H483" s="11">
        <v>46238</v>
      </c>
      <c r="I483" s="10" t="s">
        <v>301</v>
      </c>
      <c r="J483" s="10" t="s">
        <v>269</v>
      </c>
      <c r="K483" s="10" t="s">
        <v>1164</v>
      </c>
      <c r="L483" s="10" t="s">
        <v>379</v>
      </c>
      <c r="M483" s="10" t="s">
        <v>21</v>
      </c>
      <c r="N483" s="10" t="s">
        <v>15</v>
      </c>
      <c r="O483" s="10" t="s">
        <v>325</v>
      </c>
      <c r="P483" s="10">
        <v>9</v>
      </c>
      <c r="Q483" s="10">
        <v>8500</v>
      </c>
      <c r="R483" s="10">
        <v>15</v>
      </c>
      <c r="S483" s="10">
        <v>65025</v>
      </c>
      <c r="T483" s="10">
        <v>5</v>
      </c>
      <c r="U483" s="10" t="s">
        <v>254</v>
      </c>
      <c r="V483" s="10" t="s">
        <v>263</v>
      </c>
      <c r="W483" s="10" t="s">
        <v>302</v>
      </c>
      <c r="X483" s="10">
        <v>9780626473</v>
      </c>
      <c r="Y483" s="12" t="s">
        <v>248</v>
      </c>
      <c r="Z483" t="str">
        <f t="shared" si="50"/>
        <v/>
      </c>
      <c r="AA483" t="str">
        <f t="shared" si="51"/>
        <v>Rohit Singh</v>
      </c>
      <c r="AB483" t="str">
        <f t="shared" si="52"/>
        <v>Roh003Ko</v>
      </c>
      <c r="AC483" t="str">
        <f t="shared" si="55"/>
        <v>rohit.singh@company.com</v>
      </c>
      <c r="AD483">
        <f t="shared" ca="1" si="56"/>
        <v>40</v>
      </c>
      <c r="AE483" t="str">
        <f t="shared" si="53"/>
        <v/>
      </c>
      <c r="AF483" t="str">
        <f t="shared" si="54"/>
        <v>Delayed</v>
      </c>
    </row>
    <row r="484" spans="4:32">
      <c r="D484" s="4" t="s">
        <v>1165</v>
      </c>
      <c r="E484" s="5" t="s">
        <v>266</v>
      </c>
      <c r="F484" s="5" t="s">
        <v>330</v>
      </c>
      <c r="G484" s="5" t="s">
        <v>156</v>
      </c>
      <c r="H484" s="6">
        <v>45815</v>
      </c>
      <c r="I484" s="5" t="s">
        <v>1166</v>
      </c>
      <c r="J484" s="5" t="s">
        <v>269</v>
      </c>
      <c r="K484" s="5" t="s">
        <v>1167</v>
      </c>
      <c r="L484" s="5" t="s">
        <v>379</v>
      </c>
      <c r="M484" s="5" t="s">
        <v>21</v>
      </c>
      <c r="N484" s="5" t="s">
        <v>243</v>
      </c>
      <c r="O484" s="5" t="s">
        <v>333</v>
      </c>
      <c r="P484" s="5">
        <v>17</v>
      </c>
      <c r="Q484" s="5">
        <v>700</v>
      </c>
      <c r="R484" s="5">
        <v>0</v>
      </c>
      <c r="S484" s="5">
        <v>11900</v>
      </c>
      <c r="T484" s="5">
        <v>2</v>
      </c>
      <c r="U484" s="5" t="s">
        <v>254</v>
      </c>
      <c r="V484" s="5" t="s">
        <v>246</v>
      </c>
      <c r="W484" s="5" t="s">
        <v>273</v>
      </c>
      <c r="X484" s="5">
        <v>9347298020</v>
      </c>
      <c r="Y484" s="8" t="s">
        <v>265</v>
      </c>
      <c r="Z484" t="str">
        <f t="shared" si="50"/>
        <v>Blacklisted</v>
      </c>
      <c r="AA484" t="str">
        <f t="shared" si="51"/>
        <v>Mohit Verma</v>
      </c>
      <c r="AB484" t="str">
        <f t="shared" si="52"/>
        <v>Moh009Ko</v>
      </c>
      <c r="AC484" t="str">
        <f t="shared" si="55"/>
        <v>mohit.verma@company.com</v>
      </c>
      <c r="AD484" t="str">
        <f t="shared" ca="1" si="56"/>
        <v/>
      </c>
      <c r="AE484" t="str">
        <f t="shared" si="53"/>
        <v/>
      </c>
      <c r="AF484" t="str">
        <f t="shared" si="54"/>
        <v>Delayed</v>
      </c>
    </row>
    <row r="485" spans="4:32">
      <c r="D485" s="9" t="s">
        <v>1168</v>
      </c>
      <c r="E485" s="10" t="s">
        <v>249</v>
      </c>
      <c r="F485" s="10" t="s">
        <v>330</v>
      </c>
      <c r="G485" s="11">
        <v>45876</v>
      </c>
      <c r="H485" s="10" t="s">
        <v>69</v>
      </c>
      <c r="I485" s="10" t="s">
        <v>251</v>
      </c>
      <c r="J485" s="10" t="s">
        <v>239</v>
      </c>
      <c r="K485" s="11">
        <v>33304</v>
      </c>
      <c r="L485" s="10" t="s">
        <v>252</v>
      </c>
      <c r="M485" s="10" t="s">
        <v>242</v>
      </c>
      <c r="N485" s="10" t="s">
        <v>243</v>
      </c>
      <c r="O485" s="10" t="s">
        <v>333</v>
      </c>
      <c r="P485" s="10">
        <v>20</v>
      </c>
      <c r="Q485" s="10">
        <v>700</v>
      </c>
      <c r="R485" s="10">
        <v>5</v>
      </c>
      <c r="S485" s="10">
        <v>13300</v>
      </c>
      <c r="T485" s="10">
        <v>2</v>
      </c>
      <c r="U485" s="10" t="s">
        <v>277</v>
      </c>
      <c r="V485" s="10" t="s">
        <v>255</v>
      </c>
      <c r="W485" s="10" t="s">
        <v>264</v>
      </c>
      <c r="X485" s="10">
        <v>9345328522</v>
      </c>
      <c r="Y485" s="12" t="s">
        <v>257</v>
      </c>
      <c r="Z485" t="str">
        <f t="shared" si="50"/>
        <v>Blacklisted</v>
      </c>
      <c r="AA485" t="str">
        <f t="shared" si="51"/>
        <v>Kavya Nair</v>
      </c>
      <c r="AB485" t="str">
        <f t="shared" si="52"/>
        <v>Kav008Hy</v>
      </c>
      <c r="AC485" t="str">
        <f t="shared" si="55"/>
        <v>kavya.nair@company.com</v>
      </c>
      <c r="AD485" t="str">
        <f t="shared" ca="1" si="56"/>
        <v/>
      </c>
      <c r="AE485" t="str">
        <f t="shared" si="53"/>
        <v/>
      </c>
      <c r="AF485" t="str">
        <f t="shared" si="54"/>
        <v>Delayed</v>
      </c>
    </row>
    <row r="486" spans="4:32">
      <c r="D486" s="4" t="s">
        <v>1169</v>
      </c>
      <c r="E486" s="5" t="s">
        <v>392</v>
      </c>
      <c r="F486" s="5" t="s">
        <v>267</v>
      </c>
      <c r="G486" s="6">
        <v>46329</v>
      </c>
      <c r="H486" s="5" t="s">
        <v>100</v>
      </c>
      <c r="I486" s="5" t="s">
        <v>323</v>
      </c>
      <c r="J486" s="5" t="s">
        <v>269</v>
      </c>
      <c r="K486" s="6">
        <v>28612</v>
      </c>
      <c r="L486" s="5" t="s">
        <v>306</v>
      </c>
      <c r="M486" s="5" t="s">
        <v>287</v>
      </c>
      <c r="N486" s="5" t="s">
        <v>243</v>
      </c>
      <c r="O486" s="5" t="s">
        <v>271</v>
      </c>
      <c r="P486" s="5">
        <v>13</v>
      </c>
      <c r="Q486" s="5">
        <v>1200</v>
      </c>
      <c r="R486" s="5">
        <v>20</v>
      </c>
      <c r="S486" s="5">
        <v>12480</v>
      </c>
      <c r="T486" s="5">
        <v>5</v>
      </c>
      <c r="U486" s="5" t="s">
        <v>272</v>
      </c>
      <c r="V486" s="5" t="s">
        <v>292</v>
      </c>
      <c r="W486" s="5" t="s">
        <v>395</v>
      </c>
      <c r="X486" s="5">
        <v>9160310438</v>
      </c>
      <c r="Y486" s="8" t="s">
        <v>257</v>
      </c>
      <c r="Z486" t="str">
        <f t="shared" si="50"/>
        <v>Silver</v>
      </c>
      <c r="AA486" t="str">
        <f t="shared" si="51"/>
        <v>Amit Sharma</v>
      </c>
      <c r="AB486" t="str">
        <f t="shared" si="52"/>
        <v>Ami001Ah</v>
      </c>
      <c r="AC486" t="str">
        <f t="shared" si="55"/>
        <v>amit.sharma@company.com</v>
      </c>
      <c r="AD486">
        <f t="shared" ca="1" si="56"/>
        <v>35</v>
      </c>
      <c r="AE486" t="str">
        <f t="shared" si="53"/>
        <v/>
      </c>
      <c r="AF486" t="str">
        <f t="shared" si="54"/>
        <v>Delayed</v>
      </c>
    </row>
    <row r="487" spans="4:32">
      <c r="D487" s="9" t="s">
        <v>1170</v>
      </c>
      <c r="E487" s="10" t="s">
        <v>284</v>
      </c>
      <c r="F487" s="10" t="s">
        <v>236</v>
      </c>
      <c r="G487" s="10" t="s">
        <v>121</v>
      </c>
      <c r="H487" s="10" t="s">
        <v>185</v>
      </c>
      <c r="I487" s="10" t="s">
        <v>285</v>
      </c>
      <c r="J487" s="10" t="s">
        <v>239</v>
      </c>
      <c r="K487" s="10" t="s">
        <v>717</v>
      </c>
      <c r="L487" s="10" t="s">
        <v>342</v>
      </c>
      <c r="M487" s="10" t="s">
        <v>261</v>
      </c>
      <c r="N487" s="10" t="s">
        <v>243</v>
      </c>
      <c r="O487" s="10" t="s">
        <v>244</v>
      </c>
      <c r="P487" s="10">
        <v>20</v>
      </c>
      <c r="Q487" s="10">
        <v>55000</v>
      </c>
      <c r="R487" s="10">
        <v>10</v>
      </c>
      <c r="S487" s="10">
        <v>990000</v>
      </c>
      <c r="T487" s="10">
        <v>1</v>
      </c>
      <c r="U487" s="10" t="s">
        <v>277</v>
      </c>
      <c r="V487" s="10" t="s">
        <v>255</v>
      </c>
      <c r="W487" s="10" t="s">
        <v>308</v>
      </c>
      <c r="X487" s="10">
        <v>9343776153</v>
      </c>
      <c r="Y487" s="12" t="s">
        <v>248</v>
      </c>
      <c r="Z487" t="str">
        <f t="shared" si="50"/>
        <v>Blacklisted</v>
      </c>
      <c r="AA487" t="str">
        <f t="shared" si="51"/>
        <v>Priya Patel</v>
      </c>
      <c r="AB487" t="str">
        <f t="shared" si="52"/>
        <v>Pri002Ja</v>
      </c>
      <c r="AC487" t="str">
        <f t="shared" si="55"/>
        <v>priya.patel@company.com</v>
      </c>
      <c r="AD487">
        <f t="shared" ca="1" si="56"/>
        <v>48</v>
      </c>
      <c r="AE487">
        <f t="shared" si="53"/>
        <v>6</v>
      </c>
      <c r="AF487" t="str">
        <f t="shared" si="54"/>
        <v>Delayed</v>
      </c>
    </row>
    <row r="488" spans="4:32">
      <c r="D488" s="4" t="s">
        <v>1171</v>
      </c>
      <c r="E488" s="5" t="s">
        <v>358</v>
      </c>
      <c r="F488" s="5" t="s">
        <v>267</v>
      </c>
      <c r="G488" s="5" t="s">
        <v>205</v>
      </c>
      <c r="H488" s="6">
        <v>45788</v>
      </c>
      <c r="I488" s="5" t="s">
        <v>359</v>
      </c>
      <c r="J488" s="5" t="s">
        <v>239</v>
      </c>
      <c r="K488" s="6">
        <v>32206</v>
      </c>
      <c r="L488" s="5" t="s">
        <v>379</v>
      </c>
      <c r="M488" s="5" t="s">
        <v>21</v>
      </c>
      <c r="N488" s="5" t="s">
        <v>243</v>
      </c>
      <c r="O488" s="5" t="s">
        <v>271</v>
      </c>
      <c r="P488" s="5">
        <v>8</v>
      </c>
      <c r="Q488" s="5">
        <v>1200</v>
      </c>
      <c r="R488" s="5">
        <v>0</v>
      </c>
      <c r="S488" s="5">
        <v>9600</v>
      </c>
      <c r="T488" s="5">
        <v>2</v>
      </c>
      <c r="U488" s="5" t="s">
        <v>245</v>
      </c>
      <c r="V488" s="5" t="s">
        <v>312</v>
      </c>
      <c r="W488" s="5" t="s">
        <v>360</v>
      </c>
      <c r="X488" s="5">
        <v>9458599727</v>
      </c>
      <c r="Y488" s="8" t="s">
        <v>257</v>
      </c>
      <c r="Z488" t="str">
        <f t="shared" si="50"/>
        <v>Blacklisted</v>
      </c>
      <c r="AA488" t="str">
        <f t="shared" si="51"/>
        <v>Sneha Joshi</v>
      </c>
      <c r="AB488" t="str">
        <f t="shared" si="52"/>
        <v>Sne006Ko</v>
      </c>
      <c r="AC488" t="str">
        <f t="shared" si="55"/>
        <v>sneha.joshi@company.com</v>
      </c>
      <c r="AD488" t="str">
        <f t="shared" ca="1" si="56"/>
        <v/>
      </c>
      <c r="AE488" t="str">
        <f t="shared" si="53"/>
        <v/>
      </c>
      <c r="AF488" t="str">
        <f t="shared" si="54"/>
        <v>Delayed</v>
      </c>
    </row>
    <row r="489" spans="4:32">
      <c r="D489" s="9" t="s">
        <v>1172</v>
      </c>
      <c r="E489" s="10" t="s">
        <v>235</v>
      </c>
      <c r="F489" s="10" t="s">
        <v>347</v>
      </c>
      <c r="G489" s="11">
        <v>46147</v>
      </c>
      <c r="H489" s="11">
        <v>46270</v>
      </c>
      <c r="I489" s="10" t="s">
        <v>318</v>
      </c>
      <c r="J489" s="10" t="s">
        <v>239</v>
      </c>
      <c r="K489" s="11">
        <v>28805</v>
      </c>
      <c r="L489" s="10" t="s">
        <v>379</v>
      </c>
      <c r="M489" s="10" t="s">
        <v>21</v>
      </c>
      <c r="N489" s="10" t="s">
        <v>295</v>
      </c>
      <c r="O489" s="10" t="s">
        <v>349</v>
      </c>
      <c r="P489" s="10">
        <v>18</v>
      </c>
      <c r="Q489" s="10">
        <v>20</v>
      </c>
      <c r="R489" s="10">
        <v>10</v>
      </c>
      <c r="S489" s="10">
        <v>324</v>
      </c>
      <c r="T489" s="10">
        <v>5</v>
      </c>
      <c r="U489" s="10" t="s">
        <v>272</v>
      </c>
      <c r="V489" s="10"/>
      <c r="W489" s="13" t="s">
        <v>1173</v>
      </c>
      <c r="X489" s="10">
        <v>9218660140</v>
      </c>
      <c r="Y489" s="12" t="s">
        <v>248</v>
      </c>
      <c r="Z489" t="str">
        <f t="shared" si="50"/>
        <v/>
      </c>
      <c r="AA489" t="str">
        <f t="shared" si="51"/>
        <v>Pooja Shah</v>
      </c>
      <c r="AB489" t="str">
        <f t="shared" si="52"/>
        <v>Poo010Ko</v>
      </c>
      <c r="AC489" t="str">
        <f t="shared" si="55"/>
        <v>pooja.shah@company.com</v>
      </c>
      <c r="AD489">
        <f t="shared" ca="1" si="56"/>
        <v>38</v>
      </c>
      <c r="AE489" t="str">
        <f t="shared" si="53"/>
        <v/>
      </c>
      <c r="AF489" t="str">
        <f t="shared" si="54"/>
        <v>Delayed</v>
      </c>
    </row>
    <row r="490" spans="4:32">
      <c r="D490" s="4" t="s">
        <v>1174</v>
      </c>
      <c r="E490" s="5" t="s">
        <v>321</v>
      </c>
      <c r="F490" s="5" t="s">
        <v>258</v>
      </c>
      <c r="G490" s="5" t="s">
        <v>119</v>
      </c>
      <c r="H490" s="6">
        <v>45841</v>
      </c>
      <c r="I490" s="5" t="s">
        <v>408</v>
      </c>
      <c r="J490" s="5" t="s">
        <v>239</v>
      </c>
      <c r="K490" s="6">
        <v>34369</v>
      </c>
      <c r="L490" s="5" t="s">
        <v>291</v>
      </c>
      <c r="M490" s="5" t="s">
        <v>287</v>
      </c>
      <c r="N490" s="5" t="s">
        <v>243</v>
      </c>
      <c r="O490" s="5" t="s">
        <v>262</v>
      </c>
      <c r="P490" s="5">
        <v>11</v>
      </c>
      <c r="Q490" s="5">
        <v>12000</v>
      </c>
      <c r="R490" s="5">
        <v>10</v>
      </c>
      <c r="S490" s="5">
        <v>118800</v>
      </c>
      <c r="T490" s="5">
        <v>1</v>
      </c>
      <c r="U490" s="5" t="s">
        <v>272</v>
      </c>
      <c r="V490" s="5" t="s">
        <v>263</v>
      </c>
      <c r="W490" s="5" t="s">
        <v>326</v>
      </c>
      <c r="X490" s="5">
        <v>9341979199</v>
      </c>
      <c r="Y490" s="8" t="s">
        <v>265</v>
      </c>
      <c r="Z490" t="str">
        <f t="shared" si="50"/>
        <v>Blacklisted</v>
      </c>
      <c r="AA490" t="str">
        <f t="shared" si="51"/>
        <v>Anita Gupta</v>
      </c>
      <c r="AB490" t="str">
        <f t="shared" si="52"/>
        <v>Ani004Pu</v>
      </c>
      <c r="AC490" t="str">
        <f t="shared" si="55"/>
        <v>anita.gupta@company.com</v>
      </c>
      <c r="AD490">
        <f t="shared" ca="1" si="56"/>
        <v>47</v>
      </c>
      <c r="AE490" t="str">
        <f t="shared" si="53"/>
        <v/>
      </c>
      <c r="AF490" t="str">
        <f t="shared" si="54"/>
        <v>Delayed</v>
      </c>
    </row>
    <row r="491" spans="4:32">
      <c r="D491" s="9" t="s">
        <v>1175</v>
      </c>
      <c r="E491" s="10" t="s">
        <v>392</v>
      </c>
      <c r="F491" s="10" t="s">
        <v>322</v>
      </c>
      <c r="G491" s="10" t="s">
        <v>31</v>
      </c>
      <c r="H491" s="10" t="s">
        <v>53</v>
      </c>
      <c r="I491" s="10" t="s">
        <v>323</v>
      </c>
      <c r="J491" s="10" t="s">
        <v>269</v>
      </c>
      <c r="K491" s="11">
        <v>34217</v>
      </c>
      <c r="L491" s="10" t="s">
        <v>252</v>
      </c>
      <c r="M491" s="10" t="s">
        <v>242</v>
      </c>
      <c r="N491" s="10" t="s">
        <v>15</v>
      </c>
      <c r="O491" s="10" t="s">
        <v>325</v>
      </c>
      <c r="P491" s="10">
        <v>2</v>
      </c>
      <c r="Q491" s="10">
        <v>8500</v>
      </c>
      <c r="R491" s="10">
        <v>5</v>
      </c>
      <c r="S491" s="10">
        <v>16150</v>
      </c>
      <c r="T491" s="10">
        <v>1</v>
      </c>
      <c r="U491" s="10" t="s">
        <v>272</v>
      </c>
      <c r="V491" s="10" t="s">
        <v>246</v>
      </c>
      <c r="W491" s="10" t="s">
        <v>395</v>
      </c>
      <c r="X491" s="10">
        <v>9823080381</v>
      </c>
      <c r="Y491" s="12" t="s">
        <v>257</v>
      </c>
      <c r="Z491" t="str">
        <f t="shared" si="50"/>
        <v>Blacklisted</v>
      </c>
      <c r="AA491" t="str">
        <f t="shared" si="51"/>
        <v>Amit Sharma</v>
      </c>
      <c r="AB491" t="str">
        <f t="shared" si="52"/>
        <v>Ami001Hy</v>
      </c>
      <c r="AC491" t="str">
        <f t="shared" si="55"/>
        <v>amit.sharma@company.com</v>
      </c>
      <c r="AD491">
        <f t="shared" ca="1" si="56"/>
        <v>32</v>
      </c>
      <c r="AE491">
        <f t="shared" si="53"/>
        <v>2</v>
      </c>
      <c r="AF491" t="str">
        <f t="shared" si="54"/>
        <v>On time</v>
      </c>
    </row>
    <row r="492" spans="4:32">
      <c r="D492" s="4" t="s">
        <v>1176</v>
      </c>
      <c r="E492" s="5" t="s">
        <v>284</v>
      </c>
      <c r="F492" s="5" t="s">
        <v>250</v>
      </c>
      <c r="G492" s="5" t="s">
        <v>195</v>
      </c>
      <c r="H492" s="6">
        <v>45873</v>
      </c>
      <c r="I492" s="5" t="s">
        <v>285</v>
      </c>
      <c r="J492" s="5" t="s">
        <v>239</v>
      </c>
      <c r="K492" s="6">
        <v>34645</v>
      </c>
      <c r="L492" s="5" t="s">
        <v>291</v>
      </c>
      <c r="M492" s="5" t="s">
        <v>287</v>
      </c>
      <c r="N492" s="5" t="s">
        <v>15</v>
      </c>
      <c r="O492" s="5" t="s">
        <v>253</v>
      </c>
      <c r="P492" s="5">
        <v>7</v>
      </c>
      <c r="Q492" s="5">
        <v>2200</v>
      </c>
      <c r="R492" s="5">
        <v>0</v>
      </c>
      <c r="S492" s="5">
        <v>15400</v>
      </c>
      <c r="T492" s="5">
        <v>5</v>
      </c>
      <c r="U492" s="5" t="s">
        <v>245</v>
      </c>
      <c r="V492" s="5" t="s">
        <v>255</v>
      </c>
      <c r="W492" s="5" t="s">
        <v>308</v>
      </c>
      <c r="X492" s="5">
        <v>9981183477</v>
      </c>
      <c r="Y492" s="8" t="s">
        <v>248</v>
      </c>
      <c r="Z492" t="str">
        <f t="shared" si="50"/>
        <v/>
      </c>
      <c r="AA492" t="str">
        <f t="shared" si="51"/>
        <v>Priya Patel</v>
      </c>
      <c r="AB492" t="str">
        <f t="shared" si="52"/>
        <v>Pri002Pu</v>
      </c>
      <c r="AC492" t="str">
        <f t="shared" si="55"/>
        <v>priya.patel@company.com</v>
      </c>
      <c r="AD492">
        <f t="shared" ca="1" si="56"/>
        <v>33</v>
      </c>
      <c r="AE492" t="str">
        <f t="shared" si="53"/>
        <v/>
      </c>
      <c r="AF492" t="str">
        <f t="shared" si="54"/>
        <v>Delayed</v>
      </c>
    </row>
    <row r="493" spans="4:32">
      <c r="D493" s="9" t="s">
        <v>1177</v>
      </c>
      <c r="E493" s="10" t="s">
        <v>275</v>
      </c>
      <c r="F493" s="10" t="s">
        <v>322</v>
      </c>
      <c r="G493" s="10" t="s">
        <v>132</v>
      </c>
      <c r="H493" s="11">
        <v>46058</v>
      </c>
      <c r="I493" s="10" t="s">
        <v>328</v>
      </c>
      <c r="J493" s="10" t="s">
        <v>269</v>
      </c>
      <c r="K493" s="10" t="s">
        <v>1178</v>
      </c>
      <c r="L493" s="10" t="s">
        <v>260</v>
      </c>
      <c r="M493" s="10" t="s">
        <v>261</v>
      </c>
      <c r="N493" s="10" t="s">
        <v>15</v>
      </c>
      <c r="O493" s="10" t="s">
        <v>325</v>
      </c>
      <c r="P493" s="10">
        <v>20</v>
      </c>
      <c r="Q493" s="10">
        <v>8500</v>
      </c>
      <c r="R493" s="10">
        <v>0</v>
      </c>
      <c r="S493" s="10">
        <v>170000</v>
      </c>
      <c r="T493" s="10">
        <v>3</v>
      </c>
      <c r="U493" s="10" t="s">
        <v>245</v>
      </c>
      <c r="V493" s="10" t="s">
        <v>263</v>
      </c>
      <c r="W493" s="10" t="s">
        <v>278</v>
      </c>
      <c r="X493" s="10">
        <v>9281596011</v>
      </c>
      <c r="Y493" s="12" t="s">
        <v>257</v>
      </c>
      <c r="Z493" t="str">
        <f t="shared" si="50"/>
        <v>Gold</v>
      </c>
      <c r="AA493" t="str">
        <f t="shared" si="51"/>
        <v>Arjun Rao</v>
      </c>
      <c r="AB493" t="str">
        <f t="shared" si="52"/>
        <v>Arj007De</v>
      </c>
      <c r="AC493" t="str">
        <f t="shared" si="55"/>
        <v>arjun.rao@company.com</v>
      </c>
      <c r="AD493">
        <f t="shared" ca="1" si="56"/>
        <v>31</v>
      </c>
      <c r="AE493" t="str">
        <f t="shared" si="53"/>
        <v/>
      </c>
      <c r="AF493" t="str">
        <f t="shared" si="54"/>
        <v>Delayed</v>
      </c>
    </row>
    <row r="494" spans="4:32">
      <c r="D494" s="4" t="s">
        <v>1179</v>
      </c>
      <c r="E494" s="5" t="s">
        <v>299</v>
      </c>
      <c r="F494" s="5" t="s">
        <v>267</v>
      </c>
      <c r="G494" s="5" t="s">
        <v>93</v>
      </c>
      <c r="H494" s="5" t="s">
        <v>189</v>
      </c>
      <c r="I494" s="5" t="s">
        <v>301</v>
      </c>
      <c r="J494" s="5" t="s">
        <v>269</v>
      </c>
      <c r="K494" s="6">
        <v>36933</v>
      </c>
      <c r="L494" s="5" t="s">
        <v>252</v>
      </c>
      <c r="M494" s="5" t="s">
        <v>242</v>
      </c>
      <c r="N494" s="5" t="s">
        <v>243</v>
      </c>
      <c r="O494" s="5" t="s">
        <v>271</v>
      </c>
      <c r="P494" s="5">
        <v>11</v>
      </c>
      <c r="Q494" s="5">
        <v>1200</v>
      </c>
      <c r="R494" s="5">
        <v>5</v>
      </c>
      <c r="S494" s="5">
        <v>12540</v>
      </c>
      <c r="T494" s="5">
        <v>2</v>
      </c>
      <c r="U494" s="5" t="s">
        <v>254</v>
      </c>
      <c r="V494" s="5" t="s">
        <v>255</v>
      </c>
      <c r="W494" s="5" t="s">
        <v>302</v>
      </c>
      <c r="X494" s="5">
        <v>9211734022</v>
      </c>
      <c r="Y494" s="8" t="s">
        <v>248</v>
      </c>
      <c r="Z494" t="str">
        <f t="shared" si="50"/>
        <v>Blacklisted</v>
      </c>
      <c r="AA494" t="str">
        <f t="shared" si="51"/>
        <v>Rohit Singh</v>
      </c>
      <c r="AB494" t="str">
        <f t="shared" si="52"/>
        <v>Roh003Hy</v>
      </c>
      <c r="AC494" t="str">
        <f t="shared" si="55"/>
        <v>rohit.singh@company.com</v>
      </c>
      <c r="AD494" t="str">
        <f t="shared" ca="1" si="56"/>
        <v/>
      </c>
      <c r="AE494">
        <f t="shared" si="53"/>
        <v>9</v>
      </c>
      <c r="AF494" t="str">
        <f t="shared" si="54"/>
        <v>Delayed</v>
      </c>
    </row>
    <row r="495" spans="4:32">
      <c r="D495" s="9" t="s">
        <v>1180</v>
      </c>
      <c r="E495" s="10" t="s">
        <v>275</v>
      </c>
      <c r="F495" s="10" t="s">
        <v>330</v>
      </c>
      <c r="G495" s="10" t="s">
        <v>189</v>
      </c>
      <c r="H495" s="11">
        <v>45665</v>
      </c>
      <c r="I495" s="10" t="s">
        <v>328</v>
      </c>
      <c r="J495" s="10" t="s">
        <v>269</v>
      </c>
      <c r="K495" s="10" t="s">
        <v>1181</v>
      </c>
      <c r="L495" s="10" t="s">
        <v>306</v>
      </c>
      <c r="M495" s="10" t="s">
        <v>287</v>
      </c>
      <c r="N495" s="10" t="s">
        <v>243</v>
      </c>
      <c r="O495" s="10" t="s">
        <v>333</v>
      </c>
      <c r="P495" s="10">
        <v>14</v>
      </c>
      <c r="Q495" s="10">
        <v>700</v>
      </c>
      <c r="R495" s="10">
        <v>0</v>
      </c>
      <c r="S495" s="10">
        <v>9800</v>
      </c>
      <c r="T495" s="10">
        <v>2</v>
      </c>
      <c r="U495" s="10" t="s">
        <v>272</v>
      </c>
      <c r="V495" s="10" t="s">
        <v>312</v>
      </c>
      <c r="W495" s="10" t="s">
        <v>278</v>
      </c>
      <c r="X495" s="10">
        <v>9447151666</v>
      </c>
      <c r="Y495" s="12" t="s">
        <v>265</v>
      </c>
      <c r="Z495" t="str">
        <f t="shared" si="50"/>
        <v>Blacklisted</v>
      </c>
      <c r="AA495" t="str">
        <f t="shared" si="51"/>
        <v>Arjun Rao</v>
      </c>
      <c r="AB495" t="str">
        <f t="shared" si="52"/>
        <v>Arj007Ah</v>
      </c>
      <c r="AC495" t="str">
        <f t="shared" si="55"/>
        <v>arjun.rao@company.com</v>
      </c>
      <c r="AD495">
        <f t="shared" ca="1" si="56"/>
        <v>25</v>
      </c>
      <c r="AE495" t="str">
        <f t="shared" si="53"/>
        <v/>
      </c>
      <c r="AF495" t="str">
        <f t="shared" si="54"/>
        <v>Delayed</v>
      </c>
    </row>
    <row r="496" spans="4:32">
      <c r="D496" s="4" t="s">
        <v>1182</v>
      </c>
      <c r="E496" s="5" t="s">
        <v>266</v>
      </c>
      <c r="F496" s="5" t="s">
        <v>267</v>
      </c>
      <c r="G496" s="5" t="s">
        <v>105</v>
      </c>
      <c r="H496" s="6">
        <v>45668</v>
      </c>
      <c r="I496" s="5" t="s">
        <v>268</v>
      </c>
      <c r="J496" s="5" t="s">
        <v>269</v>
      </c>
      <c r="K496" s="5" t="s">
        <v>1183</v>
      </c>
      <c r="L496" s="5" t="s">
        <v>291</v>
      </c>
      <c r="M496" s="5" t="s">
        <v>287</v>
      </c>
      <c r="N496" s="5" t="s">
        <v>243</v>
      </c>
      <c r="O496" s="5" t="s">
        <v>271</v>
      </c>
      <c r="P496" s="5">
        <v>16</v>
      </c>
      <c r="Q496" s="5">
        <v>1200</v>
      </c>
      <c r="R496" s="5">
        <v>15</v>
      </c>
      <c r="S496" s="5">
        <v>16320</v>
      </c>
      <c r="T496" s="5">
        <v>4</v>
      </c>
      <c r="U496" s="5" t="s">
        <v>254</v>
      </c>
      <c r="V496" s="5" t="s">
        <v>312</v>
      </c>
      <c r="W496" s="5" t="s">
        <v>273</v>
      </c>
      <c r="X496" s="5">
        <v>9345342793</v>
      </c>
      <c r="Y496" s="8" t="s">
        <v>248</v>
      </c>
      <c r="Z496" t="str">
        <f t="shared" si="50"/>
        <v/>
      </c>
      <c r="AA496" t="str">
        <f t="shared" si="51"/>
        <v>Mohit Verma</v>
      </c>
      <c r="AB496" t="str">
        <f t="shared" si="52"/>
        <v>Moh009Pu</v>
      </c>
      <c r="AC496" t="str">
        <f t="shared" si="55"/>
        <v>mohit.verma@company.com</v>
      </c>
      <c r="AD496" t="str">
        <f t="shared" ca="1" si="56"/>
        <v/>
      </c>
      <c r="AE496" t="str">
        <f t="shared" si="53"/>
        <v/>
      </c>
      <c r="AF496" t="str">
        <f t="shared" si="54"/>
        <v>Delayed</v>
      </c>
    </row>
    <row r="497" spans="4:32">
      <c r="D497" s="9" t="s">
        <v>1184</v>
      </c>
      <c r="E497" s="10" t="s">
        <v>321</v>
      </c>
      <c r="F497" s="10" t="s">
        <v>250</v>
      </c>
      <c r="G497" s="10" t="s">
        <v>58</v>
      </c>
      <c r="H497" s="10" t="s">
        <v>185</v>
      </c>
      <c r="I497" s="10" t="s">
        <v>408</v>
      </c>
      <c r="J497" s="10" t="s">
        <v>239</v>
      </c>
      <c r="K497" s="10" t="s">
        <v>1185</v>
      </c>
      <c r="L497" s="10" t="s">
        <v>342</v>
      </c>
      <c r="M497" s="10" t="s">
        <v>261</v>
      </c>
      <c r="N497" s="10" t="s">
        <v>15</v>
      </c>
      <c r="O497" s="10" t="s">
        <v>253</v>
      </c>
      <c r="P497" s="10">
        <v>20</v>
      </c>
      <c r="Q497" s="10">
        <v>2200</v>
      </c>
      <c r="R497" s="10">
        <v>0</v>
      </c>
      <c r="S497" s="10">
        <v>44000</v>
      </c>
      <c r="T497" s="10">
        <v>5</v>
      </c>
      <c r="U497" s="10" t="s">
        <v>254</v>
      </c>
      <c r="V497" s="10" t="s">
        <v>255</v>
      </c>
      <c r="W497" s="10" t="s">
        <v>326</v>
      </c>
      <c r="X497" s="10">
        <v>9329668173</v>
      </c>
      <c r="Y497" s="12" t="s">
        <v>265</v>
      </c>
      <c r="Z497" t="str">
        <f t="shared" si="50"/>
        <v>Blacklisted</v>
      </c>
      <c r="AA497" t="str">
        <f t="shared" si="51"/>
        <v>Anita Gupta</v>
      </c>
      <c r="AB497" t="str">
        <f t="shared" si="52"/>
        <v>Ani004Ja</v>
      </c>
      <c r="AC497" t="str">
        <f t="shared" si="55"/>
        <v>anita.gupta@company.com</v>
      </c>
      <c r="AD497" t="str">
        <f t="shared" ca="1" si="56"/>
        <v/>
      </c>
      <c r="AE497">
        <f t="shared" si="53"/>
        <v>12</v>
      </c>
      <c r="AF497" t="str">
        <f t="shared" si="54"/>
        <v>Delayed</v>
      </c>
    </row>
    <row r="498" spans="4:32">
      <c r="D498" s="4" t="s">
        <v>1186</v>
      </c>
      <c r="E498" s="5" t="s">
        <v>275</v>
      </c>
      <c r="F498" s="5" t="s">
        <v>258</v>
      </c>
      <c r="G498" s="5" t="s">
        <v>119</v>
      </c>
      <c r="H498" s="6">
        <v>45841</v>
      </c>
      <c r="I498" s="5" t="s">
        <v>328</v>
      </c>
      <c r="J498" s="5" t="s">
        <v>269</v>
      </c>
      <c r="K498" s="5" t="s">
        <v>1187</v>
      </c>
      <c r="L498" s="5" t="s">
        <v>342</v>
      </c>
      <c r="M498" s="5" t="s">
        <v>261</v>
      </c>
      <c r="N498" s="5" t="s">
        <v>243</v>
      </c>
      <c r="O498" s="5" t="s">
        <v>262</v>
      </c>
      <c r="P498" s="5">
        <v>12</v>
      </c>
      <c r="Q498" s="5">
        <v>12000</v>
      </c>
      <c r="R498" s="5">
        <v>15</v>
      </c>
      <c r="S498" s="5">
        <v>122400</v>
      </c>
      <c r="T498" s="5">
        <v>5</v>
      </c>
      <c r="U498" s="5" t="s">
        <v>254</v>
      </c>
      <c r="V498" s="5" t="s">
        <v>312</v>
      </c>
      <c r="W498" s="5" t="s">
        <v>278</v>
      </c>
      <c r="X498" s="5">
        <v>9294740227</v>
      </c>
      <c r="Y498" s="8" t="s">
        <v>257</v>
      </c>
      <c r="Z498" t="str">
        <f t="shared" si="50"/>
        <v>Gold</v>
      </c>
      <c r="AA498" t="str">
        <f t="shared" si="51"/>
        <v>Arjun Rao</v>
      </c>
      <c r="AB498" t="str">
        <f t="shared" si="52"/>
        <v>Arj007Ja</v>
      </c>
      <c r="AC498" t="str">
        <f t="shared" si="55"/>
        <v>arjun.rao@company.com</v>
      </c>
      <c r="AD498" t="str">
        <f t="shared" ca="1" si="56"/>
        <v/>
      </c>
      <c r="AE498" t="str">
        <f t="shared" si="53"/>
        <v/>
      </c>
      <c r="AF498" t="str">
        <f t="shared" si="54"/>
        <v>Delayed</v>
      </c>
    </row>
    <row r="499" spans="4:32">
      <c r="D499" s="9" t="s">
        <v>1188</v>
      </c>
      <c r="E499" s="10" t="s">
        <v>346</v>
      </c>
      <c r="F499" s="10" t="s">
        <v>267</v>
      </c>
      <c r="G499" s="11">
        <v>45973</v>
      </c>
      <c r="H499" s="10" t="s">
        <v>514</v>
      </c>
      <c r="I499" s="10" t="s">
        <v>348</v>
      </c>
      <c r="J499" s="10" t="s">
        <v>269</v>
      </c>
      <c r="K499" s="10" t="s">
        <v>1189</v>
      </c>
      <c r="L499" s="10" t="s">
        <v>260</v>
      </c>
      <c r="M499" s="10" t="s">
        <v>261</v>
      </c>
      <c r="N499" s="10" t="s">
        <v>243</v>
      </c>
      <c r="O499" s="10" t="s">
        <v>271</v>
      </c>
      <c r="P499" s="10">
        <v>3</v>
      </c>
      <c r="Q499" s="10">
        <v>1200</v>
      </c>
      <c r="R499" s="10">
        <v>20</v>
      </c>
      <c r="S499" s="10">
        <v>2880</v>
      </c>
      <c r="T499" s="10">
        <v>2</v>
      </c>
      <c r="U499" s="10" t="s">
        <v>245</v>
      </c>
      <c r="V499" s="10" t="s">
        <v>292</v>
      </c>
      <c r="W499" s="10" t="s">
        <v>638</v>
      </c>
      <c r="X499" s="10">
        <v>9549426303</v>
      </c>
      <c r="Y499" s="12" t="s">
        <v>248</v>
      </c>
      <c r="Z499" t="str">
        <f t="shared" si="50"/>
        <v>Blacklisted</v>
      </c>
      <c r="AA499" t="str">
        <f t="shared" si="51"/>
        <v>Vikas Mehta</v>
      </c>
      <c r="AB499" t="str">
        <f t="shared" si="52"/>
        <v>Vik005De</v>
      </c>
      <c r="AC499" t="str">
        <f t="shared" si="55"/>
        <v>invalid email</v>
      </c>
      <c r="AD499" t="str">
        <f t="shared" ca="1" si="56"/>
        <v/>
      </c>
      <c r="AE499" t="str">
        <f t="shared" si="53"/>
        <v/>
      </c>
      <c r="AF499" t="str">
        <f t="shared" si="54"/>
        <v>Delayed</v>
      </c>
    </row>
    <row r="500" spans="4:32">
      <c r="D500" s="4" t="s">
        <v>1190</v>
      </c>
      <c r="E500" s="5" t="s">
        <v>284</v>
      </c>
      <c r="F500" s="5" t="s">
        <v>236</v>
      </c>
      <c r="G500" s="6">
        <v>45754</v>
      </c>
      <c r="H500" s="6">
        <v>45784</v>
      </c>
      <c r="I500" s="5" t="s">
        <v>285</v>
      </c>
      <c r="J500" s="5" t="s">
        <v>239</v>
      </c>
      <c r="K500" s="6">
        <v>29197</v>
      </c>
      <c r="L500" s="5" t="s">
        <v>286</v>
      </c>
      <c r="M500" s="5" t="s">
        <v>287</v>
      </c>
      <c r="N500" s="5" t="s">
        <v>243</v>
      </c>
      <c r="O500" s="5" t="s">
        <v>1191</v>
      </c>
      <c r="P500" s="5">
        <v>6</v>
      </c>
      <c r="Q500" s="5">
        <v>55000</v>
      </c>
      <c r="R500" s="5">
        <v>20</v>
      </c>
      <c r="S500" s="5">
        <v>264000</v>
      </c>
      <c r="T500" s="5">
        <v>3</v>
      </c>
      <c r="U500" s="5" t="s">
        <v>254</v>
      </c>
      <c r="V500" s="5" t="s">
        <v>312</v>
      </c>
      <c r="W500" s="5" t="s">
        <v>308</v>
      </c>
      <c r="X500" s="5">
        <v>9374249303</v>
      </c>
      <c r="Y500" s="8" t="s">
        <v>257</v>
      </c>
      <c r="Z500" t="str">
        <f t="shared" si="50"/>
        <v>Gold</v>
      </c>
      <c r="AA500" t="str">
        <f t="shared" si="51"/>
        <v>Priya Patel</v>
      </c>
      <c r="AB500" t="str">
        <f t="shared" si="52"/>
        <v>Pri002Mu</v>
      </c>
      <c r="AC500" t="str">
        <f t="shared" si="55"/>
        <v>priya.patel@company.com</v>
      </c>
      <c r="AD500" t="str">
        <f t="shared" ca="1" si="56"/>
        <v/>
      </c>
      <c r="AE500" t="str">
        <f t="shared" si="53"/>
        <v/>
      </c>
      <c r="AF500" t="str">
        <f t="shared" si="54"/>
        <v>Delayed</v>
      </c>
    </row>
    <row r="501" spans="4:32">
      <c r="D501" s="17" t="s">
        <v>1192</v>
      </c>
      <c r="E501" s="18" t="s">
        <v>284</v>
      </c>
      <c r="F501" s="18" t="s">
        <v>280</v>
      </c>
      <c r="G501" s="18" t="s">
        <v>50</v>
      </c>
      <c r="H501" s="18" t="s">
        <v>300</v>
      </c>
      <c r="I501" s="18" t="s">
        <v>285</v>
      </c>
      <c r="J501" s="18" t="s">
        <v>239</v>
      </c>
      <c r="K501" s="18" t="s">
        <v>1193</v>
      </c>
      <c r="L501" s="18" t="s">
        <v>241</v>
      </c>
      <c r="M501" s="18" t="s">
        <v>242</v>
      </c>
      <c r="N501" s="18" t="s">
        <v>15</v>
      </c>
      <c r="O501" s="18" t="s">
        <v>282</v>
      </c>
      <c r="P501" s="18">
        <v>20</v>
      </c>
      <c r="Q501" s="18">
        <v>3500</v>
      </c>
      <c r="R501" s="18">
        <v>0</v>
      </c>
      <c r="S501" s="18">
        <v>70000</v>
      </c>
      <c r="T501" s="18">
        <v>1</v>
      </c>
      <c r="U501" s="18" t="s">
        <v>245</v>
      </c>
      <c r="V501" s="18" t="s">
        <v>312</v>
      </c>
      <c r="W501" s="18" t="s">
        <v>308</v>
      </c>
      <c r="X501" s="18">
        <v>9810334941</v>
      </c>
      <c r="Y501" s="19" t="s">
        <v>248</v>
      </c>
      <c r="Z501" t="str">
        <f t="shared" si="50"/>
        <v>Blacklisted</v>
      </c>
      <c r="AA501" t="str">
        <f t="shared" si="51"/>
        <v>Priya Patel</v>
      </c>
      <c r="AB501" t="str">
        <f t="shared" si="52"/>
        <v>Pri002Be</v>
      </c>
      <c r="AC501" t="str">
        <f t="shared" si="55"/>
        <v>priya.patel@company.com</v>
      </c>
      <c r="AD501">
        <f t="shared" ca="1" si="56"/>
        <v>46</v>
      </c>
      <c r="AE501">
        <f t="shared" si="53"/>
        <v>7</v>
      </c>
      <c r="AF501" t="str">
        <f t="shared" si="54"/>
        <v>Delayed</v>
      </c>
    </row>
  </sheetData>
  <hyperlinks>
    <hyperlink ref="W2" r:id="rId1" xr:uid="{72DD8FA5-1232-4FDF-9500-1EC199FC5B46}"/>
    <hyperlink ref="W5" r:id="rId2" xr:uid="{CB0495EF-07A4-43B5-9A11-E5974A94177F}"/>
    <hyperlink ref="W9" r:id="rId3" xr:uid="{697AA6B3-B85C-45B2-8BC2-2B8A1B3B6063}"/>
    <hyperlink ref="W11" r:id="rId4" xr:uid="{9242D78E-ADD5-49EC-9F92-6EA13F61006B}"/>
    <hyperlink ref="W15" r:id="rId5" xr:uid="{1980ED04-8488-43DB-80C8-24F28546C494}"/>
    <hyperlink ref="W16" r:id="rId6" xr:uid="{FCD793E7-BE5D-4371-AD3E-919672CADF9B}"/>
    <hyperlink ref="W20" r:id="rId7" xr:uid="{EB4DA201-35B2-4D25-9E33-390A385B1E27}"/>
    <hyperlink ref="W61" r:id="rId8" xr:uid="{F8D8EF5B-5453-4034-AA84-7E95BD9BF62B}"/>
    <hyperlink ref="W72" r:id="rId9" xr:uid="{2C79071D-853F-4EEF-9D8B-A00FC228B0B8}"/>
    <hyperlink ref="W294" r:id="rId10" xr:uid="{3FB93B25-CCB4-4C4F-9C02-0425AB041690}"/>
    <hyperlink ref="W450" r:id="rId11" xr:uid="{87579483-8FF2-46DF-B5A1-A5B715C72558}"/>
    <hyperlink ref="W463" r:id="rId12" xr:uid="{5A2978FA-4F6C-493F-BDB0-AE1E6D33389D}"/>
    <hyperlink ref="W479" r:id="rId13" xr:uid="{3B9CFB64-ED75-414A-A947-2B95ABB0648E}"/>
    <hyperlink ref="W489" r:id="rId14" xr:uid="{54F04AF8-1DB5-41EC-A7A8-CEB397692F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swatikulkarni8170@gmail.com</cp:lastModifiedBy>
  <cp:revision/>
  <dcterms:created xsi:type="dcterms:W3CDTF">2026-10-05T05:52:26Z</dcterms:created>
  <dcterms:modified xsi:type="dcterms:W3CDTF">2026-10-21T11:14:25Z</dcterms:modified>
  <cp:category/>
  <cp:contentStatus/>
</cp:coreProperties>
</file>